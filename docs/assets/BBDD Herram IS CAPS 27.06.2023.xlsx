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tables/table1.xml" ContentType="application/vnd.openxmlformats-officedocument.spreadsheetml.table+xml"/>
  <Override PartName="/xl/comments9.xml" ContentType="application/vnd.openxmlformats-officedocument.spreadsheetml.comments+xml"/>
  <Override PartName="/xl/comments3.xml" ContentType="application/vnd.openxmlformats-officedocument.spreadsheetml.comments+xml"/>
  <Override PartName="/xl/charts/colors1.xml" ContentType="application/vnd.ms-office.chartcolorstyle+xml"/>
  <Override PartName="/xl/charts/style2.xml" ContentType="application/vnd.ms-office.chartstyle+xml"/>
  <Override PartName="/xl/charts/colors4.xml" ContentType="application/vnd.ms-office.chartcolorstyle+xml"/>
  <Override PartName="/xl/charts/chart3.xml" ContentType="application/vnd.openxmlformats-officedocument.drawingml.chart+xml"/>
  <Override PartName="/xl/charts/chart2.xml" ContentType="application/vnd.openxmlformats-officedocument.drawingml.chart+xml"/>
  <Override PartName="/xl/charts/colors2.xml" ContentType="application/vnd.ms-office.chartcolorstyle+xml"/>
  <Override PartName="/xl/charts/style3.xml" ContentType="application/vnd.ms-office.chartstyle+xml"/>
  <Override PartName="/xl/charts/chart4.xml" ContentType="application/vnd.openxmlformats-officedocument.drawingml.chart+xml"/>
  <Override PartName="/xl/charts/style1.xml" ContentType="application/vnd.ms-office.chartstyle+xml"/>
  <Override PartName="/xl/charts/colors3.xml" ContentType="application/vnd.ms-office.chartcolorstyle+xml"/>
  <Override PartName="/xl/charts/chart1.xml" ContentType="application/vnd.openxmlformats-officedocument.drawingml.chart+xml"/>
  <Override PartName="/xl/charts/style4.xml" ContentType="application/vnd.ms-office.chartstyle+xml"/>
  <Override PartName="/xl/theme/theme1.xml" ContentType="application/vnd.openxmlformats-officedocument.theme+xml"/>
  <Override PartName="/xl/styles.xml" ContentType="application/vnd.openxmlformats-officedocument.spreadsheetml.styl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comments12.xml" ContentType="application/vnd.openxmlformats-officedocument.spreadsheetml.comments+xml"/>
  <Override PartName="/xl/sharedStrings.xml" ContentType="application/vnd.openxmlformats-officedocument.spreadsheetml.sharedStrings+xml"/>
  <Override PartName="/xl/comments22.xml" ContentType="application/vnd.openxmlformats-officedocument.spreadsheetml.comments+xml"/>
  <Override PartName="/xl/workbook.xml" ContentType="application/vnd.openxmlformats-officedocument.spreadsheetml.sheet.main+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7.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26.xml" ContentType="application/vnd.openxmlformats-officedocument.spreadsheetml.worksheet+xml"/>
  <Override PartName="/xl/worksheets/sheet13.xml" ContentType="application/vnd.openxmlformats-officedocument.spreadsheetml.worksheet+xml"/>
  <Override PartName="/xl/worksheets/sheet25.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23.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8.xml" ContentType="application/vnd.openxmlformats-officedocument.spreadsheetml.worksheet+xml"/>
  <Override PartName="/xl/worksheets/sheet24.xml" ContentType="application/vnd.openxmlformats-officedocument.spreadsheetml.worksheet+xml"/>
  <Override PartName="/xl/worksheets/sheet15.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comments10.xml" ContentType="application/vnd.openxmlformats-officedocument.spreadsheetml.comments+xml"/>
  <Override PartName="/xl/comments1.xml" ContentType="application/vnd.openxmlformats-officedocument.spreadsheetml.comments+xml"/>
  <Override PartName="/xl/drawings/vmlDrawing4.vml" ContentType="application/vnd.openxmlformats-officedocument.vmlDrawing"/>
  <Override PartName="/xl/drawings/drawing5.xml" ContentType="application/vnd.openxmlformats-officedocument.drawing+xml"/>
  <Override PartName="/xl/drawings/vmlDrawing3.vml" ContentType="application/vnd.openxmlformats-officedocument.vmlDrawing"/>
  <Override PartName="/xl/drawings/vmlDrawing7.vml" ContentType="application/vnd.openxmlformats-officedocument.vmlDrawing"/>
  <Override PartName="/xl/drawings/drawing4.xml" ContentType="application/vnd.openxmlformats-officedocument.drawing+xml"/>
  <Override PartName="/xl/drawings/drawing6.xml" ContentType="application/vnd.openxmlformats-officedocument.drawing+xml"/>
  <Override PartName="/xl/drawings/vmlDrawing6.vml" ContentType="application/vnd.openxmlformats-officedocument.vmlDrawing"/>
  <Override PartName="/xl/drawings/vmlDrawing5.vml" ContentType="application/vnd.openxmlformats-officedocument.vmlDrawing"/>
  <Override PartName="/xl/drawings/drawing3.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drawings/drawing1.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3" activeTab="4"/>
  </bookViews>
  <sheets>
    <sheet name="PRUEBA" sheetId="1" state="hidden" r:id="rId3"/>
    <sheet name="ytyy" sheetId="2" state="hidden" r:id="rId4"/>
    <sheet name="Est_Conserv_MABE" sheetId="3" state="hidden" r:id="rId5"/>
    <sheet name="Tabla de Contenidos" sheetId="4" state="visible" r:id="rId6"/>
    <sheet name="Ind.Sostenib." sheetId="5" state="visible" r:id="rId7"/>
    <sheet name="Listado CAPS" sheetId="6" state="visible" r:id="rId8"/>
    <sheet name="Conformación JD" sheetId="7" state="visible" r:id="rId9"/>
    <sheet name=" A.Legalización " sheetId="8" state="visible" r:id="rId10"/>
    <sheet name="A.Org_CAPS" sheetId="9" state="visible" r:id="rId11"/>
    <sheet name="C.Nivel de Servicio" sheetId="10" state="visible" r:id="rId12"/>
    <sheet name="D.RecuperacióndeCostes" sheetId="11" state="visible" r:id="rId13"/>
    <sheet name="E.OperaciónyMantenimiento" sheetId="12" state="visible" r:id="rId14"/>
    <sheet name="F.Gestión de riesgos hídricos" sheetId="13" state="visible" r:id="rId15"/>
    <sheet name="G.Rendición de cuentas" sheetId="14" state="visible" r:id="rId16"/>
    <sheet name="H.1.Estado_Conserv MABE" sheetId="15" state="visible" r:id="rId17"/>
    <sheet name="H.2.Estado_Conserv.MAG" sheetId="16" state="visible" r:id="rId18"/>
    <sheet name="H.3.Estado_Conserv.Pozos" sheetId="17" state="visible" r:id="rId19"/>
    <sheet name="I.Genero " sheetId="18" state="visible" r:id="rId20"/>
    <sheet name="J.AutoGestionCAPS" sheetId="19" state="visible" r:id="rId21"/>
    <sheet name="RESULTADO FINAL SOSTENIBILIDAD" sheetId="20" state="visible" r:id="rId22"/>
    <sheet name="IR1.1.1.1.1.2,1.1.3,1.1.6" sheetId="21" state="hidden" r:id="rId23"/>
    <sheet name="IR.1.1.4,1.1.8" sheetId="22" state="hidden" r:id="rId24"/>
    <sheet name="IR.1.1.5, 1.1.7" sheetId="23" state="hidden" r:id="rId25"/>
    <sheet name="IR.1.19, 1.1.11" sheetId="24" state="hidden" r:id="rId26"/>
    <sheet name="Notas_herr." sheetId="25" state="hidden" r:id="rId27"/>
    <sheet name="Hoja1" sheetId="26" state="visible" r:id="rId28"/>
  </sheets>
  <externalReferences>
    <externalReference r:id="rId29"/>
    <externalReference r:id="rId30"/>
    <externalReference r:id="rId31"/>
    <externalReference r:id="rId32"/>
  </externalReferences>
  <definedNames>
    <definedName function="false" hidden="false" localSheetId="7" name="_xlnm.Print_Area" vbProcedure="false">' A.Legalización '!$C$1:$M$45</definedName>
    <definedName function="false" hidden="false" localSheetId="7" name="_xlnm.Print_Titles" vbProcedure="false">' A.Legalización '!$5:$5</definedName>
    <definedName function="false" hidden="false" localSheetId="2" name="_xlnm.Print_Area" vbProcedure="false">Est_Conserv_MABE!$A$1:$V$35</definedName>
    <definedName function="false" hidden="false" localSheetId="14" name="_xlnm.Print_Area" vbProcedure="false">'H.1.Estado_Conserv MABE'!$C$1:$Y$33</definedName>
    <definedName function="false" hidden="false" localSheetId="15" name="_xlnm.Print_Area" vbProcedure="false">'H.2.Estado_Conserv.MAG'!$C$1:$U$39</definedName>
    <definedName function="false" hidden="false" localSheetId="15" name="_xlnm.Print_Titles" vbProcedure="false">'H.2.Estado_Conserv.MAG'!$1:$4</definedName>
    <definedName function="false" hidden="false" localSheetId="3" name="_xlnm.Print_Titles" vbProcedure="false">'Tabla de Contenidos'!$1:$2</definedName>
    <definedName function="false" hidden="false" localSheetId="1" name="_xlnm.Print_Area" vbProcedure="false">ytyy!$A$1:$U$32</definedName>
    <definedName function="false" hidden="false" localSheetId="1" name="_xlnm.Print_Titles" vbProcedure="false">ytyy!$2:$5</definedName>
    <definedName function="false" hidden="false" name="actividad" vbProcedure="false">#ref!</definedName>
    <definedName function="false" hidden="false" name="codigo" vbProcedure="false">#ref!</definedName>
    <definedName function="false" hidden="false" name="codigo_subindicador" vbProcedure="false">#ref!</definedName>
    <definedName function="false" hidden="false" name="Coord_actores" vbProcedure="false">#ref!</definedName>
    <definedName function="false" hidden="false" name="herramientas" vbProcedure="false">#ref!</definedName>
    <definedName function="false" hidden="false" name="informacion" vbProcedure="false">#ref!</definedName>
    <definedName function="false" hidden="false" name="Iniciativa_muni" vbProcedure="false">#ref!</definedName>
    <definedName function="false" hidden="false" name="lugar" vbProcedure="false">#ref!</definedName>
    <definedName function="false" hidden="false" name="mabe" vbProcedure="false">#ref!</definedName>
    <definedName function="false" hidden="false" name="MAG" vbProcedure="false">#ref!</definedName>
    <definedName function="false" hidden="false" name="rango1" vbProcedure="false">#ref!</definedName>
    <definedName function="false" hidden="false" name="rango2" vbProcedure="false">#ref!</definedName>
    <definedName function="false" hidden="false" name="rango3" vbProcedure="false">#ref!</definedName>
    <definedName function="false" hidden="false" name="rango4" vbProcedure="false">[1]UMAS_inversiones!$AA$10:$AA$12</definedName>
    <definedName function="false" hidden="false" name="rango5" vbProcedure="false">[1]UMAS_inversiones!$AB$10</definedName>
    <definedName function="false" hidden="false" name="rango6" vbProcedure="false">[4]umas_inversiones!#ref!</definedName>
    <definedName function="false" hidden="false" name="rango_1" vbProcedure="false">[2]PMODT!$H$5:$H$12</definedName>
    <definedName function="false" hidden="false" name="rango_2" vbProcedure="false">[2]PMODT!$J$5:$J$6</definedName>
    <definedName function="false" hidden="false" name="rank1" vbProcedure="false">[1]UMAS_fortalecimiento!$N$4:$N$6</definedName>
    <definedName function="false" hidden="false" name="rank2" vbProcedure="false">[1]UMAS_fortalecimiento!$O$4:$O$8</definedName>
    <definedName function="false" hidden="false" name="rank3" vbProcedure="false">[1]UMAS_fortalecimiento!$P$4:$P$5</definedName>
    <definedName function="false" hidden="false" name="status_1" vbProcedure="false">[2]PMODT!$I$5:$I$6</definedName>
    <definedName function="false" hidden="false" name="status_2" vbProcedure="false">[2]PMODT!$K$5:$K$6</definedName>
    <definedName function="false" hidden="false" name="Tipodesistema" vbProcedure="false">#ref!</definedName>
    <definedName function="false" hidden="false" name="tipo_act" vbProcedure="false">#ref!</definedName>
    <definedName function="false" hidden="false" name="ttt" vbProcedure="false">#ref!</definedName>
    <definedName function="false" hidden="false" name="YY" vbProcedure="false">#ref!</definedName>
    <definedName function="false" hidden="false" localSheetId="0" name="Coord_actores" vbProcedure="false">#ref!</definedName>
    <definedName function="false" hidden="false" localSheetId="0" name="herramientas" vbProcedure="false">#ref!</definedName>
    <definedName function="false" hidden="false" localSheetId="0" name="Iniciativa_muni" vbProcedure="false">#ref!</definedName>
    <definedName function="false" hidden="false" localSheetId="0" name="rango1" vbProcedure="false">#ref!</definedName>
    <definedName function="false" hidden="false" localSheetId="0" name="rango2" vbProcedure="false">#ref!</definedName>
    <definedName function="false" hidden="false" localSheetId="0" name="rango3" vbProcedure="false">#ref!</definedName>
    <definedName function="false" hidden="false" localSheetId="0" name="rango4" vbProcedure="false">'[3]UMAS_inversiones.IOE1.3'!$AA$9:$AA$11</definedName>
    <definedName function="false" hidden="false" localSheetId="0" name="rango5" vbProcedure="false">'[3]UMAS_inversiones.IOE1.3'!$AB$9</definedName>
    <definedName function="false" hidden="false" localSheetId="0" name="rank1" vbProcedure="false">'[3]UMAS_forta.1.1.23-1.1.28'!$R$4:$R$6</definedName>
    <definedName function="false" hidden="false" localSheetId="0" name="rank2" vbProcedure="false">'[3]UMAS_forta.1.1.23-1.1.28'!$S$4:$S$8</definedName>
    <definedName function="false" hidden="false" localSheetId="0" name="rank3" vbProcedure="false">'[3]UMAS_forta.1.1.23-1.1.28'!$T$4:$T$5</definedName>
    <definedName function="false" hidden="false" localSheetId="1" name="Coord_actores" vbProcedure="false">#ref!</definedName>
    <definedName function="false" hidden="false" localSheetId="1" name="herramientas" vbProcedure="false">#ref!</definedName>
    <definedName function="false" hidden="false" localSheetId="1" name="Iniciativa_muni" vbProcedure="false">#ref!</definedName>
    <definedName function="false" hidden="false" localSheetId="1" name="rango1" vbProcedure="false">#ref!</definedName>
    <definedName function="false" hidden="false" localSheetId="1" name="rango2" vbProcedure="false">#ref!</definedName>
    <definedName function="false" hidden="false" localSheetId="1" name="rango3" vbProcedure="false">#ref!</definedName>
    <definedName function="false" hidden="false" localSheetId="1" name="rango6" vbProcedure="false">[4]umas_inversiones!#ref!</definedName>
    <definedName function="false" hidden="false" localSheetId="2" name="Coord_actores" vbProcedure="false">#ref!</definedName>
    <definedName function="false" hidden="false" localSheetId="2" name="herramientas" vbProcedure="false">#ref!</definedName>
    <definedName function="false" hidden="false" localSheetId="2" name="Iniciativa_muni" vbProcedure="false">#ref!</definedName>
    <definedName function="false" hidden="false" localSheetId="2" name="rango1" vbProcedure="false">#ref!</definedName>
    <definedName function="false" hidden="false" localSheetId="2" name="rango2" vbProcedure="false">#ref!</definedName>
    <definedName function="false" hidden="false" localSheetId="2" name="rango3" vbProcedure="false">#ref!</definedName>
    <definedName function="false" hidden="false" localSheetId="2" name="rango6" vbProcedure="false">[4]umas_inversiones!#ref!</definedName>
    <definedName function="false" hidden="false" localSheetId="2" name="_xlnm.Print_Titles" vbProcedure="false">est_conserv_mabe!#ref!</definedName>
    <definedName function="false" hidden="false" localSheetId="7" name="Coord_actores" vbProcedure="false">#ref!</definedName>
    <definedName function="false" hidden="false" localSheetId="7" name="herramientas" vbProcedure="false">#ref!</definedName>
    <definedName function="false" hidden="false" localSheetId="7" name="Iniciativa_muni" vbProcedure="false">#ref!</definedName>
    <definedName function="false" hidden="false" localSheetId="7" name="rango1" vbProcedure="false">#ref!</definedName>
    <definedName function="false" hidden="false" localSheetId="7" name="rango2" vbProcedure="false">#ref!</definedName>
    <definedName function="false" hidden="false" localSheetId="7" name="rango3" vbProcedure="false">#ref!</definedName>
    <definedName function="false" hidden="false" localSheetId="7" name="rango6" vbProcedure="false">[4]umas_inversiones!#ref!</definedName>
    <definedName function="false" hidden="false" localSheetId="10" name="Coord_actores" vbProcedure="false">#ref!</definedName>
    <definedName function="false" hidden="false" localSheetId="10" name="herramientas" vbProcedure="false">#ref!</definedName>
    <definedName function="false" hidden="false" localSheetId="10" name="Iniciativa_muni" vbProcedure="false">#ref!</definedName>
    <definedName function="false" hidden="false" localSheetId="10" name="mabe" vbProcedure="false">#ref!</definedName>
    <definedName function="false" hidden="false" localSheetId="10" name="rango1" vbProcedure="false">#ref!</definedName>
    <definedName function="false" hidden="false" localSheetId="10" name="rango2" vbProcedure="false">#ref!</definedName>
    <definedName function="false" hidden="false" localSheetId="10" name="rango3" vbProcedure="false">#ref!</definedName>
    <definedName function="false" hidden="false" localSheetId="10" name="rango6" vbProcedure="false">[4]umas_inversiones!#ref!</definedName>
    <definedName function="false" hidden="false" localSheetId="10" name="ttt" vbProcedure="false">#ref!</definedName>
    <definedName function="false" hidden="false" localSheetId="10" name="YY" vbProcedure="false">#ref!</definedName>
    <definedName function="false" hidden="false" localSheetId="11" name="Coord_actores" vbProcedure="false">#ref!</definedName>
    <definedName function="false" hidden="false" localSheetId="11" name="herramientas" vbProcedure="false">#ref!</definedName>
    <definedName function="false" hidden="false" localSheetId="11" name="Iniciativa_muni" vbProcedure="false">#ref!</definedName>
    <definedName function="false" hidden="false" localSheetId="11" name="mabe" vbProcedure="false">#ref!</definedName>
    <definedName function="false" hidden="false" localSheetId="11" name="rango1" vbProcedure="false">#ref!</definedName>
    <definedName function="false" hidden="false" localSheetId="11" name="rango2" vbProcedure="false">#ref!</definedName>
    <definedName function="false" hidden="false" localSheetId="11" name="rango3" vbProcedure="false">#ref!</definedName>
    <definedName function="false" hidden="false" localSheetId="11" name="rango6" vbProcedure="false">[4]umas_inversiones!#ref!</definedName>
    <definedName function="false" hidden="false" localSheetId="11" name="ttt" vbProcedure="false">#ref!</definedName>
    <definedName function="false" hidden="false" localSheetId="11" name="YY" vbProcedure="false">#ref!</definedName>
    <definedName function="false" hidden="false" localSheetId="12" name="Coord_actores" vbProcedure="false">#ref!</definedName>
    <definedName function="false" hidden="false" localSheetId="12" name="herramientas" vbProcedure="false">#ref!</definedName>
    <definedName function="false" hidden="false" localSheetId="12" name="Iniciativa_muni" vbProcedure="false">#ref!</definedName>
    <definedName function="false" hidden="false" localSheetId="12" name="mabe" vbProcedure="false">#ref!</definedName>
    <definedName function="false" hidden="false" localSheetId="12" name="rango1" vbProcedure="false">#ref!</definedName>
    <definedName function="false" hidden="false" localSheetId="12" name="rango2" vbProcedure="false">#ref!</definedName>
    <definedName function="false" hidden="false" localSheetId="12" name="rango3" vbProcedure="false">#ref!</definedName>
    <definedName function="false" hidden="false" localSheetId="12" name="rango6" vbProcedure="false">[4]umas_inversiones!#ref!</definedName>
    <definedName function="false" hidden="false" localSheetId="12" name="ttt" vbProcedure="false">#ref!</definedName>
    <definedName function="false" hidden="false" localSheetId="12" name="YY" vbProcedure="false">#ref!</definedName>
    <definedName function="false" hidden="false" localSheetId="13" name="Coord_actores" vbProcedure="false">#ref!</definedName>
    <definedName function="false" hidden="false" localSheetId="13" name="herramientas" vbProcedure="false">#ref!</definedName>
    <definedName function="false" hidden="false" localSheetId="13" name="Iniciativa_muni" vbProcedure="false">#ref!</definedName>
    <definedName function="false" hidden="false" localSheetId="13" name="mabe" vbProcedure="false">#ref!</definedName>
    <definedName function="false" hidden="false" localSheetId="13" name="rango1" vbProcedure="false">#ref!</definedName>
    <definedName function="false" hidden="false" localSheetId="13" name="rango2" vbProcedure="false">#ref!</definedName>
    <definedName function="false" hidden="false" localSheetId="13" name="rango3" vbProcedure="false">#ref!</definedName>
    <definedName function="false" hidden="false" localSheetId="13" name="rango6" vbProcedure="false">[4]umas_inversiones!#ref!</definedName>
    <definedName function="false" hidden="false" localSheetId="13" name="ttt" vbProcedure="false">#ref!</definedName>
    <definedName function="false" hidden="false" localSheetId="13" name="YY" vbProcedure="false">#ref!</definedName>
    <definedName function="false" hidden="false" localSheetId="14" name="Coord_actores" vbProcedure="false">#ref!</definedName>
    <definedName function="false" hidden="false" localSheetId="14" name="herramientas" vbProcedure="false">#ref!</definedName>
    <definedName function="false" hidden="false" localSheetId="14" name="Iniciativa_muni" vbProcedure="false">#ref!</definedName>
    <definedName function="false" hidden="false" localSheetId="14" name="rango1" vbProcedure="false">#ref!</definedName>
    <definedName function="false" hidden="false" localSheetId="14" name="rango2" vbProcedure="false">#ref!</definedName>
    <definedName function="false" hidden="false" localSheetId="14" name="rango3" vbProcedure="false">#ref!</definedName>
    <definedName function="false" hidden="false" localSheetId="14" name="rango6" vbProcedure="false">[4]umas_inversiones!#ref!</definedName>
    <definedName function="false" hidden="false" localSheetId="15" name="Coord_actores" vbProcedure="false">#ref!</definedName>
    <definedName function="false" hidden="false" localSheetId="15" name="herramientas" vbProcedure="false">#ref!</definedName>
    <definedName function="false" hidden="false" localSheetId="15" name="Iniciativa_muni" vbProcedure="false">#ref!</definedName>
    <definedName function="false" hidden="false" localSheetId="15" name="rango1" vbProcedure="false">#ref!</definedName>
    <definedName function="false" hidden="false" localSheetId="15" name="rango2" vbProcedure="false">#ref!</definedName>
    <definedName function="false" hidden="false" localSheetId="15" name="rango3" vbProcedure="false">#ref!</definedName>
    <definedName function="false" hidden="false" localSheetId="15" name="rango6" vbProcedure="false">[4]umas_inversiones!#ref!</definedName>
    <definedName function="false" hidden="false" localSheetId="17" name="actividad" vbProcedure="false">[4]Tabla_cod!$D$3:$D$38</definedName>
    <definedName function="false" hidden="false" localSheetId="17" name="codigo" vbProcedure="false">[4]Tabla_cod!$J$3:$J$5</definedName>
    <definedName function="false" hidden="false" localSheetId="17" name="codigo_subindicador" vbProcedure="false">[4]Tabla_cod!$M$3:$M$23</definedName>
    <definedName function="false" hidden="false" localSheetId="17" name="Coord_actores" vbProcedure="false">'[2]umas_forta.1.1.23-1.1.28'!#ref!</definedName>
    <definedName function="false" hidden="false" localSheetId="17" name="herramientas" vbProcedure="false">'[2]umas_forta.1.1.23-1.1.28'!#ref!</definedName>
    <definedName function="false" hidden="false" localSheetId="17" name="informacion" vbProcedure="false">[4]Tabla_cod!$P$3:$P$11</definedName>
    <definedName function="false" hidden="false" localSheetId="17" name="Iniciativa_muni" vbProcedure="false">'[2]umas_forta.1.1.23-1.1.28'!#ref!</definedName>
    <definedName function="false" hidden="false" localSheetId="17" name="lugar" vbProcedure="false">[4]Tabla_cod!$F$3:$F$12</definedName>
    <definedName function="false" hidden="false" localSheetId="17" name="mabe" vbProcedure="false">#ref!</definedName>
    <definedName function="false" hidden="false" localSheetId="17" name="rango1" vbProcedure="false">'[2]umas_forta.1.1.23-1.1.28'!#ref!</definedName>
    <definedName function="false" hidden="false" localSheetId="17" name="rango2" vbProcedure="false">'[2]umas_forta.1.1.23-1.1.28'!#ref!</definedName>
    <definedName function="false" hidden="false" localSheetId="17" name="rango3" vbProcedure="false">'[2]umas_forta.1.1.23-1.1.28'!#ref!</definedName>
    <definedName function="false" hidden="false" localSheetId="17" name="rango4" vbProcedure="false">[1]UMAS_inversiones!$AA$10:$AA$12</definedName>
    <definedName function="false" hidden="false" localSheetId="17" name="rango5" vbProcedure="false">[1]UMAS_inversiones!$AB$10</definedName>
    <definedName function="false" hidden="false" localSheetId="17" name="rango6" vbProcedure="false">[4]umas_inversiones!#ref!</definedName>
    <definedName function="false" hidden="false" localSheetId="17" name="rango_1" vbProcedure="false">[2]PMODT!$H$5:$H$12</definedName>
    <definedName function="false" hidden="false" localSheetId="17" name="rango_2" vbProcedure="false">[2]PMODT!$J$5:$J$6</definedName>
    <definedName function="false" hidden="false" localSheetId="17" name="rank1" vbProcedure="false">[1]UMAS_fortalecimiento!$N$4:$N$6</definedName>
    <definedName function="false" hidden="false" localSheetId="17" name="rank2" vbProcedure="false">[1]UMAS_fortalecimiento!$O$4:$O$8</definedName>
    <definedName function="false" hidden="false" localSheetId="17" name="rank3" vbProcedure="false">[1]UMAS_fortalecimiento!$P$4:$P$5</definedName>
    <definedName function="false" hidden="false" localSheetId="17" name="status_1" vbProcedure="false">[2]PMODT!$I$5:$I$6</definedName>
    <definedName function="false" hidden="false" localSheetId="17" name="status_2" vbProcedure="false">[2]PMODT!$K$5:$K$6</definedName>
    <definedName function="false" hidden="false" localSheetId="17" name="tipo_act" vbProcedure="false">[4]Tabla_cod!$A$3:$A$7</definedName>
    <definedName function="false" hidden="false" localSheetId="17" name="ttt" vbProcedure="false">#ref!</definedName>
    <definedName function="false" hidden="false" localSheetId="19" name="rango4" vbProcedure="false">'[3]UMAS_inversiones.IOE1.3'!$AA$9:$AA$11</definedName>
    <definedName function="false" hidden="false" localSheetId="19" name="rango5" vbProcedure="false">'[3]UMAS_inversiones.IOE1.3'!$AB$9</definedName>
    <definedName function="false" hidden="false" localSheetId="19" name="rank1" vbProcedure="false">'[3]UMAS_forta.1.1.23-1.1.28'!$R$4:$R$6</definedName>
    <definedName function="false" hidden="false" localSheetId="19" name="rank2" vbProcedure="false">'[3]UMAS_forta.1.1.23-1.1.28'!$S$4:$S$8</definedName>
    <definedName function="false" hidden="false" localSheetId="19" name="rank3" vbProcedure="false">'[3]UMAS_forta.1.1.23-1.1.28'!$T$4:$T$5</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Erika López</author>
  </authors>
  <commentList>
    <comment ref="I4" authorId="0">
      <text>
        <r>
          <rPr>
            <sz val="10"/>
            <rFont val="Arial"/>
            <family val="2"/>
          </rPr>
          <t xml:space="preserve">Erika López:
</t>
        </r>
        <r>
          <rPr>
            <sz val="9"/>
            <color rgb="FF000000"/>
            <rFont val="Tahoma"/>
            <family val="2"/>
            <charset val="1"/>
          </rPr>
          <t xml:space="preserve">dato se copia de la hoja donde se calcula.</t>
        </r>
      </text>
      <mc:AlternateContent>
        <mc:Choice Requires="v2">
          <commentPr autoFill="true" autoScale="false" colHidden="true" locked="false" rowHidden="false" textHAlign="justify" textVAlign="top">
            <anchor moveWithCells="false" sizeWithCells="false">
              <xdr:from>
                <xdr:col>54</xdr:col>
                <xdr:colOff>9</xdr:colOff>
                <xdr:row>2</xdr:row>
                <xdr:rowOff>58</xdr:rowOff>
              </xdr:from>
              <xdr:to>
                <xdr:col>55</xdr:col>
                <xdr:colOff>74</xdr:colOff>
                <xdr:row>3</xdr:row>
                <xdr:rowOff>48</xdr:rowOff>
              </xdr:to>
            </anchor>
          </commentPr>
        </mc:Choice>
        <mc:Fallback/>
      </mc:AlternateContent>
    </comment>
    <comment ref="AJ3" authorId="0">
      <text>
        <r>
          <rPr>
            <sz val="10"/>
            <rFont val="Arial"/>
            <family val="2"/>
          </rPr>
          <t xml:space="preserve">Erika López:
</t>
        </r>
        <r>
          <rPr>
            <sz val="9"/>
            <color rgb="FF000000"/>
            <rFont val="Tahoma"/>
            <family val="2"/>
            <charset val="1"/>
          </rPr>
          <t xml:space="preserve">UTILIZAR LA HOJA Entrevista_CAPS
</t>
        </r>
      </text>
      <mc:AlternateContent>
        <mc:Choice Requires="v2">
          <commentPr autoFill="true" autoScale="false" colHidden="true" locked="false" rowHidden="false" textHAlign="justify" textVAlign="top">
            <anchor moveWithCells="false" sizeWithCells="false">
              <xdr:from>
                <xdr:col>49</xdr:col>
                <xdr:colOff>23</xdr:colOff>
                <xdr:row>0</xdr:row>
                <xdr:rowOff>174</xdr:rowOff>
              </xdr:from>
              <xdr:to>
                <xdr:col>50</xdr:col>
                <xdr:colOff>52</xdr:colOff>
                <xdr:row>2</xdr:row>
                <xdr:rowOff>15</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Erika López</author>
  </authors>
  <commentList>
    <comment ref="L5" authorId="0">
      <text>
        <r>
          <rPr>
            <sz val="10"/>
            <rFont val="Arial"/>
            <family val="2"/>
          </rPr>
          <t xml:space="preserve">Erika López:
</t>
        </r>
        <r>
          <rPr>
            <sz val="9"/>
            <color rgb="FF000000"/>
            <rFont val="Tahoma"/>
            <family val="2"/>
            <charset val="1"/>
          </rPr>
          <t xml:space="preserve">SE ESTA DESPERDICIANDO EL AGUA
</t>
        </r>
      </text>
      <mc:AlternateContent>
        <mc:Choice Requires="v2">
          <commentPr autoFill="true" autoScale="false" colHidden="false" locked="false" rowHidden="false" textHAlign="justify" textVAlign="top">
            <anchor moveWithCells="false" sizeWithCells="false">
              <xdr:from>
                <xdr:col>13</xdr:col>
                <xdr:colOff>12</xdr:colOff>
                <xdr:row>3</xdr:row>
                <xdr:rowOff>0</xdr:rowOff>
              </xdr:from>
              <xdr:to>
                <xdr:col>15</xdr:col>
                <xdr:colOff>1</xdr:colOff>
                <xdr:row>4</xdr:row>
                <xdr:rowOff>42</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Erika López</author>
  </authors>
  <commentList>
    <comment ref="M7" authorId="0">
      <text>
        <r>
          <rPr>
            <sz val="10"/>
            <rFont val="Arial"/>
            <family val="2"/>
          </rPr>
          <t xml:space="preserve">Erika López:
</t>
        </r>
        <r>
          <rPr>
            <sz val="9"/>
            <color rgb="FF000000"/>
            <rFont val="Tahoma"/>
            <family val="2"/>
            <charset val="1"/>
          </rPr>
          <t xml:space="preserve">SE ESTA DESPERDICIANDO EL AGUA
</t>
        </r>
      </text>
      <mc:AlternateContent>
        <mc:Choice Requires="v2">
          <commentPr autoFill="true" autoScale="false" colHidden="false" locked="false" rowHidden="false" textHAlign="justify" textVAlign="top">
            <anchor moveWithCells="false" sizeWithCells="false">
              <xdr:from>
                <xdr:col>13</xdr:col>
                <xdr:colOff>15</xdr:colOff>
                <xdr:row>2</xdr:row>
                <xdr:rowOff>17</xdr:rowOff>
              </xdr:from>
              <xdr:to>
                <xdr:col>14</xdr:col>
                <xdr:colOff>52</xdr:colOff>
                <xdr:row>5</xdr:row>
                <xdr:rowOff>6</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elenab</author>
  </authors>
  <commentList>
    <comment ref="I3" authorId="0">
      <text>
        <r>
          <rPr>
            <sz val="10"/>
            <rFont val="Arial"/>
            <family val="2"/>
          </rPr>
          <t xml:space="preserve">elenab:
</t>
        </r>
        <r>
          <rPr>
            <sz val="8"/>
            <color rgb="FF000000"/>
            <rFont val="Tahoma"/>
            <family val="2"/>
            <charset val="1"/>
          </rPr>
          <t xml:space="preserve">Se considera Quorum 50% +1.</t>
        </r>
      </text>
      <mc:AlternateContent>
        <mc:Choice Requires="v2">
          <commentPr autoFill="true" autoScale="false" colHidden="false" locked="false" rowHidden="false" textHAlign="justify" textVAlign="top">
            <anchor moveWithCells="false" sizeWithCells="false">
              <xdr:from>
                <xdr:col>6</xdr:col>
                <xdr:colOff>35</xdr:colOff>
                <xdr:row>0</xdr:row>
                <xdr:rowOff>13</xdr:rowOff>
              </xdr:from>
              <xdr:to>
                <xdr:col>8</xdr:col>
                <xdr:colOff>23</xdr:colOff>
                <xdr:row>1</xdr:row>
                <xdr:rowOff>17</xdr:rowOff>
              </xdr:to>
            </anchor>
          </commentPr>
        </mc:Choice>
        <mc:Fallback/>
      </mc:AlternateContent>
    </comment>
    <comment ref="I17" authorId="0">
      <text>
        <r>
          <rPr>
            <sz val="10"/>
            <rFont val="Arial"/>
            <family val="2"/>
          </rPr>
          <t xml:space="preserve">elenab:
</t>
        </r>
        <r>
          <rPr>
            <sz val="8"/>
            <color rgb="FF000000"/>
            <rFont val="Tahoma"/>
            <family val="2"/>
            <charset val="1"/>
          </rPr>
          <t xml:space="preserve">Se considera Quorum 50% +1.</t>
        </r>
      </text>
      <mc:AlternateContent>
        <mc:Choice Requires="v2">
          <commentPr autoFill="true" autoScale="false" colHidden="false" locked="false" rowHidden="false" textHAlign="justify" textVAlign="top">
            <anchor moveWithCells="false" sizeWithCells="false">
              <xdr:from>
                <xdr:col>9</xdr:col>
                <xdr:colOff>15</xdr:colOff>
                <xdr:row>15</xdr:row>
                <xdr:rowOff>19</xdr:rowOff>
              </xdr:from>
              <xdr:to>
                <xdr:col>11</xdr:col>
                <xdr:colOff>44</xdr:colOff>
                <xdr:row>18</xdr:row>
                <xdr:rowOff>12</xdr:rowOff>
              </xdr:to>
            </anchor>
          </commentPr>
        </mc:Choice>
        <mc:Fallback/>
      </mc:AlternateContent>
    </comment>
    <comment ref="I31" authorId="0">
      <text>
        <r>
          <rPr>
            <sz val="10"/>
            <rFont val="Arial"/>
            <family val="2"/>
          </rPr>
          <t xml:space="preserve">elenab:
</t>
        </r>
        <r>
          <rPr>
            <sz val="8"/>
            <color rgb="FF000000"/>
            <rFont val="Tahoma"/>
            <family val="2"/>
            <charset val="1"/>
          </rPr>
          <t xml:space="preserve">Se considera Quorum 50% +1.</t>
        </r>
      </text>
      <mc:AlternateContent>
        <mc:Choice Requires="v2">
          <commentPr autoFill="true" autoScale="false" colHidden="false" locked="false" rowHidden="false" textHAlign="justify" textVAlign="top">
            <anchor moveWithCells="false" sizeWithCells="false">
              <xdr:from>
                <xdr:col>9</xdr:col>
                <xdr:colOff>15</xdr:colOff>
                <xdr:row>29</xdr:row>
                <xdr:rowOff>12</xdr:rowOff>
              </xdr:from>
              <xdr:to>
                <xdr:col>11</xdr:col>
                <xdr:colOff>44</xdr:colOff>
                <xdr:row>32</xdr:row>
                <xdr:rowOff>19</xdr:rowOff>
              </xdr:to>
            </anchor>
          </commentPr>
        </mc:Choice>
        <mc:Fallback/>
      </mc:AlternateContent>
    </comment>
    <comment ref="I45" authorId="0">
      <text>
        <r>
          <rPr>
            <sz val="10"/>
            <rFont val="Arial"/>
            <family val="2"/>
          </rPr>
          <t xml:space="preserve">elenab:
</t>
        </r>
        <r>
          <rPr>
            <sz val="8"/>
            <color rgb="FF000000"/>
            <rFont val="Tahoma"/>
            <family val="2"/>
            <charset val="1"/>
          </rPr>
          <t xml:space="preserve">Se considera Quorum 50% +1.</t>
        </r>
      </text>
      <mc:AlternateContent>
        <mc:Choice Requires="v2">
          <commentPr autoFill="true" autoScale="false" colHidden="false" locked="false" rowHidden="false" textHAlign="justify" textVAlign="top">
            <anchor moveWithCells="false" sizeWithCells="false">
              <xdr:from>
                <xdr:col>9</xdr:col>
                <xdr:colOff>15</xdr:colOff>
                <xdr:row>43</xdr:row>
                <xdr:rowOff>12</xdr:rowOff>
              </xdr:from>
              <xdr:to>
                <xdr:col>11</xdr:col>
                <xdr:colOff>44</xdr:colOff>
                <xdr:row>46</xdr:row>
                <xdr:rowOff>19</xdr:rowOff>
              </xdr:to>
            </anchor>
          </commentPr>
        </mc:Choice>
        <mc:Fallback/>
      </mc:AlternateContent>
    </comment>
    <comment ref="I59" authorId="0">
      <text>
        <r>
          <rPr>
            <sz val="10"/>
            <rFont val="Arial"/>
            <family val="2"/>
          </rPr>
          <t xml:space="preserve">elenab:
</t>
        </r>
        <r>
          <rPr>
            <sz val="8"/>
            <color rgb="FF000000"/>
            <rFont val="Tahoma"/>
            <family val="2"/>
            <charset val="1"/>
          </rPr>
          <t xml:space="preserve">Se considera Quorum 50% +1.</t>
        </r>
      </text>
      <mc:AlternateContent>
        <mc:Choice Requires="v2">
          <commentPr autoFill="true" autoScale="false" colHidden="false" locked="false" rowHidden="false" textHAlign="justify" textVAlign="top">
            <anchor moveWithCells="false" sizeWithCells="false">
              <xdr:from>
                <xdr:col>9</xdr:col>
                <xdr:colOff>15</xdr:colOff>
                <xdr:row>57</xdr:row>
                <xdr:rowOff>12</xdr:rowOff>
              </xdr:from>
              <xdr:to>
                <xdr:col>11</xdr:col>
                <xdr:colOff>44</xdr:colOff>
                <xdr:row>60</xdr:row>
                <xdr:rowOff>19</xdr:rowOff>
              </xdr:to>
            </anchor>
          </commentPr>
        </mc:Choice>
        <mc:Fallback/>
      </mc:AlternateContent>
    </comment>
    <comment ref="I73" authorId="0">
      <text>
        <r>
          <rPr>
            <sz val="10"/>
            <rFont val="Arial"/>
            <family val="2"/>
          </rPr>
          <t xml:space="preserve">elenab:
</t>
        </r>
        <r>
          <rPr>
            <sz val="8"/>
            <color rgb="FF000000"/>
            <rFont val="Tahoma"/>
            <family val="2"/>
            <charset val="1"/>
          </rPr>
          <t xml:space="preserve">Se considera Quorum 50% +1.</t>
        </r>
      </text>
      <mc:AlternateContent>
        <mc:Choice Requires="v2">
          <commentPr autoFill="true" autoScale="false" colHidden="false" locked="false" rowHidden="false" textHAlign="justify" textVAlign="top">
            <anchor moveWithCells="false" sizeWithCells="false">
              <xdr:from>
                <xdr:col>9</xdr:col>
                <xdr:colOff>15</xdr:colOff>
                <xdr:row>71</xdr:row>
                <xdr:rowOff>12</xdr:rowOff>
              </xdr:from>
              <xdr:to>
                <xdr:col>11</xdr:col>
                <xdr:colOff>44</xdr:colOff>
                <xdr:row>74</xdr:row>
                <xdr:rowOff>19</xdr:rowOff>
              </xdr:to>
            </anchor>
          </commentPr>
        </mc:Choice>
        <mc:Fallback/>
      </mc:AlternateContent>
    </comment>
    <comment ref="I87" authorId="0">
      <text>
        <r>
          <rPr>
            <sz val="10"/>
            <rFont val="Arial"/>
            <family val="2"/>
          </rPr>
          <t xml:space="preserve">elenab:
</t>
        </r>
        <r>
          <rPr>
            <sz val="8"/>
            <color rgb="FF000000"/>
            <rFont val="Tahoma"/>
            <family val="2"/>
            <charset val="1"/>
          </rPr>
          <t xml:space="preserve">Se considera Quorum 50% +1.</t>
        </r>
      </text>
      <mc:AlternateContent>
        <mc:Choice Requires="v2">
          <commentPr autoFill="true" autoScale="false" colHidden="false" locked="false" rowHidden="false" textHAlign="justify" textVAlign="top">
            <anchor moveWithCells="false" sizeWithCells="false">
              <xdr:from>
                <xdr:col>9</xdr:col>
                <xdr:colOff>15</xdr:colOff>
                <xdr:row>85</xdr:row>
                <xdr:rowOff>12</xdr:rowOff>
              </xdr:from>
              <xdr:to>
                <xdr:col>11</xdr:col>
                <xdr:colOff>44</xdr:colOff>
                <xdr:row>88</xdr:row>
                <xdr:rowOff>19</xdr:rowOff>
              </xdr:to>
            </anchor>
          </commentPr>
        </mc:Choice>
        <mc:Fallback/>
      </mc:AlternateContent>
    </comment>
    <comment ref="I101" authorId="0">
      <text>
        <r>
          <rPr>
            <sz val="10"/>
            <rFont val="Arial"/>
            <family val="2"/>
          </rPr>
          <t xml:space="preserve">elenab:
</t>
        </r>
        <r>
          <rPr>
            <sz val="8"/>
            <color rgb="FF000000"/>
            <rFont val="Tahoma"/>
            <family val="2"/>
            <charset val="1"/>
          </rPr>
          <t xml:space="preserve">Se considera Quorum 50% +1.</t>
        </r>
      </text>
      <mc:AlternateContent>
        <mc:Choice Requires="v2">
          <commentPr autoFill="true" autoScale="false" colHidden="false" locked="false" rowHidden="false" textHAlign="justify" textVAlign="top">
            <anchor moveWithCells="false" sizeWithCells="false">
              <xdr:from>
                <xdr:col>9</xdr:col>
                <xdr:colOff>15</xdr:colOff>
                <xdr:row>99</xdr:row>
                <xdr:rowOff>12</xdr:rowOff>
              </xdr:from>
              <xdr:to>
                <xdr:col>11</xdr:col>
                <xdr:colOff>44</xdr:colOff>
                <xdr:row>102</xdr:row>
                <xdr:rowOff>19</xdr:rowOff>
              </xdr:to>
            </anchor>
          </commentPr>
        </mc:Choice>
        <mc:Fallback/>
      </mc:AlternateContent>
    </comment>
    <comment ref="I115" authorId="0">
      <text>
        <r>
          <rPr>
            <sz val="10"/>
            <rFont val="Arial"/>
            <family val="2"/>
          </rPr>
          <t xml:space="preserve">elenab:
</t>
        </r>
        <r>
          <rPr>
            <sz val="8"/>
            <color rgb="FF000000"/>
            <rFont val="Tahoma"/>
            <family val="2"/>
            <charset val="1"/>
          </rPr>
          <t xml:space="preserve">Se considera Quorum 50% +1.</t>
        </r>
      </text>
      <mc:AlternateContent>
        <mc:Choice Requires="v2">
          <commentPr autoFill="true" autoScale="false" colHidden="false" locked="false" rowHidden="false" textHAlign="justify" textVAlign="top">
            <anchor moveWithCells="false" sizeWithCells="false">
              <xdr:from>
                <xdr:col>9</xdr:col>
                <xdr:colOff>15</xdr:colOff>
                <xdr:row>113</xdr:row>
                <xdr:rowOff>12</xdr:rowOff>
              </xdr:from>
              <xdr:to>
                <xdr:col>11</xdr:col>
                <xdr:colOff>44</xdr:colOff>
                <xdr:row>116</xdr:row>
                <xdr:rowOff>19</xdr:rowOff>
              </xdr:to>
            </anchor>
          </commentPr>
        </mc:Choice>
        <mc:Fallback/>
      </mc:AlternateContent>
    </comment>
    <comment ref="I129" authorId="0">
      <text>
        <r>
          <rPr>
            <sz val="10"/>
            <rFont val="Arial"/>
            <family val="2"/>
          </rPr>
          <t xml:space="preserve">elenab:
</t>
        </r>
        <r>
          <rPr>
            <sz val="8"/>
            <color rgb="FF000000"/>
            <rFont val="Tahoma"/>
            <family val="2"/>
            <charset val="1"/>
          </rPr>
          <t xml:space="preserve">Se considera Quorum 50% +1.</t>
        </r>
      </text>
      <mc:AlternateContent>
        <mc:Choice Requires="v2">
          <commentPr autoFill="true" autoScale="false" colHidden="false" locked="false" rowHidden="false" textHAlign="justify" textVAlign="top">
            <anchor moveWithCells="false" sizeWithCells="false">
              <xdr:from>
                <xdr:col>9</xdr:col>
                <xdr:colOff>15</xdr:colOff>
                <xdr:row>127</xdr:row>
                <xdr:rowOff>9</xdr:rowOff>
              </xdr:from>
              <xdr:to>
                <xdr:col>11</xdr:col>
                <xdr:colOff>44</xdr:colOff>
                <xdr:row>130</xdr:row>
                <xdr:rowOff>29</xdr:rowOff>
              </xdr:to>
            </anchor>
          </commentPr>
        </mc:Choice>
        <mc:Fallback/>
      </mc:AlternateContent>
    </comment>
    <comment ref="I143" authorId="0">
      <text>
        <r>
          <rPr>
            <sz val="10"/>
            <rFont val="Arial"/>
            <family val="2"/>
          </rPr>
          <t xml:space="preserve">elenab:
</t>
        </r>
        <r>
          <rPr>
            <sz val="8"/>
            <color rgb="FF000000"/>
            <rFont val="Tahoma"/>
            <family val="2"/>
            <charset val="1"/>
          </rPr>
          <t xml:space="preserve">Se considera Quorum 50% +1.</t>
        </r>
      </text>
      <mc:AlternateContent>
        <mc:Choice Requires="v2">
          <commentPr autoFill="true" autoScale="false" colHidden="false" locked="false" rowHidden="false" textHAlign="justify" textVAlign="top">
            <anchor moveWithCells="false" sizeWithCells="false">
              <xdr:from>
                <xdr:col>9</xdr:col>
                <xdr:colOff>15</xdr:colOff>
                <xdr:row>141</xdr:row>
                <xdr:rowOff>9</xdr:rowOff>
              </xdr:from>
              <xdr:to>
                <xdr:col>11</xdr:col>
                <xdr:colOff>44</xdr:colOff>
                <xdr:row>144</xdr:row>
                <xdr:rowOff>30</xdr:rowOff>
              </xdr:to>
            </anchor>
          </commentPr>
        </mc:Choice>
        <mc:Fallback/>
      </mc:AlternateContent>
    </comment>
    <comment ref="I157" authorId="0">
      <text>
        <r>
          <rPr>
            <sz val="10"/>
            <rFont val="Arial"/>
            <family val="2"/>
          </rPr>
          <t xml:space="preserve">elenab:
</t>
        </r>
        <r>
          <rPr>
            <sz val="8"/>
            <color rgb="FF000000"/>
            <rFont val="Tahoma"/>
            <family val="2"/>
            <charset val="1"/>
          </rPr>
          <t xml:space="preserve">Se considera Quorum 50% +1.</t>
        </r>
      </text>
      <mc:AlternateContent>
        <mc:Choice Requires="v2">
          <commentPr autoFill="true" autoScale="false" colHidden="false" locked="false" rowHidden="false" textHAlign="justify" textVAlign="top">
            <anchor moveWithCells="false" sizeWithCells="false">
              <xdr:from>
                <xdr:col>9</xdr:col>
                <xdr:colOff>15</xdr:colOff>
                <xdr:row>155</xdr:row>
                <xdr:rowOff>9</xdr:rowOff>
              </xdr:from>
              <xdr:to>
                <xdr:col>11</xdr:col>
                <xdr:colOff>44</xdr:colOff>
                <xdr:row>158</xdr:row>
                <xdr:rowOff>29</xdr:rowOff>
              </xdr:to>
            </anchor>
          </commentPr>
        </mc:Choice>
        <mc:Fallback/>
      </mc:AlternateContent>
    </comment>
    <comment ref="I171" authorId="0">
      <text>
        <r>
          <rPr>
            <sz val="10"/>
            <rFont val="Arial"/>
            <family val="2"/>
          </rPr>
          <t xml:space="preserve">elenab:
</t>
        </r>
        <r>
          <rPr>
            <sz val="8"/>
            <color rgb="FF000000"/>
            <rFont val="Tahoma"/>
            <family val="2"/>
            <charset val="1"/>
          </rPr>
          <t xml:space="preserve">Se considera Quorum 50% +1.</t>
        </r>
      </text>
      <mc:AlternateContent>
        <mc:Choice Requires="v2">
          <commentPr autoFill="true" autoScale="false" colHidden="false" locked="false" rowHidden="false" textHAlign="justify" textVAlign="top">
            <anchor moveWithCells="false" sizeWithCells="false">
              <xdr:from>
                <xdr:col>9</xdr:col>
                <xdr:colOff>15</xdr:colOff>
                <xdr:row>168</xdr:row>
                <xdr:rowOff>16</xdr:rowOff>
              </xdr:from>
              <xdr:to>
                <xdr:col>11</xdr:col>
                <xdr:colOff>44</xdr:colOff>
                <xdr:row>172</xdr:row>
                <xdr:rowOff>17</xdr:rowOff>
              </xdr:to>
            </anchor>
          </commentPr>
        </mc:Choice>
        <mc:Fallback/>
      </mc:AlternateContent>
    </comment>
    <comment ref="I185" authorId="0">
      <text>
        <r>
          <rPr>
            <sz val="10"/>
            <rFont val="Arial"/>
            <family val="2"/>
          </rPr>
          <t xml:space="preserve">elenab:
</t>
        </r>
        <r>
          <rPr>
            <sz val="8"/>
            <color rgb="FF000000"/>
            <rFont val="Tahoma"/>
            <family val="2"/>
            <charset val="1"/>
          </rPr>
          <t xml:space="preserve">Se considera Quorum 50% +1.</t>
        </r>
      </text>
      <mc:AlternateContent>
        <mc:Choice Requires="v2">
          <commentPr autoFill="true" autoScale="false" colHidden="false" locked="false" rowHidden="false" textHAlign="justify" textVAlign="top">
            <anchor moveWithCells="false" sizeWithCells="false">
              <xdr:from>
                <xdr:col>9</xdr:col>
                <xdr:colOff>15</xdr:colOff>
                <xdr:row>182</xdr:row>
                <xdr:rowOff>16</xdr:rowOff>
              </xdr:from>
              <xdr:to>
                <xdr:col>11</xdr:col>
                <xdr:colOff>44</xdr:colOff>
                <xdr:row>186</xdr:row>
                <xdr:rowOff>17</xdr:rowOff>
              </xdr:to>
            </anchor>
          </commentPr>
        </mc:Choice>
        <mc:Fallback/>
      </mc:AlternateContent>
    </comment>
    <comment ref="I199" authorId="0">
      <text>
        <r>
          <rPr>
            <sz val="10"/>
            <rFont val="Arial"/>
            <family val="2"/>
          </rPr>
          <t xml:space="preserve">elenab:
</t>
        </r>
        <r>
          <rPr>
            <sz val="8"/>
            <color rgb="FF000000"/>
            <rFont val="Tahoma"/>
            <family val="2"/>
            <charset val="1"/>
          </rPr>
          <t xml:space="preserve">Se considera Quorum 50% +1.</t>
        </r>
      </text>
      <mc:AlternateContent>
        <mc:Choice Requires="v2">
          <commentPr autoFill="true" autoScale="false" colHidden="false" locked="false" rowHidden="false" textHAlign="justify" textVAlign="top">
            <anchor moveWithCells="false" sizeWithCells="false">
              <xdr:from>
                <xdr:col>9</xdr:col>
                <xdr:colOff>15</xdr:colOff>
                <xdr:row>196</xdr:row>
                <xdr:rowOff>16</xdr:rowOff>
              </xdr:from>
              <xdr:to>
                <xdr:col>11</xdr:col>
                <xdr:colOff>44</xdr:colOff>
                <xdr:row>200</xdr:row>
                <xdr:rowOff>17</xdr:rowOff>
              </xdr:to>
            </anchor>
          </commentPr>
        </mc:Choice>
        <mc:Fallback/>
      </mc:AlternateContent>
    </comment>
    <comment ref="I213" authorId="0">
      <text>
        <r>
          <rPr>
            <sz val="10"/>
            <rFont val="Arial"/>
            <family val="2"/>
          </rPr>
          <t xml:space="preserve">elenab:
</t>
        </r>
        <r>
          <rPr>
            <sz val="8"/>
            <color rgb="FF000000"/>
            <rFont val="Tahoma"/>
            <family val="2"/>
            <charset val="1"/>
          </rPr>
          <t xml:space="preserve">Se considera Quorum 50% +1.</t>
        </r>
      </text>
      <mc:AlternateContent>
        <mc:Choice Requires="v2">
          <commentPr autoFill="true" autoScale="false" colHidden="false" locked="false" rowHidden="false" textHAlign="justify" textVAlign="top">
            <anchor moveWithCells="false" sizeWithCells="false">
              <xdr:from>
                <xdr:col>9</xdr:col>
                <xdr:colOff>15</xdr:colOff>
                <xdr:row>210</xdr:row>
                <xdr:rowOff>16</xdr:rowOff>
              </xdr:from>
              <xdr:to>
                <xdr:col>11</xdr:col>
                <xdr:colOff>44</xdr:colOff>
                <xdr:row>214</xdr:row>
                <xdr:rowOff>17</xdr:rowOff>
              </xdr:to>
            </anchor>
          </commentPr>
        </mc:Choice>
        <mc:Fallback/>
      </mc:AlternateContent>
    </comment>
    <comment ref="I227" authorId="0">
      <text>
        <r>
          <rPr>
            <sz val="10"/>
            <rFont val="Arial"/>
            <family val="2"/>
          </rPr>
          <t xml:space="preserve">elenab:
</t>
        </r>
        <r>
          <rPr>
            <sz val="8"/>
            <color rgb="FF000000"/>
            <rFont val="Tahoma"/>
            <family val="2"/>
            <charset val="1"/>
          </rPr>
          <t xml:space="preserve">Se considera Quorum 50% +1.</t>
        </r>
      </text>
      <mc:AlternateContent>
        <mc:Choice Requires="v2">
          <commentPr autoFill="true" autoScale="false" colHidden="false" locked="false" rowHidden="false" textHAlign="justify" textVAlign="top">
            <anchor moveWithCells="false" sizeWithCells="false">
              <xdr:from>
                <xdr:col>9</xdr:col>
                <xdr:colOff>15</xdr:colOff>
                <xdr:row>224</xdr:row>
                <xdr:rowOff>16</xdr:rowOff>
              </xdr:from>
              <xdr:to>
                <xdr:col>11</xdr:col>
                <xdr:colOff>44</xdr:colOff>
                <xdr:row>228</xdr:row>
                <xdr:rowOff>17</xdr:rowOff>
              </xdr:to>
            </anchor>
          </commentPr>
        </mc:Choice>
        <mc:Fallback/>
      </mc:AlternateContent>
    </comment>
    <comment ref="I241" authorId="0">
      <text>
        <r>
          <rPr>
            <sz val="10"/>
            <rFont val="Arial"/>
            <family val="2"/>
          </rPr>
          <t xml:space="preserve">elenab:
</t>
        </r>
        <r>
          <rPr>
            <sz val="8"/>
            <color rgb="FF000000"/>
            <rFont val="Tahoma"/>
            <family val="2"/>
            <charset val="1"/>
          </rPr>
          <t xml:space="preserve">Se considera Quorum 50% +1.</t>
        </r>
      </text>
      <mc:AlternateContent>
        <mc:Choice Requires="v2">
          <commentPr autoFill="true" autoScale="false" colHidden="false" locked="false" rowHidden="false" textHAlign="justify" textVAlign="top">
            <anchor moveWithCells="false" sizeWithCells="false">
              <xdr:from>
                <xdr:col>9</xdr:col>
                <xdr:colOff>15</xdr:colOff>
                <xdr:row>238</xdr:row>
                <xdr:rowOff>16</xdr:rowOff>
              </xdr:from>
              <xdr:to>
                <xdr:col>11</xdr:col>
                <xdr:colOff>44</xdr:colOff>
                <xdr:row>242</xdr:row>
                <xdr:rowOff>17</xdr:rowOff>
              </xdr:to>
            </anchor>
          </commentPr>
        </mc:Choice>
        <mc:Fallback/>
      </mc:AlternateContent>
    </comment>
    <comment ref="I255" authorId="0">
      <text>
        <r>
          <rPr>
            <sz val="10"/>
            <rFont val="Arial"/>
            <family val="2"/>
          </rPr>
          <t xml:space="preserve">elenab:
</t>
        </r>
        <r>
          <rPr>
            <sz val="8"/>
            <color rgb="FF000000"/>
            <rFont val="Tahoma"/>
            <family val="2"/>
            <charset val="1"/>
          </rPr>
          <t xml:space="preserve">Se considera Quorum 50% +1.</t>
        </r>
      </text>
      <mc:AlternateContent>
        <mc:Choice Requires="v2">
          <commentPr autoFill="true" autoScale="false" colHidden="false" locked="false" rowHidden="false" textHAlign="justify" textVAlign="top">
            <anchor moveWithCells="false" sizeWithCells="false">
              <xdr:from>
                <xdr:col>9</xdr:col>
                <xdr:colOff>15</xdr:colOff>
                <xdr:row>252</xdr:row>
                <xdr:rowOff>8</xdr:rowOff>
              </xdr:from>
              <xdr:to>
                <xdr:col>11</xdr:col>
                <xdr:colOff>44</xdr:colOff>
                <xdr:row>256</xdr:row>
                <xdr:rowOff>9</xdr:rowOff>
              </xdr:to>
            </anchor>
          </commentPr>
        </mc:Choice>
        <mc:Fallback/>
      </mc:AlternateContent>
    </comment>
    <comment ref="I269" authorId="0">
      <text>
        <r>
          <rPr>
            <sz val="10"/>
            <rFont val="Arial"/>
            <family val="2"/>
          </rPr>
          <t xml:space="preserve">elenab:
</t>
        </r>
        <r>
          <rPr>
            <sz val="8"/>
            <color rgb="FF000000"/>
            <rFont val="Tahoma"/>
            <family val="2"/>
            <charset val="1"/>
          </rPr>
          <t xml:space="preserve">Se considera Quorum 50% +1.</t>
        </r>
      </text>
      <mc:AlternateContent>
        <mc:Choice Requires="v2">
          <commentPr autoFill="true" autoScale="false" colHidden="false" locked="false" rowHidden="false" textHAlign="justify" textVAlign="top">
            <anchor moveWithCells="false" sizeWithCells="false">
              <xdr:from>
                <xdr:col>9</xdr:col>
                <xdr:colOff>15</xdr:colOff>
                <xdr:row>266</xdr:row>
                <xdr:rowOff>8</xdr:rowOff>
              </xdr:from>
              <xdr:to>
                <xdr:col>11</xdr:col>
                <xdr:colOff>44</xdr:colOff>
                <xdr:row>270</xdr:row>
                <xdr:rowOff>9</xdr:rowOff>
              </xdr:to>
            </anchor>
          </commentPr>
        </mc:Choice>
        <mc:Fallback/>
      </mc:AlternateContent>
    </comment>
    <comment ref="I283" authorId="0">
      <text>
        <r>
          <rPr>
            <sz val="10"/>
            <rFont val="Arial"/>
            <family val="2"/>
          </rPr>
          <t xml:space="preserve">elenab:
</t>
        </r>
        <r>
          <rPr>
            <sz val="8"/>
            <color rgb="FF000000"/>
            <rFont val="Tahoma"/>
            <family val="2"/>
            <charset val="1"/>
          </rPr>
          <t xml:space="preserve">Se considera Quorum 50% +1.</t>
        </r>
      </text>
      <mc:AlternateContent>
        <mc:Choice Requires="v2">
          <commentPr autoFill="true" autoScale="false" colHidden="false" locked="false" rowHidden="false" textHAlign="justify" textVAlign="top">
            <anchor moveWithCells="false" sizeWithCells="false">
              <xdr:from>
                <xdr:col>9</xdr:col>
                <xdr:colOff>15</xdr:colOff>
                <xdr:row>280</xdr:row>
                <xdr:rowOff>8</xdr:rowOff>
              </xdr:from>
              <xdr:to>
                <xdr:col>11</xdr:col>
                <xdr:colOff>44</xdr:colOff>
                <xdr:row>284</xdr:row>
                <xdr:rowOff>9</xdr:rowOff>
              </xdr:to>
            </anchor>
          </commentPr>
        </mc:Choice>
        <mc:Fallback/>
      </mc:AlternateContent>
    </comment>
    <comment ref="I297" authorId="0">
      <text>
        <r>
          <rPr>
            <sz val="10"/>
            <rFont val="Arial"/>
            <family val="2"/>
          </rPr>
          <t xml:space="preserve">elenab:
</t>
        </r>
        <r>
          <rPr>
            <sz val="8"/>
            <color rgb="FF000000"/>
            <rFont val="Tahoma"/>
            <family val="2"/>
            <charset val="1"/>
          </rPr>
          <t xml:space="preserve">Se considera Quorum 50% +1.</t>
        </r>
      </text>
      <mc:AlternateContent>
        <mc:Choice Requires="v2">
          <commentPr autoFill="true" autoScale="false" colHidden="false" locked="false" rowHidden="false" textHAlign="justify" textVAlign="top">
            <anchor moveWithCells="false" sizeWithCells="false">
              <xdr:from>
                <xdr:col>9</xdr:col>
                <xdr:colOff>15</xdr:colOff>
                <xdr:row>294</xdr:row>
                <xdr:rowOff>8</xdr:rowOff>
              </xdr:from>
              <xdr:to>
                <xdr:col>11</xdr:col>
                <xdr:colOff>44</xdr:colOff>
                <xdr:row>298</xdr:row>
                <xdr:rowOff>9</xdr:rowOff>
              </xdr:to>
            </anchor>
          </commentPr>
        </mc:Choice>
        <mc:Fallback/>
      </mc:AlternateContent>
    </comment>
    <comment ref="I311" authorId="0">
      <text>
        <r>
          <rPr>
            <sz val="10"/>
            <rFont val="Arial"/>
            <family val="2"/>
          </rPr>
          <t xml:space="preserve">elenab:
</t>
        </r>
        <r>
          <rPr>
            <sz val="8"/>
            <color rgb="FF000000"/>
            <rFont val="Tahoma"/>
            <family val="2"/>
            <charset val="1"/>
          </rPr>
          <t xml:space="preserve">Se considera Quorum 50% +1.</t>
        </r>
      </text>
      <mc:AlternateContent>
        <mc:Choice Requires="v2">
          <commentPr autoFill="true" autoScale="false" colHidden="false" locked="false" rowHidden="false" textHAlign="justify" textVAlign="top">
            <anchor moveWithCells="false" sizeWithCells="false">
              <xdr:from>
                <xdr:col>9</xdr:col>
                <xdr:colOff>15</xdr:colOff>
                <xdr:row>308</xdr:row>
                <xdr:rowOff>8</xdr:rowOff>
              </xdr:from>
              <xdr:to>
                <xdr:col>11</xdr:col>
                <xdr:colOff>44</xdr:colOff>
                <xdr:row>312</xdr:row>
                <xdr:rowOff>9</xdr:rowOff>
              </xdr:to>
            </anchor>
          </commentPr>
        </mc:Choice>
        <mc:Fallback/>
      </mc:AlternateContent>
    </comment>
    <comment ref="I325" authorId="0">
      <text>
        <r>
          <rPr>
            <sz val="10"/>
            <rFont val="Arial"/>
            <family val="2"/>
          </rPr>
          <t xml:space="preserve">elenab:
</t>
        </r>
        <r>
          <rPr>
            <sz val="8"/>
            <color rgb="FF000000"/>
            <rFont val="Tahoma"/>
            <family val="2"/>
            <charset val="1"/>
          </rPr>
          <t xml:space="preserve">Se considera Quorum 50% +1.</t>
        </r>
      </text>
      <mc:AlternateContent>
        <mc:Choice Requires="v2">
          <commentPr autoFill="true" autoScale="false" colHidden="false" locked="false" rowHidden="false" textHAlign="justify" textVAlign="top">
            <anchor moveWithCells="false" sizeWithCells="false">
              <xdr:from>
                <xdr:col>9</xdr:col>
                <xdr:colOff>15</xdr:colOff>
                <xdr:row>322</xdr:row>
                <xdr:rowOff>8</xdr:rowOff>
              </xdr:from>
              <xdr:to>
                <xdr:col>11</xdr:col>
                <xdr:colOff>44</xdr:colOff>
                <xdr:row>326</xdr:row>
                <xdr:rowOff>10</xdr:rowOff>
              </xdr:to>
            </anchor>
          </commentPr>
        </mc:Choice>
        <mc:Fallback/>
      </mc:AlternateContent>
    </comment>
    <comment ref="I339" authorId="0">
      <text>
        <r>
          <rPr>
            <sz val="10"/>
            <rFont val="Arial"/>
            <family val="2"/>
          </rPr>
          <t xml:space="preserve">elenab:
</t>
        </r>
        <r>
          <rPr>
            <sz val="8"/>
            <color rgb="FF000000"/>
            <rFont val="Tahoma"/>
            <family val="2"/>
            <charset val="1"/>
          </rPr>
          <t xml:space="preserve">Se considera Quorum 50% +1.</t>
        </r>
      </text>
      <mc:AlternateContent>
        <mc:Choice Requires="v2">
          <commentPr autoFill="true" autoScale="false" colHidden="false" locked="false" rowHidden="false" textHAlign="justify" textVAlign="top">
            <anchor moveWithCells="false" sizeWithCells="false">
              <xdr:from>
                <xdr:col>9</xdr:col>
                <xdr:colOff>15</xdr:colOff>
                <xdr:row>335</xdr:row>
                <xdr:rowOff>15</xdr:rowOff>
              </xdr:from>
              <xdr:to>
                <xdr:col>11</xdr:col>
                <xdr:colOff>44</xdr:colOff>
                <xdr:row>339</xdr:row>
                <xdr:rowOff>15</xdr:rowOff>
              </xdr:to>
            </anchor>
          </commentPr>
        </mc:Choice>
        <mc:Fallback/>
      </mc:AlternateContent>
    </comment>
    <comment ref="I353" authorId="0">
      <text>
        <r>
          <rPr>
            <sz val="10"/>
            <rFont val="Arial"/>
            <family val="2"/>
          </rPr>
          <t xml:space="preserve">elenab:
</t>
        </r>
        <r>
          <rPr>
            <sz val="8"/>
            <color rgb="FF000000"/>
            <rFont val="Tahoma"/>
            <family val="2"/>
            <charset val="1"/>
          </rPr>
          <t xml:space="preserve">Se considera Quorum 50% +1.</t>
        </r>
      </text>
      <mc:AlternateContent>
        <mc:Choice Requires="v2">
          <commentPr autoFill="true" autoScale="false" colHidden="false" locked="false" rowHidden="false" textHAlign="justify" textVAlign="top">
            <anchor moveWithCells="false" sizeWithCells="false">
              <xdr:from>
                <xdr:col>9</xdr:col>
                <xdr:colOff>15</xdr:colOff>
                <xdr:row>348</xdr:row>
                <xdr:rowOff>15</xdr:rowOff>
              </xdr:from>
              <xdr:to>
                <xdr:col>11</xdr:col>
                <xdr:colOff>44</xdr:colOff>
                <xdr:row>352</xdr:row>
                <xdr:rowOff>13</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Usuario</author>
  </authors>
  <commentList>
    <comment ref="T6" authorId="0">
      <text>
        <r>
          <rPr>
            <sz val="10"/>
            <rFont val="Arial"/>
            <family val="2"/>
          </rPr>
          <t xml:space="preserve">Usuario:
</t>
        </r>
        <r>
          <rPr>
            <sz val="9"/>
            <color rgb="FF000000"/>
            <rFont val="Tahoma"/>
            <family val="0"/>
            <charset val="1"/>
          </rPr>
          <t xml:space="preserve">No lo ubica en la categoría</t>
        </r>
      </text>
      <mc:AlternateContent>
        <mc:Choice Requires="v2">
          <commentPr autoFill="true" autoScale="false" colHidden="false" locked="false" rowHidden="false" textHAlign="justify" textVAlign="top">
            <anchor moveWithCells="false" sizeWithCells="false">
              <xdr:from>
                <xdr:col>14</xdr:col>
                <xdr:colOff>5</xdr:colOff>
                <xdr:row>4</xdr:row>
                <xdr:rowOff>87</xdr:rowOff>
              </xdr:from>
              <xdr:to>
                <xdr:col>16</xdr:col>
                <xdr:colOff>46</xdr:colOff>
                <xdr:row>5</xdr:row>
                <xdr:rowOff>40</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Usuario</author>
  </authors>
  <commentList>
    <comment ref="F3" authorId="0">
      <text>
        <r>
          <rPr>
            <sz val="10"/>
            <rFont val="Arial"/>
            <family val="2"/>
          </rPr>
          <t xml:space="preserve">Usuario:
</t>
        </r>
        <r>
          <rPr>
            <sz val="9"/>
            <color rgb="FF000000"/>
            <rFont val="Tahoma"/>
            <family val="0"/>
            <charset val="1"/>
          </rPr>
          <t xml:space="preserve">Se debia cambiar esta redacción.</t>
        </r>
      </text>
      <mc:AlternateContent>
        <mc:Choice Requires="v2">
          <commentPr autoFill="true" autoScale="false" colHidden="false" locked="false" rowHidden="false" textHAlign="justify" textVAlign="top">
            <anchor moveWithCells="false" sizeWithCells="false">
              <xdr:from>
                <xdr:col>6</xdr:col>
                <xdr:colOff>15</xdr:colOff>
                <xdr:row>1</xdr:row>
                <xdr:rowOff>64</xdr:rowOff>
              </xdr:from>
              <xdr:to>
                <xdr:col>7</xdr:col>
                <xdr:colOff>9</xdr:colOff>
                <xdr:row>3</xdr:row>
                <xdr:rowOff>5</xdr:rowOff>
              </xdr:to>
            </anchor>
          </commentPr>
        </mc:Choice>
        <mc:Fallback/>
      </mc:AlternateContent>
    </comment>
  </commentList>
</comments>
</file>

<file path=xl/comments2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Erika López</author>
    <author>XXXX</author>
  </authors>
  <commentList>
    <comment ref="AU10" authorId="0">
      <text>
        <r>
          <rPr>
            <sz val="10"/>
            <rFont val="Arial"/>
            <family val="2"/>
          </rPr>
          <t xml:space="preserve">Erika López:
</t>
        </r>
        <r>
          <rPr>
            <sz val="9"/>
            <color rgb="FF000000"/>
            <rFont val="Tahoma"/>
            <family val="2"/>
            <charset val="1"/>
          </rPr>
          <t xml:space="preserve">llenar en caso que la columna anterior sea "No"
</t>
        </r>
      </text>
      <mc:AlternateContent>
        <mc:Choice Requires="v2">
          <commentPr autoFill="true" autoScale="false" colHidden="false" locked="false" rowHidden="false" textHAlign="justify" textVAlign="top">
            <anchor moveWithCells="false" sizeWithCells="false">
              <xdr:from>
                <xdr:col>52</xdr:col>
                <xdr:colOff>113</xdr:colOff>
                <xdr:row>4</xdr:row>
                <xdr:rowOff>40</xdr:rowOff>
              </xdr:from>
              <xdr:to>
                <xdr:col>54</xdr:col>
                <xdr:colOff>28</xdr:colOff>
                <xdr:row>9</xdr:row>
                <xdr:rowOff>44</xdr:rowOff>
              </xdr:to>
            </anchor>
          </commentPr>
        </mc:Choice>
        <mc:Fallback/>
      </mc:AlternateContent>
    </comment>
    <comment ref="BA10" authorId="1">
      <text>
        <r>
          <rPr>
            <sz val="10"/>
            <rFont val="Arial"/>
            <family val="2"/>
          </rPr>
          <t xml:space="preserve">XXXX:
</t>
        </r>
        <r>
          <rPr>
            <sz val="8"/>
            <color rgb="FF000000"/>
            <rFont val="Tahoma"/>
            <family val="2"/>
            <charset val="1"/>
          </rPr>
          <t xml:space="preserve">se debe incluir el espacio disponible en metros y condiciones generales</t>
        </r>
      </text>
      <mc:AlternateContent>
        <mc:Choice Requires="v2">
          <commentPr autoFill="true" autoScale="false" colHidden="false" locked="false" rowHidden="false" textHAlign="justify" textVAlign="top">
            <anchor moveWithCells="false" sizeWithCells="false">
              <xdr:from>
                <xdr:col>58</xdr:col>
                <xdr:colOff>43</xdr:colOff>
                <xdr:row>4</xdr:row>
                <xdr:rowOff>40</xdr:rowOff>
              </xdr:from>
              <xdr:to>
                <xdr:col>60</xdr:col>
                <xdr:colOff>12</xdr:colOff>
                <xdr:row>9</xdr:row>
                <xdr:rowOff>44</xdr:rowOff>
              </xdr:to>
            </anchor>
          </commentPr>
        </mc:Choice>
        <mc:Fallback/>
      </mc:AlternateContent>
    </comment>
  </commentList>
</comments>
</file>

<file path=xl/sharedStrings.xml><?xml version="1.0" encoding="utf-8"?>
<sst xmlns="http://schemas.openxmlformats.org/spreadsheetml/2006/main" count="2858" uniqueCount="825">
  <si>
    <t xml:space="preserve">IDENTIFICACION</t>
  </si>
  <si>
    <r>
      <rPr>
        <b val="true"/>
        <sz val="11"/>
        <color rgb="FF000000"/>
        <rFont val="Arial"/>
        <family val="2"/>
        <charset val="1"/>
      </rPr>
      <t xml:space="preserve">IR.1.1.10 </t>
    </r>
    <r>
      <rPr>
        <sz val="11"/>
        <color rgb="FF000000"/>
        <rFont val="Arial"/>
        <family val="2"/>
        <charset val="1"/>
      </rPr>
      <t xml:space="preserve">Al finalizar el Programa, 540 familias de los municipios de LC, SSY y SRN tienen acceso a agua potable de calidad de forma continuo y sostenible.
</t>
    </r>
  </si>
  <si>
    <r>
      <rPr>
        <b val="true"/>
        <sz val="11"/>
        <color rgb="FF000000"/>
        <rFont val="Arial"/>
        <family val="2"/>
        <charset val="1"/>
      </rPr>
      <t xml:space="preserve">IR.1.1.13 </t>
    </r>
    <r>
      <rPr>
        <sz val="11"/>
        <color rgb="FF000000"/>
        <rFont val="Arial"/>
        <family val="2"/>
        <charset val="1"/>
      </rPr>
      <t xml:space="preserve">Al finalizar el programa 24 CAPS de la zona de intervención han entregado al INAA todos los requisitos para su legalización, según el procedimiento de la ley 722 de CAPS.
</t>
    </r>
    <r>
      <rPr>
        <b val="true"/>
        <sz val="11"/>
        <color rgb="FF000000"/>
        <rFont val="Arial"/>
        <family val="2"/>
        <charset val="1"/>
      </rPr>
      <t xml:space="preserve">IR.1.1.21</t>
    </r>
    <r>
      <rPr>
        <sz val="11"/>
        <color rgb="FF000000"/>
        <rFont val="Arial"/>
        <family val="2"/>
        <charset val="1"/>
      </rPr>
      <t xml:space="preserve"> 12 CAPS con participación de al menos un 50% de mujeres en la toma de decisiones</t>
    </r>
  </si>
  <si>
    <r>
      <rPr>
        <b val="true"/>
        <sz val="11"/>
        <color rgb="FF000000"/>
        <rFont val="Arial"/>
        <family val="2"/>
        <charset val="1"/>
      </rPr>
      <t xml:space="preserve">IR.1.1.16 </t>
    </r>
    <r>
      <rPr>
        <sz val="11"/>
        <color rgb="FF000000"/>
        <rFont val="Arial"/>
        <family val="2"/>
        <charset val="1"/>
      </rPr>
      <t xml:space="preserve">24 CAPS logran mantener como mínimo un 10% extra sobre sus costos de funcionamiento mensual.</t>
    </r>
  </si>
  <si>
    <r>
      <rPr>
        <b val="true"/>
        <sz val="11"/>
        <color rgb="FF000000"/>
        <rFont val="Arial"/>
        <family val="2"/>
        <charset val="1"/>
      </rPr>
      <t xml:space="preserve">IR.1.1.17 </t>
    </r>
    <r>
      <rPr>
        <sz val="11"/>
        <color rgb="FF000000"/>
        <rFont val="Arial"/>
        <family val="2"/>
        <charset val="1"/>
      </rPr>
      <t xml:space="preserve">24 CAPS cuentan e implementan un plan de operación y  mantenimiento…
</t>
    </r>
  </si>
  <si>
    <r>
      <rPr>
        <b val="true"/>
        <sz val="11"/>
        <color rgb="FF000000"/>
        <rFont val="Arial"/>
        <family val="2"/>
        <charset val="1"/>
      </rPr>
      <t xml:space="preserve">IR.1.1.14 </t>
    </r>
    <r>
      <rPr>
        <sz val="11"/>
        <color rgb="FF000000"/>
        <rFont val="Arial"/>
        <family val="2"/>
        <charset val="1"/>
      </rPr>
      <t xml:space="preserve">24 CAPS realizan asambleas comunitarias de rendición de cuentas conforme a su Reglamento Interno.</t>
    </r>
  </si>
  <si>
    <r>
      <rPr>
        <b val="true"/>
        <sz val="11"/>
        <rFont val="Arial"/>
        <family val="2"/>
        <charset val="1"/>
      </rPr>
      <t xml:space="preserve">IR.1.1.20   </t>
    </r>
    <r>
      <rPr>
        <sz val="11"/>
        <rFont val="Arial"/>
        <family val="2"/>
        <charset val="1"/>
      </rPr>
      <t xml:space="preserve">24 CAPS recogen en sus planes de acción y reglamento interno medidas y acciones positivas dirigidas a promover la participación activa de las mujeres</t>
    </r>
  </si>
  <si>
    <r>
      <rPr>
        <b val="true"/>
        <sz val="12"/>
        <color rgb="FF000000"/>
        <rFont val="Arial"/>
        <family val="2"/>
        <charset val="1"/>
      </rPr>
      <t xml:space="preserve">IR.1.1.10 </t>
    </r>
    <r>
      <rPr>
        <sz val="12"/>
        <color rgb="FF000000"/>
        <rFont val="Arial"/>
        <family val="2"/>
        <charset val="1"/>
      </rPr>
      <t xml:space="preserve">Al finalizar el Programa, 540 familias de los municipios de LC, SSY y SRN tienen acceso a agua potable de calidad de forma continuo y sostenible.</t>
    </r>
  </si>
  <si>
    <r>
      <rPr>
        <b val="true"/>
        <sz val="12"/>
        <color rgb="FFFF0000"/>
        <rFont val="Arial Narrow"/>
        <family val="2"/>
        <charset val="1"/>
      </rPr>
      <t xml:space="preserve">HOJAS RELACIONADAS PARA REGRESAR HAGA CLICK </t>
    </r>
    <r>
      <rPr>
        <b val="true"/>
        <sz val="12"/>
        <color rgb="FFFF0000"/>
        <rFont val="Wingdings"/>
        <family val="0"/>
        <charset val="2"/>
      </rPr>
      <t xml:space="preserve">è</t>
    </r>
  </si>
  <si>
    <t xml:space="preserve">Utilizar Hoja Org_CAPS</t>
  </si>
  <si>
    <t xml:space="preserve">Hoja "Entrevista_CAPS"</t>
  </si>
  <si>
    <t xml:space="preserve">Hoja Gestión_ CAPS </t>
  </si>
  <si>
    <t xml:space="preserve">Hoja " Entrevista_CAPS"</t>
  </si>
  <si>
    <t xml:space="preserve">Hoja " Est_Conservación"</t>
  </si>
  <si>
    <t xml:space="preserve">IR.1.1.20Género!A1</t>
  </si>
  <si>
    <t xml:space="preserve">Ind.Sostenib.!A1</t>
  </si>
  <si>
    <t xml:space="preserve">INSTRUCCIONES PARA EL CALCULO DEL INDICE DE SOSTENIBILIDAD</t>
  </si>
  <si>
    <t xml:space="preserve">Municipio</t>
  </si>
  <si>
    <t xml:space="preserve">Microregión /Distrito</t>
  </si>
  <si>
    <t xml:space="preserve">Comunidad/CAPS</t>
  </si>
  <si>
    <t xml:space="preserve">Tipo de Sistema</t>
  </si>
  <si>
    <t xml:space="preserve">Tiempo de Conformación</t>
  </si>
  <si>
    <t xml:space="preserve">A.Organización</t>
  </si>
  <si>
    <t xml:space="preserve">B.Capital Social</t>
  </si>
  <si>
    <t xml:space="preserve">C.Autogestión</t>
  </si>
  <si>
    <t xml:space="preserve">D.Recuperación de costes</t>
  </si>
  <si>
    <t xml:space="preserve">E.Operación &amp; Mantenimiento</t>
  </si>
  <si>
    <t xml:space="preserve">F.Salud Comunitaria y Ambiental</t>
  </si>
  <si>
    <t xml:space="preserve">G.Rendición de cuentas</t>
  </si>
  <si>
    <t xml:space="preserve">H.Estado y conservación sistema</t>
  </si>
  <si>
    <t xml:space="preserve">I.Incorporacion del 
enfoque de  Gènero</t>
  </si>
  <si>
    <t xml:space="preserve">Indice de Sostenibilidad 
MABE </t>
  </si>
  <si>
    <t xml:space="preserve">Indice de Sostenbilidad
 MAG</t>
  </si>
  <si>
    <t xml:space="preserve">nº miembros totales</t>
  </si>
  <si>
    <t xml:space="preserve">Val</t>
  </si>
  <si>
    <t xml:space="preserve">Legalización</t>
  </si>
  <si>
    <t xml:space="preserve">50% particip. Mujeres</t>
  </si>
  <si>
    <t xml:space="preserve">Capacidad Convocatoria</t>
  </si>
  <si>
    <t xml:space="preserve">A</t>
  </si>
  <si>
    <t xml:space="preserve">Red CAPs</t>
  </si>
  <si>
    <t xml:space="preserve">CMC</t>
  </si>
  <si>
    <t xml:space="preserve">COMACO</t>
  </si>
  <si>
    <t xml:space="preserve">CMR</t>
  </si>
  <si>
    <t xml:space="preserve">CPC</t>
  </si>
  <si>
    <t xml:space="preserve">CAS</t>
  </si>
  <si>
    <t xml:space="preserve">B</t>
  </si>
  <si>
    <t xml:space="preserve">C1</t>
  </si>
  <si>
    <t xml:space="preserve">D1</t>
  </si>
  <si>
    <t xml:space="preserve">D2</t>
  </si>
  <si>
    <t xml:space="preserve">D</t>
  </si>
  <si>
    <t xml:space="preserve">E1</t>
  </si>
  <si>
    <t xml:space="preserve">E2</t>
  </si>
  <si>
    <t xml:space="preserve">E</t>
  </si>
  <si>
    <t xml:space="preserve">F1</t>
  </si>
  <si>
    <t xml:space="preserve">F2</t>
  </si>
  <si>
    <t xml:space="preserve">F3</t>
  </si>
  <si>
    <t xml:space="preserve">F4</t>
  </si>
  <si>
    <t xml:space="preserve">F5</t>
  </si>
  <si>
    <t xml:space="preserve">F6</t>
  </si>
  <si>
    <t xml:space="preserve">F</t>
  </si>
  <si>
    <t xml:space="preserve">G1</t>
  </si>
  <si>
    <t xml:space="preserve">G2</t>
  </si>
  <si>
    <t xml:space="preserve">G3</t>
  </si>
  <si>
    <t xml:space="preserve">G</t>
  </si>
  <si>
    <t xml:space="preserve">H1</t>
  </si>
  <si>
    <t xml:space="preserve">H2</t>
  </si>
  <si>
    <t xml:space="preserve">H3</t>
  </si>
  <si>
    <t xml:space="preserve">H4</t>
  </si>
  <si>
    <t xml:space="preserve">H</t>
  </si>
  <si>
    <t xml:space="preserve">I</t>
  </si>
  <si>
    <t xml:space="preserve">0-5 años</t>
  </si>
  <si>
    <t xml:space="preserve">5-10 años </t>
  </si>
  <si>
    <t xml:space="preserve">màs de 10 años</t>
  </si>
  <si>
    <t xml:space="preserve">SRN</t>
  </si>
  <si>
    <t xml:space="preserve">1- El Diamante/ San Martin </t>
  </si>
  <si>
    <t xml:space="preserve">MABE</t>
  </si>
  <si>
    <t xml:space="preserve">mas de 10 años</t>
  </si>
  <si>
    <t xml:space="preserve">Para el càlculo del Indice de la sostenibilidad de los sistemas se utilizará la tabla de la hoja Indic_sostenibilidad ( porcentajes según el sistema  y conservación construcción),la fórmula a colocar será la suma de la ùltima columna, ejemplo la A,B,C.... H  de cada medición pòr el porcentaje correspondiente segùn tabla de  indicadores. 
Para ejemplificar:  ((M6*0,15)+(T6*0,05)+(V6+0,15)+(Y6*0,15)+(AB6*0,15)+(AI6*0,15)+(AM6*0,05)+(AT6*0,10)+(AW6*0,10)+100)</t>
  </si>
  <si>
    <t xml:space="preserve">2- La Breiera</t>
  </si>
  <si>
    <t xml:space="preserve">MAG</t>
  </si>
  <si>
    <t xml:space="preserve">5 - 10 años</t>
  </si>
  <si>
    <t xml:space="preserve">3- Valle de Suni</t>
  </si>
  <si>
    <t xml:space="preserve">0 - 5 años</t>
  </si>
  <si>
    <t xml:space="preserve">4- El Espino</t>
  </si>
  <si>
    <t xml:space="preserve">5- San Marcos</t>
  </si>
  <si>
    <t xml:space="preserve">6- Los Arados</t>
  </si>
  <si>
    <t xml:space="preserve">7- Lomas de Sacacli</t>
  </si>
  <si>
    <t xml:space="preserve">8- Sacacli</t>
  </si>
  <si>
    <t xml:space="preserve">9- Estación Cerro Grande</t>
  </si>
  <si>
    <t xml:space="preserve">No existe SAP</t>
  </si>
  <si>
    <t xml:space="preserve">LC</t>
  </si>
  <si>
    <t xml:space="preserve">10- Valerio</t>
  </si>
  <si>
    <t xml:space="preserve">5- 10 años</t>
  </si>
  <si>
    <t xml:space="preserve">11- Yupali</t>
  </si>
  <si>
    <t xml:space="preserve">12- Gracalcan</t>
  </si>
  <si>
    <t xml:space="preserve">13- Agua Fria</t>
  </si>
  <si>
    <t xml:space="preserve">14- Zapote Oriental</t>
  </si>
  <si>
    <t xml:space="preserve">15- Santiago del Coyolito</t>
  </si>
  <si>
    <t xml:space="preserve">16- Las Quebradas</t>
  </si>
  <si>
    <t xml:space="preserve">SSY</t>
  </si>
  <si>
    <t xml:space="preserve">17- La Naranjita</t>
  </si>
  <si>
    <t xml:space="preserve">18- Los Prendedizos</t>
  </si>
  <si>
    <t xml:space="preserve">5 -10 años</t>
  </si>
  <si>
    <t xml:space="preserve">19- Las Trozas</t>
  </si>
  <si>
    <t xml:space="preserve">20- Las Delicias</t>
  </si>
  <si>
    <t xml:space="preserve">21- El Volcán</t>
  </si>
  <si>
    <t xml:space="preserve">22- El Regadio</t>
  </si>
  <si>
    <t xml:space="preserve">0- 5 años</t>
  </si>
  <si>
    <t xml:space="preserve">23- Quebrada Arriba</t>
  </si>
  <si>
    <t xml:space="preserve">24- La Garita</t>
  </si>
  <si>
    <t xml:space="preserve">25- Cayancimil</t>
  </si>
  <si>
    <t xml:space="preserve">26- El Barro</t>
  </si>
  <si>
    <t xml:space="preserve">TIPO DE SISTEMA: MAG</t>
  </si>
  <si>
    <t xml:space="preserve">COMUNIDAD</t>
  </si>
  <si>
    <t xml:space="preserve">1)CAPTACION</t>
  </si>
  <si>
    <t xml:space="preserve">2)TANQUE DE ALMACENAMIENTO</t>
  </si>
  <si>
    <t xml:space="preserve">3) CLORINADOR</t>
  </si>
  <si>
    <t xml:space="preserve">4) OTROS</t>
  </si>
  <si>
    <t xml:space="preserve">MAG1</t>
  </si>
  <si>
    <t xml:space="preserve">MAG2</t>
  </si>
  <si>
    <t xml:space="preserve">MAG3</t>
  </si>
  <si>
    <t xml:space="preserve">MAG4</t>
  </si>
  <si>
    <t xml:space="preserve">MAG5</t>
  </si>
  <si>
    <t xml:space="preserve">MAG6</t>
  </si>
  <si>
    <t xml:space="preserve">MAG7</t>
  </si>
  <si>
    <t xml:space="preserve">MAG8</t>
  </si>
  <si>
    <t xml:space="preserve">MAG9</t>
  </si>
  <si>
    <t xml:space="preserve">MAG10</t>
  </si>
  <si>
    <t xml:space="preserve">MAG11</t>
  </si>
  <si>
    <t xml:space="preserve">MAG12</t>
  </si>
  <si>
    <t xml:space="preserve">MAG13</t>
  </si>
  <si>
    <t xml:space="preserve">Entrevistado por:</t>
  </si>
  <si>
    <t xml:space="preserve">Fecha de la Entrevista</t>
  </si>
  <si>
    <t xml:space="preserve">¿Está cerca la obra de captación, a la primera casa?
</t>
  </si>
  <si>
    <t xml:space="preserve">¿La cerca de la obra de captación está en buen estado?
</t>
  </si>
  <si>
    <t xml:space="preserve">No se observan focos de contaminación (restos de envases de pesticidas, basura, heces…) alrededor de la fuente de agua?</t>
  </si>
  <si>
    <t xml:space="preserve">¿No Tiene grietas la obra de captación?</t>
  </si>
  <si>
    <t xml:space="preserve">Está cercado el tanque de almacenamiento?</t>
  </si>
  <si>
    <t xml:space="preserve">La cerca del tanque está en buen estado?</t>
  </si>
  <si>
    <t xml:space="preserve">No tiene grietas el tanque de almacenamiento?</t>
  </si>
  <si>
    <t xml:space="preserve">No Tiene fugas el tanque de almacenamiento?</t>
  </si>
  <si>
    <t xml:space="preserve">No Rebosa el tanque de almacenamiento?</t>
  </si>
  <si>
    <t xml:space="preserve">Están las válvulas del tanque en buen estado?</t>
  </si>
  <si>
    <t xml:space="preserve">Está la tapa de inspección en buen estado?</t>
  </si>
  <si>
    <t xml:space="preserve">Está funcionando el sistema de cloración?</t>
  </si>
  <si>
    <t xml:space="preserve">Durante el recorrido, hay fugas visibles en el sistema?</t>
  </si>
  <si>
    <t xml:space="preserve">1- El Diamante.</t>
  </si>
  <si>
    <t xml:space="preserve">Nohemi Mercado</t>
  </si>
  <si>
    <t xml:space="preserve">Arlen Zeledón</t>
  </si>
  <si>
    <t xml:space="preserve">ESTADO DE CONSERVACION DE LOS SISTEMAS MABE</t>
  </si>
  <si>
    <t xml:space="preserve">1) Estación de Bombeo</t>
  </si>
  <si>
    <t xml:space="preserve">2)Tanque de Almacenamiento</t>
  </si>
  <si>
    <t xml:space="preserve">3) Clorinador</t>
  </si>
  <si>
    <t xml:space="preserve">4) Otros</t>
  </si>
  <si>
    <t xml:space="preserve">MABE1</t>
  </si>
  <si>
    <t xml:space="preserve">MABE 2</t>
  </si>
  <si>
    <t xml:space="preserve">MABE3</t>
  </si>
  <si>
    <t xml:space="preserve">MABE4</t>
  </si>
  <si>
    <t xml:space="preserve">MABE5</t>
  </si>
  <si>
    <t xml:space="preserve">MABE6</t>
  </si>
  <si>
    <t xml:space="preserve">MABE7</t>
  </si>
  <si>
    <t xml:space="preserve">MABE8</t>
  </si>
  <si>
    <t xml:space="preserve">MABE9</t>
  </si>
  <si>
    <t xml:space="preserve">MABE10</t>
  </si>
  <si>
    <t xml:space="preserve">MABE11</t>
  </si>
  <si>
    <t xml:space="preserve">MABE12</t>
  </si>
  <si>
    <t xml:space="preserve">MABE14</t>
  </si>
  <si>
    <t xml:space="preserve">MABE16</t>
  </si>
  <si>
    <t xml:space="preserve">Tiene cerco de protección el predio del pozo</t>
  </si>
  <si>
    <t xml:space="preserve">No hay letrinas ubicadas a menos de 20 mts del pozo </t>
  </si>
  <si>
    <t xml:space="preserve">Las paredes y el techo de la caseta de bombeo están en buen estado?</t>
  </si>
  <si>
    <t xml:space="preserve">La caseta tiene puerta cerrada con llave</t>
  </si>
  <si>
    <t xml:space="preserve">Está registrando el macromedidor</t>
  </si>
  <si>
    <t xml:space="preserve">Durante el recorrido, No hay fugas visibles en el sistema?</t>
  </si>
  <si>
    <t xml:space="preserve">13702/12</t>
  </si>
  <si>
    <t xml:space="preserve">INDICE DE HERRAMIENTAS DE LOS INDICADORES SOSTENIBILIDAD DE LOS CAPS</t>
  </si>
  <si>
    <t xml:space="preserve">Ir a Resultados Finales</t>
  </si>
  <si>
    <t xml:space="preserve">Código</t>
  </si>
  <si>
    <t xml:space="preserve">Nombre/Descripción</t>
  </si>
  <si>
    <t xml:space="preserve">Haga click en el link siguiente</t>
  </si>
  <si>
    <t xml:space="preserve">OBSERVACION</t>
  </si>
  <si>
    <t xml:space="preserve">Fuente de la información</t>
  </si>
  <si>
    <t xml:space="preserve">BAREMOS INDICE DE SOSTENIBILIDAD </t>
  </si>
  <si>
    <t xml:space="preserve">Ind.Sostenib.</t>
  </si>
  <si>
    <t xml:space="preserve">Esta tabla debe ser modificada antes de comenzar el análisis.</t>
  </si>
  <si>
    <t xml:space="preserve">No procede</t>
  </si>
  <si>
    <t xml:space="preserve">Resultado del Índice de Sostenibilidad obtenido</t>
  </si>
  <si>
    <t xml:space="preserve">Resultado Final</t>
  </si>
  <si>
    <t xml:space="preserve">Esta tabla se nutre de todas las pestañas anteriores. POR FAVOR NO MODIFICAR NADA. :)</t>
  </si>
  <si>
    <t xml:space="preserve">Listado de CAPS a evaluar</t>
  </si>
  <si>
    <t xml:space="preserve">Listado CAPS</t>
  </si>
  <si>
    <t xml:space="preserve">Completar nombres CAPS a evaluar.</t>
  </si>
  <si>
    <t xml:space="preserve">Conformación de la JD</t>
  </si>
  <si>
    <t xml:space="preserve">Conformación JD</t>
  </si>
  <si>
    <t xml:space="preserve">Completar con en acta Constitutiva de la JD o la actualizada si hubo reestructuración.</t>
  </si>
  <si>
    <t xml:space="preserve">Acta constitutiva</t>
  </si>
  <si>
    <t xml:space="preserve">A.</t>
  </si>
  <si>
    <t xml:space="preserve">ORGANIZACIÓN </t>
  </si>
  <si>
    <t xml:space="preserve">Si no hay libro de actas no se puede completar este criterio</t>
  </si>
  <si>
    <t xml:space="preserve">Nº miembros activos JD</t>
  </si>
  <si>
    <t xml:space="preserve">Libro de Actas</t>
  </si>
  <si>
    <t xml:space="preserve">Participación de mujeres</t>
  </si>
  <si>
    <t xml:space="preserve">Capacidad de convocatoria</t>
  </si>
  <si>
    <t xml:space="preserve">Se asume la informacion facilitada por el caps</t>
  </si>
  <si>
    <t xml:space="preserve">Cartas/ Invitaciones</t>
  </si>
  <si>
    <t xml:space="preserve">A.Legalización</t>
  </si>
  <si>
    <t xml:space="preserve">Certificados oficiales</t>
  </si>
  <si>
    <t xml:space="preserve">B.</t>
  </si>
  <si>
    <t xml:space="preserve">CAPITAL SOCIAL </t>
  </si>
  <si>
    <t xml:space="preserve">Espacios comunitarios en los que la JD del CAPS participa</t>
  </si>
  <si>
    <t xml:space="preserve">B.CapitalSocial</t>
  </si>
  <si>
    <t xml:space="preserve">Entrevistas realizadas al CAPS</t>
  </si>
  <si>
    <t xml:space="preserve">C.</t>
  </si>
  <si>
    <t xml:space="preserve">AUTOGESTION</t>
  </si>
  <si>
    <t xml:space="preserve">Capacidad de resolución de problemas (administrativo, legal, organizativo, técnico)</t>
  </si>
  <si>
    <t xml:space="preserve">C.AutoGestionCAPS</t>
  </si>
  <si>
    <t xml:space="preserve">Cartas, informes</t>
  </si>
  <si>
    <t xml:space="preserve">D.</t>
  </si>
  <si>
    <t xml:space="preserve">RECUPERACIÓN DE COSTOS</t>
  </si>
  <si>
    <t xml:space="preserve">D.RecuperacióndeCostes</t>
  </si>
  <si>
    <t xml:space="preserve">Libros contables
Reportes mensuales de la cuenta de ahorro</t>
  </si>
  <si>
    <t xml:space="preserve">E.</t>
  </si>
  <si>
    <t xml:space="preserve">OPERACIÓN Y MANTENIMIENTO</t>
  </si>
  <si>
    <t xml:space="preserve">Existencia de Plan de Operación y Mantenimiento.
Realización del 60% de las acciones recogidas en el Plan.</t>
  </si>
  <si>
    <t xml:space="preserve">E.Ope y Manten</t>
  </si>
  <si>
    <t xml:space="preserve">Actividades recogidas en los Libros de actas. Perioricidad en función del RI</t>
  </si>
  <si>
    <t xml:space="preserve">F.</t>
  </si>
  <si>
    <t xml:space="preserve">SALUD COMUNITARIA Y AMBIENTAL</t>
  </si>
  <si>
    <t xml:space="preserve">F.Salud Comunit</t>
  </si>
  <si>
    <t xml:space="preserve">Reportes de actividades recogidas en los Libros de actas</t>
  </si>
  <si>
    <t xml:space="preserve">G.</t>
  </si>
  <si>
    <t xml:space="preserve">RENDICIÓN DE CUENTAS</t>
  </si>
  <si>
    <t xml:space="preserve">Libros contables
Libro de Actas</t>
  </si>
  <si>
    <t xml:space="preserve">H.</t>
  </si>
  <si>
    <t xml:space="preserve">CONSERVACIÓN DEL SISTEMA</t>
  </si>
  <si>
    <t xml:space="preserve">Conservación del sistema: MABE</t>
  </si>
  <si>
    <t xml:space="preserve">H.1 Estado_Conserv MABE</t>
  </si>
  <si>
    <t xml:space="preserve">Inspección ocular</t>
  </si>
  <si>
    <t xml:space="preserve">Conservación del sistema: MAG</t>
  </si>
  <si>
    <t xml:space="preserve">H.2.Estado_Conserv.MAG</t>
  </si>
  <si>
    <t xml:space="preserve">Conservación del sistema: POZOS</t>
  </si>
  <si>
    <t xml:space="preserve">H.3.Estado_Consev.Pozos</t>
  </si>
  <si>
    <t xml:space="preserve">I.</t>
  </si>
  <si>
    <t xml:space="preserve">GÉNERO</t>
  </si>
  <si>
    <t xml:space="preserve">Acciones positivas dirigidas a promover la participación activa de las mujeres y acciones contempladas en Reglamento Interno.</t>
  </si>
  <si>
    <t xml:space="preserve">I.Genero</t>
  </si>
  <si>
    <t xml:space="preserve">Volver a Tabla de contenidos</t>
  </si>
  <si>
    <t xml:space="preserve">INDICES DE SOSTENIBILIDAD </t>
  </si>
  <si>
    <t xml:space="preserve">Años de Construcción del SAP</t>
  </si>
  <si>
    <t xml:space="preserve">Organización</t>
  </si>
  <si>
    <t xml:space="preserve">Nivel de Servicio de agua</t>
  </si>
  <si>
    <t xml:space="preserve">Recuperación de Costes</t>
  </si>
  <si>
    <t xml:space="preserve">Operación y Mantenimiento</t>
  </si>
  <si>
    <t xml:space="preserve">GIRH</t>
  </si>
  <si>
    <t xml:space="preserve">Rendición de Cuentas</t>
  </si>
  <si>
    <t xml:space="preserve">Estado y Conservación del SAP</t>
  </si>
  <si>
    <t xml:space="preserve">Incorporación del enfoque de Género.</t>
  </si>
  <si>
    <t xml:space="preserve">Autogestión</t>
  </si>
  <si>
    <t xml:space="preserve">Indice de Sostenibilidad</t>
  </si>
  <si>
    <t xml:space="preserve"> 0 - 5 años</t>
  </si>
  <si>
    <t xml:space="preserve">más de 10 años</t>
  </si>
  <si>
    <t xml:space="preserve">MAG /POZOS</t>
  </si>
  <si>
    <t xml:space="preserve">Índices de Sostenibilidad</t>
  </si>
  <si>
    <t xml:space="preserve">De 0 - 59 </t>
  </si>
  <si>
    <t xml:space="preserve">Hay muchas debilidades en la gestión del CAPS y funcionamiento del SAP, y se esta en riesgo la sostenibilidad en el futuro</t>
  </si>
  <si>
    <t xml:space="preserve">De 60 - 79</t>
  </si>
  <si>
    <t xml:space="preserve">El CAPS esta realizando acciones de gestión y administración del SAP que apuntan a la sostenibilidad</t>
  </si>
  <si>
    <t xml:space="preserve">De 80 - 100</t>
  </si>
  <si>
    <t xml:space="preserve">El CAPS esta realizando acciones internas que garantizan la sostenibilidad y en cordinación con otros.</t>
  </si>
  <si>
    <r>
      <rPr>
        <b val="true"/>
        <sz val="12"/>
        <color rgb="FF008000"/>
        <rFont val="Arial Narrow"/>
        <family val="2"/>
        <charset val="1"/>
      </rPr>
      <t xml:space="preserve">Actualizada a fecha de:</t>
    </r>
    <r>
      <rPr>
        <sz val="12"/>
        <color rgb="FF000000"/>
        <rFont val="Arial Narrow"/>
        <family val="2"/>
        <charset val="1"/>
      </rPr>
      <t xml:space="preserve"> dd/mm/aaaa</t>
    </r>
  </si>
  <si>
    <t xml:space="preserve">DEPARTAMENTO</t>
  </si>
  <si>
    <t xml:space="preserve">MUNICIPIO</t>
  </si>
  <si>
    <t xml:space="preserve">COMUNIDAD/ES</t>
  </si>
  <si>
    <t xml:space="preserve">CAPS </t>
  </si>
  <si>
    <t xml:space="preserve">TIPO DE SISTEMA</t>
  </si>
  <si>
    <t xml:space="preserve">TIEMPO DEL SISTEMA</t>
  </si>
  <si>
    <t xml:space="preserve">VVIENDAS ATENDIDAS</t>
  </si>
  <si>
    <t xml:space="preserve">POBLACIÓN ATENDIDA</t>
  </si>
  <si>
    <t xml:space="preserve">VIVIENDAS SIN SERVICIO</t>
  </si>
  <si>
    <t xml:space="preserve">POBLACIÓN SIN SERVICIO</t>
  </si>
  <si>
    <t xml:space="preserve">Tipo de sistema</t>
  </si>
  <si>
    <t xml:space="preserve">Tiempo del sistema</t>
  </si>
  <si>
    <t xml:space="preserve">Madriz</t>
  </si>
  <si>
    <t xml:space="preserve">Yalaguina</t>
  </si>
  <si>
    <t xml:space="preserve">Los Encuentros</t>
  </si>
  <si>
    <t xml:space="preserve">entre 0-5 años</t>
  </si>
  <si>
    <t xml:space="preserve">5-10 años</t>
  </si>
  <si>
    <t xml:space="preserve">C</t>
  </si>
  <si>
    <t xml:space="preserve">POZO</t>
  </si>
  <si>
    <t xml:space="preserve">MIXTO (MABE-MAG)</t>
  </si>
  <si>
    <t xml:space="preserve">POZO EXCAVADO</t>
  </si>
  <si>
    <t xml:space="preserve">POZO PERFORADO</t>
  </si>
  <si>
    <t xml:space="preserve">MANANTIAL</t>
  </si>
  <si>
    <t xml:space="preserve">LLUVIA</t>
  </si>
  <si>
    <t xml:space="preserve">SUPERFICIE</t>
  </si>
  <si>
    <t xml:space="preserve">J</t>
  </si>
  <si>
    <t xml:space="preserve">K</t>
  </si>
  <si>
    <t xml:space="preserve">L</t>
  </si>
  <si>
    <t xml:space="preserve">M</t>
  </si>
  <si>
    <t xml:space="preserve">N</t>
  </si>
  <si>
    <t xml:space="preserve">Ñ</t>
  </si>
  <si>
    <t xml:space="preserve">O</t>
  </si>
  <si>
    <t xml:space="preserve">P</t>
  </si>
  <si>
    <t xml:space="preserve">Q</t>
  </si>
  <si>
    <t xml:space="preserve">R</t>
  </si>
  <si>
    <t xml:space="preserve">S</t>
  </si>
  <si>
    <t xml:space="preserve">T</t>
  </si>
  <si>
    <t xml:space="preserve">U</t>
  </si>
  <si>
    <t xml:space="preserve">V</t>
  </si>
  <si>
    <t xml:space="preserve">W</t>
  </si>
  <si>
    <t xml:space="preserve">X</t>
  </si>
  <si>
    <t xml:space="preserve">Y</t>
  </si>
  <si>
    <t xml:space="preserve">0. ESTRUCTURA DE LA JD</t>
  </si>
  <si>
    <r>
      <rPr>
        <b val="true"/>
        <sz val="10"/>
        <color rgb="FF008000"/>
        <rFont val="Calibri"/>
        <family val="2"/>
        <charset val="1"/>
      </rPr>
      <t xml:space="preserve">Instrucciones:
</t>
    </r>
    <r>
      <rPr>
        <sz val="10"/>
        <color rgb="FF008000"/>
        <rFont val="Calibri"/>
        <family val="2"/>
        <charset val="1"/>
      </rPr>
      <t xml:space="preserve">1) Para el llenado de este formato se debe utilizar el Acta de conformación del CAPS
No toque las celdas sombreadas </t>
    </r>
  </si>
  <si>
    <t xml:space="preserve">Ir a Hoja de I.Género</t>
  </si>
  <si>
    <t xml:space="preserve">Departamento</t>
  </si>
  <si>
    <t xml:space="preserve">Municipio </t>
  </si>
  <si>
    <t xml:space="preserve">Comunidad</t>
  </si>
  <si>
    <t xml:space="preserve">CAPS</t>
  </si>
  <si>
    <t xml:space="preserve">A fecha de </t>
  </si>
  <si>
    <t xml:space="preserve">Cargos JD</t>
  </si>
  <si>
    <t xml:space="preserve">Presidente</t>
  </si>
  <si>
    <t xml:space="preserve">Tesorero</t>
  </si>
  <si>
    <t xml:space="preserve">Secretario</t>
  </si>
  <si>
    <t xml:space="preserve">Fiscal</t>
  </si>
  <si>
    <t xml:space="preserve">Vocal_1</t>
  </si>
  <si>
    <t xml:space="preserve">Vocal_2</t>
  </si>
  <si>
    <t xml:space="preserve">Vocal_3</t>
  </si>
  <si>
    <t xml:space="preserve">Vocal_4</t>
  </si>
  <si>
    <t xml:space="preserve">Vocal_5</t>
  </si>
  <si>
    <t xml:space="preserve">Miembros totales</t>
  </si>
  <si>
    <t xml:space="preserve">Total de mujeres</t>
  </si>
  <si>
    <t xml:space="preserve">Total de Mujeres en cargos de poder (Presi y Tesorera)</t>
  </si>
  <si>
    <t xml:space="preserve">% de mujeres en la JD</t>
  </si>
  <si>
    <t xml:space="preserve">TOTAL:</t>
  </si>
  <si>
    <t xml:space="preserve">A. LEGALIZACIÓN</t>
  </si>
  <si>
    <r>
      <rPr>
        <b val="true"/>
        <sz val="11"/>
        <color rgb="FF008000"/>
        <rFont val="Arial"/>
        <family val="2"/>
        <charset val="1"/>
      </rPr>
      <t xml:space="preserve">Instrucciones:</t>
    </r>
    <r>
      <rPr>
        <sz val="11"/>
        <color rgb="FF008000"/>
        <rFont val="Arial"/>
        <family val="2"/>
        <charset val="1"/>
      </rPr>
      <t xml:space="preserve"> Rellene las columnas en blanco según cada caso (1 si es SI). No modifique la columna "Valor total" por que es la que esta relacionada con la hoja de Resultado final.</t>
    </r>
  </si>
  <si>
    <r>
      <rPr>
        <b val="true"/>
        <sz val="11"/>
        <color rgb="FF003366"/>
        <rFont val="Arial"/>
        <family val="2"/>
        <charset val="1"/>
      </rPr>
      <t xml:space="preserve">Criterios:</t>
    </r>
    <r>
      <rPr>
        <sz val="11"/>
        <color rgb="FFFF0000"/>
        <rFont val="Arial"/>
        <family val="2"/>
        <charset val="1"/>
      </rPr>
      <t xml:space="preserve"> Si no esta legalizado valor cero, si sí lo esta entonces:</t>
    </r>
    <r>
      <rPr>
        <sz val="11"/>
        <color rgb="FF003366"/>
        <rFont val="Arial"/>
        <family val="2"/>
        <charset val="1"/>
      </rPr>
      <t xml:space="preserve"> al menos 2 de los permisos si es MAG o Pozo </t>
    </r>
    <r>
      <rPr>
        <sz val="11"/>
        <color rgb="FFFF0000"/>
        <rFont val="Arial"/>
        <family val="2"/>
        <charset val="1"/>
      </rPr>
      <t xml:space="preserve">u otras</t>
    </r>
    <r>
      <rPr>
        <sz val="11"/>
        <color rgb="FF003366"/>
        <rFont val="Arial"/>
        <family val="2"/>
        <charset val="1"/>
      </rPr>
      <t xml:space="preserve">, 3 si es MABE por la tarifa diferenciada.</t>
    </r>
  </si>
  <si>
    <t xml:space="preserve">Certificado Registro municipal</t>
  </si>
  <si>
    <t xml:space="preserve">Certificado INAA</t>
  </si>
  <si>
    <t xml:space="preserve">Certificado RUC</t>
  </si>
  <si>
    <t xml:space="preserve">Tarifa Diferenciada INE 03/09/2012</t>
  </si>
  <si>
    <t xml:space="preserve">Legalización SAP (infraestructura/terrenos)</t>
  </si>
  <si>
    <t xml:space="preserve">Valor Total</t>
  </si>
  <si>
    <t xml:space="preserve">Medios de Verificación
Existe?</t>
  </si>
  <si>
    <t xml:space="preserve">Nombre del Medio de Verificación</t>
  </si>
  <si>
    <t xml:space="preserve">A. ORGANIZACIÓN DE LOS CAPS</t>
  </si>
  <si>
    <r>
      <rPr>
        <b val="true"/>
        <sz val="11"/>
        <color rgb="FF008000"/>
        <rFont val="Arial"/>
        <family val="2"/>
        <charset val="1"/>
      </rPr>
      <t xml:space="preserve">Instrucciones:
</t>
    </r>
    <r>
      <rPr>
        <sz val="11"/>
        <color rgb="FF008000"/>
        <rFont val="Arial"/>
        <family val="2"/>
        <charset val="1"/>
      </rPr>
      <t xml:space="preserve">1) Para el llenado de este formato se debe utilizar el Libro de Actas.
2) Este formato se deberá repetir para cada CAPS. Se ha copiado esta tabla a continuación para el siguiente CAPS. 
3) Digite los campos: nombre de la actividad, fecha, seleccione quién convoca y en la columna de quorum ponga 1 si hay quorum. (se considera quorum la asistencia de 50%+1); Digite el nùmero de cargos que participa con un 1. 
4) El %de asistencia de mujeres en las asambleas se mete en %. Ejemplo: 40%.</t>
    </r>
  </si>
  <si>
    <r>
      <rPr>
        <b val="true"/>
        <sz val="11"/>
        <color rgb="FF003366"/>
        <rFont val="Arial"/>
        <family val="2"/>
        <charset val="1"/>
      </rPr>
      <t xml:space="preserve">Criterio:
Miembros activos: </t>
    </r>
    <r>
      <rPr>
        <sz val="11"/>
        <color rgb="FF003366"/>
        <rFont val="Arial"/>
        <family val="2"/>
        <charset val="1"/>
      </rPr>
      <t xml:space="preserve">Que la suma del total de miembros sea igual o mayor que 4</t>
    </r>
    <r>
      <rPr>
        <b val="true"/>
        <sz val="11"/>
        <color rgb="FF003366"/>
        <rFont val="Arial"/>
        <family val="2"/>
        <charset val="1"/>
      </rPr>
      <t xml:space="preserve"> </t>
    </r>
    <r>
      <rPr>
        <sz val="11"/>
        <color rgb="FF003366"/>
        <rFont val="Arial"/>
        <family val="2"/>
        <charset val="1"/>
      </rPr>
      <t xml:space="preserve">para miembros activos en la toma de decisiones</t>
    </r>
    <r>
      <rPr>
        <b val="true"/>
        <sz val="11"/>
        <color rgb="FF003366"/>
        <rFont val="Arial"/>
        <family val="2"/>
        <charset val="1"/>
      </rPr>
      <t xml:space="preserve">. Convocatoria: </t>
    </r>
    <r>
      <rPr>
        <sz val="11"/>
        <color rgb="FF003366"/>
        <rFont val="Arial"/>
        <family val="2"/>
        <charset val="1"/>
      </rPr>
      <t xml:space="preserve">Al menos el 50%</t>
    </r>
    <r>
      <rPr>
        <b val="true"/>
        <sz val="11"/>
        <color rgb="FF003366"/>
        <rFont val="Arial"/>
        <family val="2"/>
        <charset val="1"/>
      </rPr>
      <t xml:space="preserve"> </t>
    </r>
    <r>
      <rPr>
        <sz val="11"/>
        <color rgb="FF003366"/>
        <rFont val="Arial"/>
        <family val="2"/>
        <charset val="1"/>
      </rPr>
      <t xml:space="preserve">reuniones tienen que haber sido convocadas por CAPS</t>
    </r>
    <r>
      <rPr>
        <b val="true"/>
        <sz val="11"/>
        <color rgb="FF003366"/>
        <rFont val="Arial"/>
        <family val="2"/>
        <charset val="1"/>
      </rPr>
      <t xml:space="preserve">. Mujeres: </t>
    </r>
    <r>
      <rPr>
        <sz val="11"/>
        <color rgb="FF003366"/>
        <rFont val="Arial"/>
        <family val="2"/>
        <charset val="1"/>
      </rPr>
      <t xml:space="preserve">50%.
</t>
    </r>
  </si>
  <si>
    <t xml:space="preserve">No.</t>
  </si>
  <si>
    <t xml:space="preserve">Nombre de la actividad</t>
  </si>
  <si>
    <t xml:space="preserve">Fecha </t>
  </si>
  <si>
    <t xml:space="preserve">Quien Convoca?</t>
  </si>
  <si>
    <t xml:space="preserve">Quorum</t>
  </si>
  <si>
    <t xml:space="preserve">Valor de la convocatoria</t>
  </si>
  <si>
    <t xml:space="preserve">% de asistencia de mujeres en las asambleas</t>
  </si>
  <si>
    <t xml:space="preserve">Secretario/a</t>
  </si>
  <si>
    <t xml:space="preserve">Tesorero/a</t>
  </si>
  <si>
    <t xml:space="preserve">Total de miembros activos (en%)</t>
  </si>
  <si>
    <t xml:space="preserve">Total de miembros activos (en nº)</t>
  </si>
  <si>
    <t xml:space="preserve">Total de Mujeres que participan </t>
  </si>
  <si>
    <t xml:space="preserve">% De participación de la mujer</t>
  </si>
  <si>
    <t xml:space="preserve">NOTAS</t>
  </si>
  <si>
    <t xml:space="preserve">Asmablea de rendición de cuentas</t>
  </si>
  <si>
    <t xml:space="preserve">CAPS+OTROS</t>
  </si>
  <si>
    <t xml:space="preserve">OTROS</t>
  </si>
  <si>
    <t xml:space="preserve">TOTAL </t>
  </si>
  <si>
    <t xml:space="preserve">C. NIVEL DE SERVICIO</t>
  </si>
  <si>
    <r>
      <rPr>
        <b val="true"/>
        <sz val="11"/>
        <color rgb="FFFF0000"/>
        <rFont val="Arial"/>
        <family val="2"/>
        <charset val="1"/>
      </rPr>
      <t xml:space="preserve">Instrucciones:</t>
    </r>
    <r>
      <rPr>
        <sz val="11"/>
        <color rgb="FFFF0000"/>
        <rFont val="Arial"/>
        <family val="2"/>
        <charset val="1"/>
      </rPr>
      <t xml:space="preserve"> Rellene las columnas en blanco según cada caso de la lista desplegable, en caso de varias opciones ponga la principal. No modifique la columna "Valor total" por que es la que esta relacionada con la hoja de Resultado final.</t>
    </r>
  </si>
  <si>
    <r>
      <rPr>
        <b val="true"/>
        <sz val="6"/>
        <color rgb="FF0070C0"/>
        <rFont val="Arial"/>
        <family val="2"/>
        <charset val="1"/>
      </rPr>
      <t xml:space="preserve">Criterios:</t>
    </r>
    <r>
      <rPr>
        <sz val="6"/>
        <color rgb="FF0070C0"/>
        <rFont val="Arial"/>
        <family val="2"/>
        <charset val="1"/>
      </rPr>
      <t xml:space="preserve"> SEGURA: Si cumple que la fuente de agua es mejorada; ubicada dentro de la vivienda, disponible todo el tiempo y libre de contaminación fecal o sea resultado bacteriológico negativo.
BÁSICO: Si cumple que es de fuente mejorada y que el tiempo de acarreo es menor de 30 minutos.
LIMITADO: Si cumple que es de fuente mejorada y que el tiempo de acarreo es mayor de 30 minutos.
NO MEJORADA: Agua para consumo proveniente de una fuente de agua no mejorada.
AGUA DE SUPERFICIE: Si el tipo de sistema se clasifica como; agua para consumo que procede directamente de un río, presa, lago, estanque, arroyo, canal o canal de riego.
En el resultado final; la calificacion debería ser “1” si es agua segura; “0.5” si es básico; “0” si esta entre limitado y agua de superficie.  </t>
    </r>
  </si>
  <si>
    <t xml:space="preserve">C1. Fuente</t>
  </si>
  <si>
    <t xml:space="preserve">C2. Ubicación</t>
  </si>
  <si>
    <t xml:space="preserve">C3. Tiempo de acarreo del agua</t>
  </si>
  <si>
    <t xml:space="preserve">C4. Disponibilidad</t>
  </si>
  <si>
    <t xml:space="preserve">C5. ¿Dotación cumple DHA y norma nacional?</t>
  </si>
  <si>
    <t xml:space="preserve">Percepción calidad: olor</t>
  </si>
  <si>
    <t xml:space="preserve">Percepción calidad: color</t>
  </si>
  <si>
    <t xml:space="preserve">Percepción calidad: sabor</t>
  </si>
  <si>
    <t xml:space="preserve">C7, En los ultimos  3 meses ¿analisis bacteriológico?</t>
  </si>
  <si>
    <t xml:space="preserve">C8. Calidad</t>
  </si>
  <si>
    <t xml:space="preserve">Otras pruebas: arsénico </t>
  </si>
  <si>
    <t xml:space="preserve">Otras pruebas: hierro total </t>
  </si>
  <si>
    <t xml:space="preserve">Otras pruebas: turbidez </t>
  </si>
  <si>
    <t xml:space="preserve">Otras pruebas: Ph</t>
  </si>
  <si>
    <t xml:space="preserve">valor final</t>
  </si>
  <si>
    <t xml:space="preserve">Mejorada</t>
  </si>
  <si>
    <t xml:space="preserve">Dentro de la vivienda</t>
  </si>
  <si>
    <t xml:space="preserve">Menos de 30 min.</t>
  </si>
  <si>
    <t xml:space="preserve">La mayor parte del tiempo tenemos agua</t>
  </si>
  <si>
    <t xml:space="preserve">No cumple</t>
  </si>
  <si>
    <t xml:space="preserve">Bueno</t>
  </si>
  <si>
    <t xml:space="preserve">Sí</t>
  </si>
  <si>
    <t xml:space="preserve">Negativo en E. coli</t>
  </si>
  <si>
    <t xml:space="preserve">Si cumple</t>
  </si>
  <si>
    <t xml:space="preserve">SEGURA</t>
  </si>
  <si>
    <t xml:space="preserve">Criterios: SEGURA: Si cumple que la fuente de agua es mejorada; ubicada dentro de la vivienda, disponible todo el tiempo y libre de contaminación fecal o sea resultado bacteriológico negativo.
BÁSICO: Si cumple que es de fuente mejorada y que el tiempo de acarreo es menor de 30 minutos.
LIMITADO: Si cumple que es de fuente mejorada y que el tiempo de acarreo es mayor de 30 minutos.
NO MEJORADA: Agua para consumo proveniente de una fuente de agua no mejorada.
AGUA DE SUPERFICIE: Si el tipo de sistema se clasifica como; agua para consumo que procede directamente de un río, presa, lago, estanque, arroyo, canal o canal de riego.
En el resultado final; la calificacion debería ser “1” si es agua segura; “0.5” si es básico; “0” si esta entre limitado y agua de superficie.  </t>
  </si>
  <si>
    <t xml:space="preserve">No mejorada</t>
  </si>
  <si>
    <t xml:space="preserve">BÁSICO</t>
  </si>
  <si>
    <t xml:space="preserve">LIMITADO</t>
  </si>
  <si>
    <t xml:space="preserve">En el Patio de la vivienda</t>
  </si>
  <si>
    <t xml:space="preserve">NO MEJORADA</t>
  </si>
  <si>
    <t xml:space="preserve">Tubería de un vecino</t>
  </si>
  <si>
    <t xml:space="preserve">AGUA DE SUPERFICIE</t>
  </si>
  <si>
    <t xml:space="preserve">Puesto público</t>
  </si>
  <si>
    <t xml:space="preserve">Más de 30 minutos</t>
  </si>
  <si>
    <t xml:space="preserve">Todo el tiempo tenemos agua</t>
  </si>
  <si>
    <t xml:space="preserve">Sólo a veces tenemos agua</t>
  </si>
  <si>
    <t xml:space="preserve">Casi nunca tenemos agua</t>
  </si>
  <si>
    <t xml:space="preserve">Positivo en E. coli</t>
  </si>
  <si>
    <t xml:space="preserve">Malo</t>
  </si>
  <si>
    <t xml:space="preserve">No</t>
  </si>
  <si>
    <t xml:space="preserve">D RECUPERACIÓN DE COSTES</t>
  </si>
  <si>
    <r>
      <rPr>
        <b val="true"/>
        <sz val="11"/>
        <color rgb="FF008000"/>
        <rFont val="Arial"/>
        <family val="2"/>
        <charset val="1"/>
      </rPr>
      <t xml:space="preserve">Instrucciones: 
</t>
    </r>
    <r>
      <rPr>
        <sz val="11"/>
        <color rgb="FF008000"/>
        <rFont val="Arial"/>
        <family val="2"/>
        <charset val="1"/>
      </rPr>
      <t xml:space="preserve">Se pondrá un 1 si la respuesta es SI.</t>
    </r>
  </si>
  <si>
    <r>
      <rPr>
        <b val="true"/>
        <sz val="11"/>
        <color rgb="FF008000"/>
        <rFont val="Arial"/>
        <family val="2"/>
        <charset val="1"/>
      </rPr>
      <t xml:space="preserve">Instrucciones: 
</t>
    </r>
    <r>
      <rPr>
        <b val="true"/>
        <sz val="11"/>
        <color rgb="FFFF0000"/>
        <rFont val="Arial"/>
        <family val="2"/>
        <charset val="1"/>
      </rPr>
      <t xml:space="preserve">Rellene las columnas en blanco según cada caso de la lista desplegable. No modifique la columna "Valor total" por que es la que esta relacionada con la hoja de Resultado final.</t>
    </r>
  </si>
  <si>
    <r>
      <rPr>
        <b val="true"/>
        <sz val="11"/>
        <color rgb="FF003366"/>
        <rFont val="Arial"/>
        <family val="2"/>
        <charset val="1"/>
      </rPr>
      <t xml:space="preserve">Criterios:</t>
    </r>
    <r>
      <rPr>
        <sz val="11"/>
        <color rgb="FF003366"/>
        <rFont val="Arial"/>
        <family val="2"/>
        <charset val="1"/>
      </rPr>
      <t xml:space="preserve"> excepto D2, D1  a D5 cuentan de manera independiente, cada una vale un 25% si es óptima</t>
    </r>
  </si>
  <si>
    <t xml:space="preserve">D1. Disponen de tarifa</t>
  </si>
  <si>
    <t xml:space="preserve">D2. Tipo de Tarifa</t>
  </si>
  <si>
    <t xml:space="preserve">D3. Cuenta de banco funcional</t>
  </si>
  <si>
    <t xml:space="preserve">D4. La cantidad de dinero que tienen ahorrada en su cuenta le permite pagar los costes de O&amp;M del próximo trimestre?</t>
  </si>
  <si>
    <t xml:space="preserve">D5. Morosidad</t>
  </si>
  <si>
    <t xml:space="preserve">por consumo</t>
  </si>
  <si>
    <t xml:space="preserve">6 a 15%</t>
  </si>
  <si>
    <t xml:space="preserve">costo promedio</t>
  </si>
  <si>
    <t xml:space="preserve">tarfa fija</t>
  </si>
  <si>
    <t xml:space="preserve">no pagan</t>
  </si>
  <si>
    <t xml:space="preserve">sí</t>
  </si>
  <si>
    <t xml:space="preserve">no</t>
  </si>
  <si>
    <t xml:space="preserve">&lt;5%</t>
  </si>
  <si>
    <t xml:space="preserve">&gt;15%</t>
  </si>
  <si>
    <t xml:space="preserve">E. OPERACIÓN Y MANTENIMIENTO</t>
  </si>
  <si>
    <r>
      <rPr>
        <b val="true"/>
        <sz val="11"/>
        <color rgb="FF008000"/>
        <rFont val="Arial"/>
        <family val="2"/>
        <charset val="1"/>
      </rPr>
      <t xml:space="preserve">Instrucciones: 
</t>
    </r>
    <r>
      <rPr>
        <sz val="11"/>
        <color rgb="FF008000"/>
        <rFont val="Arial"/>
        <family val="2"/>
        <charset val="1"/>
      </rPr>
      <t xml:space="preserve">Se pondrá un 1 si la respuesta es SI</t>
    </r>
    <r>
      <rPr>
        <b val="true"/>
        <sz val="11"/>
        <color rgb="FF008000"/>
        <rFont val="Arial"/>
        <family val="2"/>
        <charset val="1"/>
      </rPr>
      <t xml:space="preserve">.</t>
    </r>
  </si>
  <si>
    <r>
      <rPr>
        <b val="true"/>
        <sz val="11"/>
        <color rgb="FF003366"/>
        <rFont val="Arial"/>
        <family val="2"/>
        <charset val="1"/>
      </rPr>
      <t xml:space="preserve">Criterio: </t>
    </r>
    <r>
      <rPr>
        <sz val="11"/>
        <color rgb="FF003366"/>
        <rFont val="Arial"/>
        <family val="2"/>
        <charset val="1"/>
      </rPr>
      <t xml:space="preserve">Se tienen que cumplir las 2 para que se cuente como positivo.</t>
    </r>
  </si>
  <si>
    <t xml:space="preserve">E1. El CAPS cuenta con un plan de mantenimiento</t>
  </si>
  <si>
    <t xml:space="preserve">E2. Realizan la mayoría de las acciones sustanciales definidas en los planes de O y M.</t>
  </si>
  <si>
    <t xml:space="preserve">F. GESTIÓN DE RIESGOS HÍDRICOS</t>
  </si>
  <si>
    <r>
      <rPr>
        <b val="true"/>
        <sz val="11"/>
        <color rgb="FF008000"/>
        <rFont val="Arial"/>
        <family val="2"/>
        <charset val="1"/>
      </rPr>
      <t xml:space="preserve">Instrucciones: </t>
    </r>
    <r>
      <rPr>
        <sz val="11"/>
        <color rgb="FF008000"/>
        <rFont val="Arial"/>
        <family val="2"/>
        <charset val="1"/>
      </rPr>
      <t xml:space="preserve">Marcar con un 1 aquellas actividades que el CAPS ha realizado en el periodo que se quiere evaluar</t>
    </r>
  </si>
  <si>
    <r>
      <rPr>
        <b val="true"/>
        <sz val="11"/>
        <color rgb="FF003366"/>
        <rFont val="Arial"/>
        <family val="2"/>
        <charset val="1"/>
      </rPr>
      <t xml:space="preserve">Criterio: </t>
    </r>
    <r>
      <rPr>
        <sz val="11"/>
        <color rgb="FF003366"/>
        <rFont val="Arial"/>
        <family val="2"/>
        <charset val="1"/>
      </rPr>
      <t xml:space="preserve">se valoran independientemente, cuantas más acciones más valor positivo tiene este criterio (cada acción vale 0,1 y se suman)</t>
    </r>
  </si>
  <si>
    <t xml:space="preserve">F.1.Campañas de promoción de la higiene con las familias</t>
  </si>
  <si>
    <t xml:space="preserve">F.2. Jornadas de limpieza comunitaria </t>
  </si>
  <si>
    <t xml:space="preserve">F.3. ¿El CAPS realiza y registra de manera mensual los aforos a la fuente de agua que les abastece?</t>
  </si>
  <si>
    <t xml:space="preserve">F.4. ¿El CAPS informa en asamblea de usuarios/as sobre la disponibilidad de agua en el sistema comunitario?</t>
  </si>
  <si>
    <t xml:space="preserve">F.5. ¿El CAPS elabora y aplica medidas para ajustar la distribución de agua de acuerdo a los resultados del balance de agua en el periodo?</t>
  </si>
  <si>
    <t xml:space="preserve">F.6. ¿cuenta con micromedición funcional, o en el caso de pozos o puestos públicos dispone de mecanismo que contribuye a la distribución racional del agua?</t>
  </si>
  <si>
    <t xml:space="preserve">F.7. ¿El CAPS tiene identificado el área de recarga de la fuente de abastecimiento de agua de la comunidad (mapa)?</t>
  </si>
  <si>
    <t xml:space="preserve">F.8. ¿El CAPS tiene caracterizada el área de recarga  de la fuente de abastecimiento de agua de la comunidad (diagnóstico) ?</t>
  </si>
  <si>
    <t xml:space="preserve">F.9. ¿El CAPS ha elaborado un plan de accion para la protección y conservación del área de recarga de la fuente de agua que abastece al SAP?</t>
  </si>
  <si>
    <t xml:space="preserve">F.10. ¿Sehan implementado al menos el 70% de las acciones previstas en dicho plan?</t>
  </si>
  <si>
    <t xml:space="preserve">G. RENDICIÓN DE CUENTAS</t>
  </si>
  <si>
    <r>
      <rPr>
        <b val="true"/>
        <sz val="11"/>
        <color rgb="FF003366"/>
        <rFont val="Arial"/>
        <family val="2"/>
        <charset val="1"/>
      </rPr>
      <t xml:space="preserve">Criterio: </t>
    </r>
    <r>
      <rPr>
        <sz val="11"/>
        <color rgb="FF003366"/>
        <rFont val="Arial"/>
        <family val="2"/>
        <charset val="1"/>
      </rPr>
      <t xml:space="preserve">Las dos primeras acciones a cumplir, tienen un valor total de 50% a repartir en 25% cada una.
El resto de las acciones tienen el otro 50% a repartir entre las 4, a razón de 12,5 % cada una</t>
    </r>
    <r>
      <rPr>
        <b val="true"/>
        <sz val="11"/>
        <color rgb="FF003366"/>
        <rFont val="Arial"/>
        <family val="2"/>
        <charset val="1"/>
      </rPr>
      <t xml:space="preserve">.</t>
    </r>
  </si>
  <si>
    <t xml:space="preserve">G.1 ¿Informa a los usuarios de la situación económica del CAPS de acuerdo a lo establecido en su reglamento interno?</t>
  </si>
  <si>
    <t xml:space="preserve">G.2¿Hace una rendición de cuentas a la junta directiva del CAPS de manera mensual?</t>
  </si>
  <si>
    <t xml:space="preserve">G.3 ¿Está actualizado el libro de registros contables?</t>
  </si>
  <si>
    <t xml:space="preserve">G.4 ¿Está actualizado el libro de usuarios?</t>
  </si>
  <si>
    <t xml:space="preserve">G.5 ¿Está actualizado el libro de actas?</t>
  </si>
  <si>
    <t xml:space="preserve">G.6 ¿En la rendición de cuentas se informa del % de morosos?</t>
  </si>
  <si>
    <t xml:space="preserve">H1. ESTADO DE CONSERVACION DE LOS SISTEMAS MABE</t>
  </si>
  <si>
    <r>
      <rPr>
        <b val="true"/>
        <sz val="11"/>
        <color rgb="FF008000"/>
        <rFont val="Arial"/>
        <family val="2"/>
        <charset val="1"/>
      </rPr>
      <t xml:space="preserve">Instrucciones: </t>
    </r>
    <r>
      <rPr>
        <sz val="11"/>
        <color rgb="FF008000"/>
        <rFont val="Arial"/>
        <family val="2"/>
        <charset val="1"/>
      </rPr>
      <t xml:space="preserve">no rellenar sobre las celdas sombreadas, esa fila corresponde a un CAPS que tiene otro SAP. Escribir en las blancas. Rellenar con un 1 cuando la respuesta sea SÏ.</t>
    </r>
  </si>
  <si>
    <r>
      <rPr>
        <b val="true"/>
        <sz val="11"/>
        <color rgb="FF003366"/>
        <rFont val="Arial"/>
        <family val="2"/>
        <charset val="1"/>
      </rPr>
      <t xml:space="preserve">Criterio: Estación de bombeo: </t>
    </r>
    <r>
      <rPr>
        <sz val="11"/>
        <color rgb="FF003366"/>
        <rFont val="Arial"/>
        <family val="2"/>
        <charset val="1"/>
      </rPr>
      <t xml:space="preserve">al menos 3. </t>
    </r>
    <r>
      <rPr>
        <b val="true"/>
        <sz val="11"/>
        <color rgb="FF003366"/>
        <rFont val="Arial"/>
        <family val="2"/>
        <charset val="1"/>
      </rPr>
      <t xml:space="preserve">Tanque de Almacenamiento</t>
    </r>
    <r>
      <rPr>
        <sz val="11"/>
        <color rgb="FF003366"/>
        <rFont val="Arial"/>
        <family val="2"/>
        <charset val="1"/>
      </rPr>
      <t xml:space="preserve">: al menos 4. El resto al menos 1.</t>
    </r>
    <r>
      <rPr>
        <b val="true"/>
        <sz val="11"/>
        <color rgb="FF003366"/>
        <rFont val="Arial"/>
        <family val="2"/>
        <charset val="1"/>
      </rPr>
      <t xml:space="preserve"> En total</t>
    </r>
    <r>
      <rPr>
        <sz val="11"/>
        <color rgb="FF003366"/>
        <rFont val="Arial"/>
        <family val="2"/>
        <charset val="1"/>
      </rPr>
      <t xml:space="preserve">: las H&gt;3.</t>
    </r>
  </si>
  <si>
    <t xml:space="preserve">2) Tanque de Almacenamiento</t>
  </si>
  <si>
    <t xml:space="preserve">Las paredes y el techo de la caseta de bombeo están en buen estado</t>
  </si>
  <si>
    <t xml:space="preserve">El tanque, tiene cerca y está en buen estado</t>
  </si>
  <si>
    <t xml:space="preserve">El tanque de almacenamiento no tiene grietas</t>
  </si>
  <si>
    <t xml:space="preserve">El tanque de almacenamiento no tiene fugas</t>
  </si>
  <si>
    <t xml:space="preserve">El tanque de almacenamiento no rebosa</t>
  </si>
  <si>
    <t xml:space="preserve">Las válvulas del tanque están en buen estado</t>
  </si>
  <si>
    <t xml:space="preserve">La tapa de inspección está en buen estado</t>
  </si>
  <si>
    <t xml:space="preserve">Está funcionando el sistema de cloración</t>
  </si>
  <si>
    <t xml:space="preserve">Durante el recorrido, no hay fugas visibles en el sistema</t>
  </si>
  <si>
    <t xml:space="preserve">H2. ESTADO DE CONSERVACION DE LOS SISTEMAS MAG </t>
  </si>
  <si>
    <r>
      <rPr>
        <b val="true"/>
        <sz val="14"/>
        <color rgb="FF008000"/>
        <rFont val="Arial Narrow"/>
        <family val="2"/>
        <charset val="1"/>
      </rPr>
      <t xml:space="preserve">Instrucciones: </t>
    </r>
    <r>
      <rPr>
        <sz val="14"/>
        <color rgb="FF008000"/>
        <rFont val="Arial Narrow"/>
        <family val="2"/>
        <charset val="1"/>
      </rPr>
      <t xml:space="preserve">complete con un 1 si es SÍ.</t>
    </r>
  </si>
  <si>
    <r>
      <rPr>
        <b val="true"/>
        <sz val="14"/>
        <color rgb="FF003366"/>
        <rFont val="Arial Narrow"/>
        <family val="2"/>
        <charset val="1"/>
      </rPr>
      <t xml:space="preserve">Criterio: Captación:</t>
    </r>
    <r>
      <rPr>
        <sz val="14"/>
        <color rgb="FF003366"/>
        <rFont val="Arial Narrow"/>
        <family val="2"/>
        <charset val="1"/>
      </rPr>
      <t xml:space="preserve"> al menos 2. </t>
    </r>
    <r>
      <rPr>
        <b val="true"/>
        <sz val="14"/>
        <color rgb="FF003366"/>
        <rFont val="Arial Narrow"/>
        <family val="2"/>
        <charset val="1"/>
      </rPr>
      <t xml:space="preserve">Tanque de Almacenamiento:</t>
    </r>
    <r>
      <rPr>
        <sz val="14"/>
        <color rgb="FF003366"/>
        <rFont val="Arial Narrow"/>
        <family val="2"/>
        <charset val="1"/>
      </rPr>
      <t xml:space="preserve"> al menos 4. El resto al menos 1. Luego en conjunto cada H tiene un valor de 0,25.</t>
    </r>
  </si>
  <si>
    <t xml:space="preserve">Características</t>
  </si>
  <si>
    <t xml:space="preserve">1) Captación</t>
  </si>
  <si>
    <t xml:space="preserve">2)Tanque de almacenamiento</t>
  </si>
  <si>
    <t xml:space="preserve">5) Puestos Publicos (solo si NO hay toma domiciliar)</t>
  </si>
  <si>
    <t xml:space="preserve">H5</t>
  </si>
  <si>
    <t xml:space="preserve">La cerca de la obra de captación está en buen estado
</t>
  </si>
  <si>
    <t xml:space="preserve">No se observan focos de contaminación (restos de envases de pesticidas, basura, heces…) alrededor de la fuente de agua</t>
  </si>
  <si>
    <t xml:space="preserve">No tiene grietas la obra de captación</t>
  </si>
  <si>
    <t xml:space="preserve">La cerca del tanque de almacenamiento está en buen estado</t>
  </si>
  <si>
    <t xml:space="preserve">No tiene grietas el tanque de almacenamiento</t>
  </si>
  <si>
    <t xml:space="preserve">No tiene fugas el tanque de almacenamiento</t>
  </si>
  <si>
    <t xml:space="preserve">El tanque no rebosa</t>
  </si>
  <si>
    <t xml:space="preserve">El canal de desague no tiene grietas</t>
  </si>
  <si>
    <t xml:space="preserve">El tubo de concreto esta en buen estado</t>
  </si>
  <si>
    <t xml:space="preserve">El pedestal de apoyo esta en buen estado</t>
  </si>
  <si>
    <t xml:space="preserve">La caja recolectora de agua esta en buen estado</t>
  </si>
  <si>
    <t xml:space="preserve">Las llaves de abastecimiento estan en buen estado</t>
  </si>
  <si>
    <t xml:space="preserve">La losa o falda no tiene grietas</t>
  </si>
  <si>
    <t xml:space="preserve">H3. ESTADO DE CONSERVACION DE LOS POZOS PERFORADOS Y ESCAVADOS EQUIPADOS CON BOMBA MANUAL</t>
  </si>
  <si>
    <r>
      <rPr>
        <b val="true"/>
        <sz val="14"/>
        <color rgb="FF008000"/>
        <rFont val="Arial Narrow"/>
        <family val="2"/>
        <charset val="1"/>
      </rPr>
      <t xml:space="preserve">Instrucciones: </t>
    </r>
    <r>
      <rPr>
        <sz val="14"/>
        <color rgb="FF008000"/>
        <rFont val="Arial Narrow"/>
        <family val="2"/>
        <charset val="1"/>
      </rPr>
      <t xml:space="preserve">complete con un 1 si es SÍ. </t>
    </r>
    <r>
      <rPr>
        <b val="true"/>
        <sz val="14"/>
        <color rgb="FF008000"/>
        <rFont val="Arial Narrow"/>
        <family val="2"/>
        <charset val="1"/>
      </rPr>
      <t xml:space="preserve">La loza del Brocal</t>
    </r>
    <r>
      <rPr>
        <sz val="14"/>
        <color rgb="FF008000"/>
        <rFont val="Arial Narrow"/>
        <family val="2"/>
        <charset val="1"/>
      </rPr>
      <t xml:space="preserve"> se completa sólo en el caso de </t>
    </r>
    <r>
      <rPr>
        <b val="true"/>
        <sz val="14"/>
        <color rgb="FF008000"/>
        <rFont val="Arial Narrow"/>
        <family val="2"/>
        <charset val="1"/>
      </rPr>
      <t xml:space="preserve">pozos excavados</t>
    </r>
    <r>
      <rPr>
        <sz val="14"/>
        <color rgb="FF008000"/>
        <rFont val="Arial Narrow"/>
        <family val="2"/>
        <charset val="1"/>
      </rPr>
      <t xml:space="preserve">.</t>
    </r>
  </si>
  <si>
    <t xml:space="preserve">Pozo</t>
  </si>
  <si>
    <t xml:space="preserve">Bomba manual</t>
  </si>
  <si>
    <t xml:space="preserve">Delantal</t>
  </si>
  <si>
    <t xml:space="preserve">Canal de Drenaje</t>
  </si>
  <si>
    <t xml:space="preserve">Resumidero</t>
  </si>
  <si>
    <r>
      <rPr>
        <b val="true"/>
        <sz val="14"/>
        <rFont val="Arial"/>
        <family val="2"/>
        <charset val="1"/>
      </rPr>
      <t xml:space="preserve">Loza del Brocal </t>
    </r>
    <r>
      <rPr>
        <b val="true"/>
        <sz val="12"/>
        <rFont val="Arial"/>
        <family val="2"/>
        <charset val="1"/>
      </rPr>
      <t xml:space="preserve">(Solo en Excavados)</t>
    </r>
  </si>
  <si>
    <t xml:space="preserve">H6</t>
  </si>
  <si>
    <t xml:space="preserve">El estado del mecate y los pistones están en buen estado</t>
  </si>
  <si>
    <t xml:space="preserve">La estructura metálica de la bomba está en buen estado</t>
  </si>
  <si>
    <t xml:space="preserve">Los cojinetes, la palanca, los ejes de la bomba están en buen estado</t>
  </si>
  <si>
    <t xml:space="preserve">La tubería de subida de la Bomba está en buen estado</t>
  </si>
  <si>
    <t xml:space="preserve">No hay grietas en la base de la bomba</t>
  </si>
  <si>
    <t xml:space="preserve">No hay fisuras o grietas en los bordillos del delantal</t>
  </si>
  <si>
    <t xml:space="preserve">No hay fisuras o grietas en el delantal del pozo</t>
  </si>
  <si>
    <t xml:space="preserve">No hay elementos que obstruyan el canal</t>
  </si>
  <si>
    <t xml:space="preserve">No hay fisuras o grietas en el canal de drenaje</t>
  </si>
  <si>
    <t xml:space="preserve">El filtro de grava está en buen estado</t>
  </si>
  <si>
    <t xml:space="preserve">No tienen sedimentos acumulados en el fondo del filtro</t>
  </si>
  <si>
    <t xml:space="preserve">No hay fisuras o grietas en la loza del brocal</t>
  </si>
  <si>
    <t xml:space="preserve">No hay oxidación en la tapa metálica de visita</t>
  </si>
  <si>
    <t xml:space="preserve">                  I. GÉNERO</t>
  </si>
  <si>
    <r>
      <rPr>
        <b val="true"/>
        <sz val="11"/>
        <color rgb="FF008000"/>
        <rFont val="Arial"/>
        <family val="2"/>
        <charset val="1"/>
      </rPr>
      <t xml:space="preserve">Instrucciones: </t>
    </r>
    <r>
      <rPr>
        <sz val="11"/>
        <color rgb="FF008000"/>
        <rFont val="Arial"/>
        <family val="2"/>
        <charset val="1"/>
      </rPr>
      <t xml:space="preserve">Las 3 primeras acciones positivas de la JD se autocompletan con los datos de la hoja "Conformación de la JD". No rellenar. Solo las columnas en blanco.</t>
    </r>
  </si>
  <si>
    <r>
      <rPr>
        <b val="true"/>
        <sz val="11"/>
        <color rgb="FFFF0000"/>
        <rFont val="Arial"/>
        <family val="2"/>
        <charset val="1"/>
      </rPr>
      <t xml:space="preserve">Criterio A</t>
    </r>
    <r>
      <rPr>
        <sz val="11"/>
        <color rgb="FFFF0000"/>
        <rFont val="Arial"/>
        <family val="2"/>
        <charset val="1"/>
      </rPr>
      <t xml:space="preserve">: cada una de las 3 acciones vale 0,33. </t>
    </r>
    <r>
      <rPr>
        <b val="true"/>
        <sz val="11"/>
        <color rgb="FFFF0000"/>
        <rFont val="Arial"/>
        <family val="2"/>
        <charset val="1"/>
      </rPr>
      <t xml:space="preserve">Criterio B</t>
    </r>
    <r>
      <rPr>
        <sz val="11"/>
        <color rgb="FFFF0000"/>
        <rFont val="Arial"/>
        <family val="2"/>
        <charset val="1"/>
      </rPr>
      <t xml:space="preserve">: cada una de las 2 acciones vale 0,5. </t>
    </r>
  </si>
  <si>
    <t xml:space="preserve">A. Acciones positivas de la JD</t>
  </si>
  <si>
    <t xml:space="preserve">B.Acciones positivas dirigidas a promover la participación de mujeres.</t>
  </si>
  <si>
    <t xml:space="preserve">¿El 50 % de la JD está conformada por mujeres?</t>
  </si>
  <si>
    <t xml:space="preserve">¿Hay mujeres en los puestos de Presidenta o Tesorera?</t>
  </si>
  <si>
    <t xml:space="preserve">Al menos un 40% de asistencia de mujeres en las Asambleas </t>
  </si>
  <si>
    <t xml:space="preserve">¿Ha realizado adendum a su reglamento para la promoción  de acciones positivas que promuevan la participación de la mujer?</t>
  </si>
  <si>
    <t xml:space="preserve">¿Se ha cumplido al menos el 50% de las acciones positivas que se habían propuesto?</t>
  </si>
  <si>
    <t xml:space="preserve">C. AUTOGESTION DE LOS CAPS</t>
  </si>
  <si>
    <t xml:space="preserve">
</t>
  </si>
  <si>
    <r>
      <rPr>
        <b val="true"/>
        <sz val="12"/>
        <color rgb="FF008000"/>
        <rFont val="Arial"/>
        <family val="2"/>
        <charset val="1"/>
      </rPr>
      <t xml:space="preserve">Instrucciones: </t>
    </r>
    <r>
      <rPr>
        <sz val="12"/>
        <color rgb="FF008000"/>
        <rFont val="Arial"/>
        <family val="2"/>
        <charset val="1"/>
      </rPr>
      <t xml:space="preserve">Si el CAPS ha tenido algún porblema que exceda su capacidad rellene 1 y siga. La clasificación del tipo de gestión se rellena con una X..</t>
    </r>
  </si>
  <si>
    <r>
      <rPr>
        <b val="true"/>
        <sz val="12"/>
        <color rgb="FF003366"/>
        <rFont val="Arial"/>
        <family val="2"/>
        <charset val="1"/>
      </rPr>
      <t xml:space="preserve">Criterio:</t>
    </r>
    <r>
      <rPr>
        <sz val="12"/>
        <color rgb="FF003366"/>
        <rFont val="Arial"/>
        <family val="2"/>
        <charset val="1"/>
      </rPr>
      <t xml:space="preserve"> al menos el 50 % de los problemas gestionados, aunque no se hayan solucionado.</t>
    </r>
  </si>
  <si>
    <t xml:space="preserve">Se ha presentado algún problema que trascienda a su capacidad de respuesta?  Si (rellene con 1) y complete los demás puntos.</t>
  </si>
  <si>
    <t xml:space="preserve">Describa brevemente el problema</t>
  </si>
  <si>
    <t xml:space="preserve">¿Realizó gestión para solucionarlo? (escriba 1 si es que SÍ)</t>
  </si>
  <si>
    <t xml:space="preserve">¿A quién acudió?</t>
  </si>
  <si>
    <t xml:space="preserve">¿Se solucionó? (escriba 1 si es que SÍ)</t>
  </si>
  <si>
    <t xml:space="preserve">Clasifique el tipo de gestión (marque con una X)</t>
  </si>
  <si>
    <t xml:space="preserve">Administrativa</t>
  </si>
  <si>
    <t xml:space="preserve">Legal</t>
  </si>
  <si>
    <t xml:space="preserve">Organizativa</t>
  </si>
  <si>
    <t xml:space="preserve">Técnica</t>
  </si>
  <si>
    <t xml:space="preserve">O&amp;T</t>
  </si>
  <si>
    <t xml:space="preserve">Otros</t>
  </si>
  <si>
    <t xml:space="preserve">No tocar</t>
  </si>
  <si>
    <t xml:space="preserve">x</t>
  </si>
  <si>
    <t xml:space="preserve">Fuente de agua colapsada</t>
  </si>
  <si>
    <t xml:space="preserve">TIPO DE GESTIÓN MÁS SOLICITADA</t>
  </si>
  <si>
    <t xml:space="preserve">RESULTADO FINAL DEL ÍNDICE DE SOSTENIBILIDAD DE LOS CAPS</t>
  </si>
  <si>
    <r>
      <rPr>
        <b val="true"/>
        <sz val="11"/>
        <color rgb="FFFF6600"/>
        <rFont val="Arial"/>
        <family val="2"/>
        <charset val="1"/>
      </rPr>
      <t xml:space="preserve">Nota:</t>
    </r>
    <r>
      <rPr>
        <sz val="11"/>
        <color rgb="FFFF6600"/>
        <rFont val="Arial"/>
        <family val="2"/>
        <charset val="1"/>
      </rPr>
      <t xml:space="preserve"> Las celdas de los criterios </t>
    </r>
    <r>
      <rPr>
        <b val="true"/>
        <sz val="11"/>
        <color rgb="FFFF6600"/>
        <rFont val="Arial"/>
        <family val="2"/>
        <charset val="1"/>
      </rPr>
      <t xml:space="preserve">(Fila 3)</t>
    </r>
    <r>
      <rPr>
        <sz val="11"/>
        <color rgb="FFFF6600"/>
        <rFont val="Arial"/>
        <family val="2"/>
        <charset val="1"/>
      </rPr>
      <t xml:space="preserve"> están linkadas a las hojas donde se encuentran los datos tomados.</t>
    </r>
  </si>
  <si>
    <r>
      <rPr>
        <b val="true"/>
        <sz val="11"/>
        <color rgb="FF008000"/>
        <rFont val="Arial"/>
        <family val="2"/>
        <charset val="1"/>
      </rPr>
      <t xml:space="preserve">Instrucciones: </t>
    </r>
    <r>
      <rPr>
        <sz val="11"/>
        <color rgb="FF008000"/>
        <rFont val="Arial"/>
        <family val="2"/>
        <charset val="1"/>
      </rPr>
      <t xml:space="preserve">No modifique nada de esta tabla, se autocompleta sola con los datos de las pestañas anteriores. </t>
    </r>
  </si>
  <si>
    <t xml:space="preserve">C. Nivel de Servicio</t>
  </si>
  <si>
    <t xml:space="preserve">F. GIRH</t>
  </si>
  <si>
    <t xml:space="preserve">H.2 Estado y conservación sistema MAG</t>
  </si>
  <si>
    <t xml:space="preserve">H.1 Estado y conservación sistema MABE</t>
  </si>
  <si>
    <t xml:space="preserve">H.3 Estado y conservación sistema Pozos</t>
  </si>
  <si>
    <t xml:space="preserve">I.Incorporaciòn del 
enfoque de Gènero</t>
  </si>
  <si>
    <t xml:space="preserve">J.Autogestión</t>
  </si>
  <si>
    <t xml:space="preserve">Indice de Sostenibilidad
 MAG</t>
  </si>
  <si>
    <t xml:space="preserve">Indice de Sostenibilidad
POZO</t>
  </si>
  <si>
    <t xml:space="preserve">nº miembros activos totales</t>
  </si>
  <si>
    <t xml:space="preserve">Participación de Mujeres en la JD</t>
  </si>
  <si>
    <t xml:space="preserve">C2</t>
  </si>
  <si>
    <t xml:space="preserve">C3</t>
  </si>
  <si>
    <t xml:space="preserve">C4</t>
  </si>
  <si>
    <t xml:space="preserve">C7</t>
  </si>
  <si>
    <t xml:space="preserve">C8</t>
  </si>
  <si>
    <t xml:space="preserve">D3</t>
  </si>
  <si>
    <t xml:space="preserve">D4</t>
  </si>
  <si>
    <t xml:space="preserve">D5</t>
  </si>
  <si>
    <t xml:space="preserve">F7</t>
  </si>
  <si>
    <t xml:space="preserve">F8</t>
  </si>
  <si>
    <t xml:space="preserve">F9</t>
  </si>
  <si>
    <t xml:space="preserve">F10</t>
  </si>
  <si>
    <t xml:space="preserve">G4</t>
  </si>
  <si>
    <t xml:space="preserve">G5</t>
  </si>
  <si>
    <t xml:space="preserve">G6</t>
  </si>
  <si>
    <t xml:space="preserve">RESULTADOS MABE</t>
  </si>
  <si>
    <t xml:space="preserve">RESULTADOS MAG</t>
  </si>
  <si>
    <t xml:space="preserve">RESULTADOS OTRO</t>
  </si>
  <si>
    <t xml:space="preserve">CATEGORIA DE 80-100</t>
  </si>
  <si>
    <t xml:space="preserve">CATEGORÍA DE 50-79</t>
  </si>
  <si>
    <t xml:space="preserve">CATEGORÍA DE 0-49</t>
  </si>
  <si>
    <t xml:space="preserve">PROMEDIO MABE</t>
  </si>
  <si>
    <t xml:space="preserve">PROMEDIO MAG</t>
  </si>
  <si>
    <t xml:space="preserve">PROMEDIO POZOS</t>
  </si>
  <si>
    <r>
      <rPr>
        <b val="true"/>
        <sz val="8"/>
        <color rgb="FF003366"/>
        <rFont val="Arial"/>
        <family val="2"/>
        <charset val="1"/>
      </rPr>
      <t xml:space="preserve">Instrucciones Generales:</t>
    </r>
    <r>
      <rPr>
        <sz val="8"/>
        <color rgb="FF003366"/>
        <rFont val="Arial"/>
        <family val="2"/>
        <charset val="1"/>
      </rPr>
      <t xml:space="preserve"> Llene los campos no sombreados y letras color azul. </t>
    </r>
  </si>
  <si>
    <t xml:space="preserve">IR.1.1.1</t>
  </si>
  <si>
    <t xml:space="preserve">Formados en la metodología FECSA 65 promotores/as comunitarios y 18 maestros escuelas primarias rurales, de las cuales el 40% son mujeres. </t>
  </si>
  <si>
    <t xml:space="preserve">Promotores</t>
  </si>
  <si>
    <t xml:space="preserve">Promotoras</t>
  </si>
  <si>
    <t xml:space="preserve">TOTAL</t>
  </si>
  <si>
    <t xml:space="preserve">% Mujeres</t>
  </si>
  <si>
    <t xml:space="preserve">Lomas de Sacaclí</t>
  </si>
  <si>
    <t xml:space="preserve">Los Arados</t>
  </si>
  <si>
    <t xml:space="preserve">Las Delicias</t>
  </si>
  <si>
    <t xml:space="preserve">El Zapote Oriental</t>
  </si>
  <si>
    <t xml:space="preserve">El Barro</t>
  </si>
  <si>
    <t xml:space="preserve">Valle de Suni</t>
  </si>
  <si>
    <t xml:space="preserve">La Estación</t>
  </si>
  <si>
    <t xml:space="preserve">Cerro Grande</t>
  </si>
  <si>
    <t xml:space="preserve">El regadio</t>
  </si>
  <si>
    <t xml:space="preserve">Las Quebradas</t>
  </si>
  <si>
    <t xml:space="preserve">IR.1.1.2</t>
  </si>
  <si>
    <t xml:space="preserve">80% de los promotores comunitarios capacitados en FECSA son ejemplos para sus comunidades, según la evaluación de buenas prácticas higiénicas realizadas en su domicilio.</t>
  </si>
  <si>
    <t xml:space="preserve">Total</t>
  </si>
  <si>
    <t xml:space="preserve">Graduados</t>
  </si>
  <si>
    <t xml:space="preserve">Graduadas</t>
  </si>
  <si>
    <t xml:space="preserve">La Naranjita</t>
  </si>
  <si>
    <t xml:space="preserve">IR.1.1.3</t>
  </si>
  <si>
    <t xml:space="preserve">Realizadas en un 100% las visitas de seguimiento a las 540 familias de conformidad con lo establecido en la metodología FECSA, para garantizar la superación de cada una de las etapas para alcanzar su graduación. 
</t>
  </si>
  <si>
    <t xml:space="preserve">IR.1.1.6</t>
  </si>
  <si>
    <t xml:space="preserve">Realizadas en un 100% las visitas de seguimiento a las escuelas por parte de del o la facilitador /facilitadora de conformidad con lo establecido en la metodología FECSA. </t>
  </si>
  <si>
    <r>
      <rPr>
        <b val="true"/>
        <sz val="8"/>
        <color rgb="FF003366"/>
        <rFont val="Arial"/>
        <family val="2"/>
        <charset val="1"/>
      </rPr>
      <t xml:space="preserve">Instrucciones especificas :</t>
    </r>
    <r>
      <rPr>
        <sz val="8"/>
        <color rgb="FF003366"/>
        <rFont val="Arial"/>
        <family val="2"/>
        <charset val="1"/>
      </rPr>
      <t xml:space="preserve"> Seleccione en lista desplegable el municipio y la comunidad y digite el resto de columnas según corresponda.</t>
    </r>
  </si>
  <si>
    <t xml:space="preserve">Llene los campos no sombreados y letras color azul. </t>
  </si>
  <si>
    <t xml:space="preserve">Se complementa automaticamente</t>
  </si>
  <si>
    <t xml:space="preserve">Mes</t>
  </si>
  <si>
    <t xml:space="preserve">No Visitas
Familias</t>
  </si>
  <si>
    <t xml:space="preserve">No Visitas
escuelas</t>
  </si>
  <si>
    <t xml:space="preserve">No Familias</t>
  </si>
  <si>
    <t xml:space="preserve">Comunidades</t>
  </si>
  <si>
    <t xml:space="preserve">Familias
previstas
Según Diagnostico</t>
  </si>
  <si>
    <t xml:space="preserve">Escuelas
Diagnóstico</t>
  </si>
  <si>
    <t xml:space="preserve">Escuelas
Reales</t>
  </si>
  <si>
    <t xml:space="preserve">Familias
Real</t>
  </si>
  <si>
    <t xml:space="preserve">Visitas familias
programadas
Según Metología</t>
  </si>
  <si>
    <t xml:space="preserve">visitas a Familias
reales</t>
  </si>
  <si>
    <t xml:space="preserve">% Cumplimiento
en cuanto Familias</t>
  </si>
  <si>
    <t xml:space="preserve">% Cumplimiento
en cuanto a visitas</t>
  </si>
  <si>
    <t xml:space="preserve">Visitas a Escuelas
programadas
Según Metodología</t>
  </si>
  <si>
    <t xml:space="preserve">visitas a escuelas
reales</t>
  </si>
  <si>
    <t xml:space="preserve">% Cumplimiento
en cuanto Escuelas</t>
  </si>
  <si>
    <t xml:space="preserve">% Cumplimiento
en cuanto a visitas escuelas</t>
  </si>
  <si>
    <t xml:space="preserve">LA</t>
  </si>
  <si>
    <t xml:space="preserve">Enero</t>
  </si>
  <si>
    <t xml:space="preserve">LS</t>
  </si>
  <si>
    <t xml:space="preserve">LN</t>
  </si>
  <si>
    <t xml:space="preserve">ZO</t>
  </si>
  <si>
    <t xml:space="preserve">BA</t>
  </si>
  <si>
    <t xml:space="preserve">VS</t>
  </si>
  <si>
    <t xml:space="preserve">ET</t>
  </si>
  <si>
    <t xml:space="preserve">CG</t>
  </si>
  <si>
    <t xml:space="preserve">LQ</t>
  </si>
  <si>
    <t xml:space="preserve">RE</t>
  </si>
  <si>
    <t xml:space="preserve">LD</t>
  </si>
  <si>
    <t xml:space="preserve">Escuelas - Saneamiento Integral</t>
  </si>
  <si>
    <t xml:space="preserve">1.1.4</t>
  </si>
  <si>
    <t xml:space="preserve">9 escuelas rurales de las comunidades atendidas por el Programa han conformado un Comité Escolar, cuenta con diagnóstico escolar y plan de acción de higiene y saneamiento. </t>
  </si>
  <si>
    <t xml:space="preserve">1.1.8</t>
  </si>
  <si>
    <t xml:space="preserve">El 75% de los alumnos de primero a sexto grado de las escuelas de las comunidades intervenidas por el programa en tema de A&amp;S mejoran sus prácticas higiénicas y saneamiento</t>
  </si>
  <si>
    <t xml:space="preserve">a)</t>
  </si>
  <si>
    <t xml:space="preserve">b)</t>
  </si>
  <si>
    <t xml:space="preserve">c)</t>
  </si>
  <si>
    <t xml:space="preserve">d)</t>
  </si>
  <si>
    <t xml:space="preserve">DATOS GENERALES - ESCUELA </t>
  </si>
  <si>
    <t xml:space="preserve">DOCENTES</t>
  </si>
  <si>
    <t xml:space="preserve">ALUMNOS POR AULA</t>
  </si>
  <si>
    <t xml:space="preserve">FECSA-ESCUELA</t>
  </si>
  <si>
    <t xml:space="preserve">HIGIENE ESCOLAR Y SANEAMIENTO AMBIENTAL</t>
  </si>
  <si>
    <t xml:space="preserve">Comunidad - Escuela</t>
  </si>
  <si>
    <t xml:space="preserve">No Graduadas</t>
  </si>
  <si>
    <t xml:space="preserve">No Graduados</t>
  </si>
  <si>
    <t xml:space="preserve">TOTAL DOCENTE</t>
  </si>
  <si>
    <t xml:space="preserve">Prescolar niñas</t>
  </si>
  <si>
    <t xml:space="preserve">Prescolar niños</t>
  </si>
  <si>
    <t xml:space="preserve">TOTAL PREESCOLAR</t>
  </si>
  <si>
    <t xml:space="preserve">Primaria-niñas</t>
  </si>
  <si>
    <t xml:space="preserve">Primaria-niños</t>
  </si>
  <si>
    <t xml:space="preserve">TOTAL PRIMARIA</t>
  </si>
  <si>
    <t xml:space="preserve">Diagnòstico Escolar</t>
  </si>
  <si>
    <t xml:space="preserve">Comité Escolar?</t>
  </si>
  <si>
    <t xml:space="preserve">Plan de Acción Escolar</t>
  </si>
  <si>
    <t xml:space="preserve">1. Condiciones higiénico sanitario</t>
  </si>
  <si>
    <t xml:space="preserve">2. Facilidades Sanitarias: Tipos de Unidad Sanitaria ( letrinas)</t>
  </si>
  <si>
    <t xml:space="preserve">3.Condiciones de higiene de la letrina y sus alrededores</t>
  </si>
  <si>
    <t xml:space="preserve">4. Hàbitos y Prácticas Higiénicas en la Escuelas ( Observadas)</t>
  </si>
  <si>
    <t xml:space="preserve">Disponibilidad para nuevo sistema</t>
  </si>
  <si>
    <t xml:space="preserve">Aula limpia</t>
  </si>
  <si>
    <t xml:space="preserve">Papeleras en el aula</t>
  </si>
  <si>
    <t xml:space="preserve">Depòsitos para agua en el aula</t>
  </si>
  <si>
    <t xml:space="preserve">Agua tratada para consumo</t>
  </si>
  <si>
    <t xml:space="preserve">Tomas de agua bajo techo</t>
  </si>
  <si>
    <t xml:space="preserve">Con tubo de ventilación</t>
  </si>
  <si>
    <t xml:space="preserve">Sin tubo de ventilación</t>
  </si>
  <si>
    <t xml:space="preserve">Elevada </t>
  </si>
  <si>
    <t xml:space="preserve">Semielevada</t>
  </si>
  <si>
    <t xml:space="preserve">Abonera</t>
  </si>
  <si>
    <t xml:space="preserve">VIP</t>
  </si>
  <si>
    <t xml:space="preserve">Mejorada tipo FISE</t>
  </si>
  <si>
    <t xml:space="preserve">Tasa rural o inodoro</t>
  </si>
  <si>
    <t xml:space="preserve">Estàn separadas por sexo.</t>
  </si>
  <si>
    <t xml:space="preserve">ESTADO</t>
  </si>
  <si>
    <t xml:space="preserve">Distancia entre la letrina y el puesto de agua 
(mts)</t>
  </si>
  <si>
    <t xml:space="preserve">¿menores de 7 años cuentan con letrinas adecuadas?</t>
  </si>
  <si>
    <t xml:space="preserve">Inodoros/bancos limpios?</t>
  </si>
  <si>
    <t xml:space="preserve">Inodoros/bancos tienen tapas?</t>
  </si>
  <si>
    <t xml:space="preserve">Papelera?</t>
  </si>
  <si>
    <t xml:space="preserve">Existe lugar para lavarse las manos después de salir de la letrina</t>
  </si>
  <si>
    <t xml:space="preserve">Ubicación del lugar para lavarse las manos</t>
  </si>
  <si>
    <t xml:space="preserve">Jabón o cenizas en el sitio para lavarse las manos</t>
  </si>
  <si>
    <t xml:space="preserve">Se observan charcas en el area de la escuela y cerca de los servicios sanitarios</t>
  </si>
  <si>
    <t xml:space="preserve">Se lavan las manos despuès de ir a la letrina?</t>
  </si>
  <si>
    <t xml:space="preserve">Depositan la basura en su lugar?</t>
  </si>
  <si>
    <t xml:space="preserve">Lugar de depòsito de la basura</t>
  </si>
  <si>
    <t xml:space="preserve">Cuentan con instrumentos de limpieza?</t>
  </si>
  <si>
    <t xml:space="preserve">Estado de los instrumentos de limpieza</t>
  </si>
  <si>
    <t xml:space="preserve">Basura recibe tratamiento? </t>
  </si>
  <si>
    <t xml:space="preserve">Es diaria la limpieza de la escuela?</t>
  </si>
  <si>
    <t xml:space="preserve">Hay espacio?</t>
  </si>
  <si>
    <t xml:space="preserve">Ubicación  / espacio disponible
( descripción breve)</t>
  </si>
  <si>
    <t xml:space="preserve">BUENA</t>
  </si>
  <si>
    <t xml:space="preserve">TOTALES</t>
  </si>
  <si>
    <t xml:space="preserve">Detalles de Estudiantes por Nivel Escolar ( PRE-ESCOLAR Y PRIMARIA)</t>
  </si>
  <si>
    <t xml:space="preserve">Escuela</t>
  </si>
  <si>
    <t xml:space="preserve">Prescolar niñas - 1er grado</t>
  </si>
  <si>
    <t xml:space="preserve">Prescolar niñas -  2do grado</t>
  </si>
  <si>
    <t xml:space="preserve">Prescolar niñas 3er grado</t>
  </si>
  <si>
    <t xml:space="preserve">TOTAL PREEECOLAR NIÑAS</t>
  </si>
  <si>
    <t xml:space="preserve">Prescolar niños - 1er grado</t>
  </si>
  <si>
    <t xml:space="preserve">Prescolar niños - 2do grado</t>
  </si>
  <si>
    <t xml:space="preserve">Prescolar niños - 3er grado</t>
  </si>
  <si>
    <t xml:space="preserve">TOTAL PREEECOLAR NIÑOS</t>
  </si>
  <si>
    <t xml:space="preserve">Primaria niñas 1er grado</t>
  </si>
  <si>
    <t xml:space="preserve">Primaria niñas 2do grado</t>
  </si>
  <si>
    <t xml:space="preserve">Primaria niñas 3er grado</t>
  </si>
  <si>
    <t xml:space="preserve">Primaria niñas 4to grado </t>
  </si>
  <si>
    <t xml:space="preserve">Primaria niñas 5to grado </t>
  </si>
  <si>
    <t xml:space="preserve">Primaria niñas 6to grado</t>
  </si>
  <si>
    <t xml:space="preserve">TOTAL PRIMARIA NIÑAS</t>
  </si>
  <si>
    <t xml:space="preserve">Primaria niños 1er grado</t>
  </si>
  <si>
    <t xml:space="preserve">Primaria niños 2do grado</t>
  </si>
  <si>
    <t xml:space="preserve">Primaria niños 3er grado</t>
  </si>
  <si>
    <t xml:space="preserve">Primaria niños4to grado </t>
  </si>
  <si>
    <t xml:space="preserve">Primaria niños 5to grado</t>
  </si>
  <si>
    <t xml:space="preserve">Primaria niños 6to grado</t>
  </si>
  <si>
    <t xml:space="preserve">TOTAL PRIMARIA NIÑOS</t>
  </si>
  <si>
    <t xml:space="preserve">TOTAL PRIMARIA </t>
  </si>
  <si>
    <t xml:space="preserve">Valle de Suní</t>
  </si>
  <si>
    <t xml:space="preserve">Estación - Cerro Grande</t>
  </si>
  <si>
    <t xml:space="preserve">Zapote Oriental</t>
  </si>
  <si>
    <t xml:space="preserve">Colón Abajo</t>
  </si>
  <si>
    <t xml:space="preserve">La Esperanza</t>
  </si>
  <si>
    <t xml:space="preserve">El Regadío</t>
  </si>
  <si>
    <t xml:space="preserve">T O T A L E S </t>
  </si>
  <si>
    <t xml:space="preserve">PORCENTAJES</t>
  </si>
  <si>
    <t xml:space="preserve">Instrucciones de llenado</t>
  </si>
  <si>
    <t xml:space="preserve">INDICADORES RELACIONADOS </t>
  </si>
  <si>
    <t xml:space="preserve">IR.1.1.4</t>
  </si>
  <si>
    <t xml:space="preserve">a) y b)</t>
  </si>
  <si>
    <t xml:space="preserve">Complete las cantidades de docentes y alumnas para cada escuela.</t>
  </si>
  <si>
    <t xml:space="preserve">IR.1.1.5</t>
  </si>
  <si>
    <t xml:space="preserve">Seleccione 1: cuando la respuesta sea "Si" y 0 cuando la respuesta sea "No"</t>
  </si>
  <si>
    <t xml:space="preserve">IR.1.1.8</t>
  </si>
  <si>
    <t xml:space="preserve">En el caso de las columnas siguientes:</t>
  </si>
  <si>
    <t xml:space="preserve">Ubicación  / espacio disponible </t>
  </si>
  <si>
    <t xml:space="preserve">Describir brevemente la ubicación</t>
  </si>
  <si>
    <t xml:space="preserve">75 % de niños y niñas de tercero y cuarto grado responden satisfactoriamente una prueba objetiva de higiene y saneamiento ambiental y reconocen que las actividades relacionadas a higiene y saneamiento deben ser realizadas tanto por hombre como mujeres. </t>
  </si>
  <si>
    <r>
      <rPr>
        <b val="true"/>
        <sz val="10"/>
        <color rgb="FF0066CC"/>
        <rFont val="Arial"/>
        <family val="2"/>
        <charset val="1"/>
      </rPr>
      <t xml:space="preserve">Instrucciones Generales: </t>
    </r>
    <r>
      <rPr>
        <sz val="10"/>
        <color rgb="FF0066CC"/>
        <rFont val="Arial"/>
        <family val="2"/>
        <charset val="1"/>
      </rPr>
      <t xml:space="preserve">Complete las columnas en color blanco con letra azul</t>
    </r>
  </si>
  <si>
    <t xml:space="preserve">Realizan la prueba de Higiene y Saneamiento</t>
  </si>
  <si>
    <t xml:space="preserve">Responden  y aprueban un test de Higiene y Saneamiento</t>
  </si>
  <si>
    <t xml:space="preserve">% Responden y aprueban un test de Higiene y Saneamiento</t>
  </si>
  <si>
    <t xml:space="preserve">Niños</t>
  </si>
  <si>
    <t xml:space="preserve">Niñas</t>
  </si>
  <si>
    <t xml:space="preserve">TOTAL
Estudiantes</t>
  </si>
  <si>
    <t xml:space="preserve">IR.1.1.7</t>
  </si>
  <si>
    <t xml:space="preserve">Los técnicos municipales participan en al menos en un 50% de las asambleas comunitarias promovidas en el marco de la implementación de FECSA. </t>
  </si>
  <si>
    <t xml:space="preserve">Número de Participantes </t>
  </si>
  <si>
    <t xml:space="preserve">No Asamblea 
Comunitaria</t>
  </si>
  <si>
    <t xml:space="preserve">Hombres</t>
  </si>
  <si>
    <t xml:space="preserve">Mujeres</t>
  </si>
  <si>
    <t xml:space="preserve">Tècnicos Municipales</t>
  </si>
  <si>
    <t xml:space="preserve">IR.1.1.9</t>
  </si>
  <si>
    <t xml:space="preserve">9 escuelas mejoran las instalaciones de saneamiento con un diseño adaptado para el uso de niños y niñas facilitando las prácticas de higiene.</t>
  </si>
  <si>
    <t xml:space="preserve">IR.1.1.11</t>
  </si>
  <si>
    <t xml:space="preserve">100% de las familias que requieren  letrinas de acuerdo al diagnósticos de saneamiento acceden a la construcción de infraestructura sanitaria, previa graduación según la metodología FECSA.</t>
  </si>
  <si>
    <r>
      <rPr>
        <b val="true"/>
        <sz val="10"/>
        <color rgb="FF003366"/>
        <rFont val="Arial"/>
        <family val="2"/>
        <charset val="1"/>
      </rPr>
      <t xml:space="preserve">Instrucciones Generales:</t>
    </r>
    <r>
      <rPr>
        <sz val="10"/>
        <color rgb="FF003366"/>
        <rFont val="Arial"/>
        <family val="2"/>
        <charset val="1"/>
      </rPr>
      <t xml:space="preserve"> Llene los campos no sombreados y letras color azul. </t>
    </r>
  </si>
  <si>
    <t xml:space="preserve">Diagnóstico</t>
  </si>
  <si>
    <t xml:space="preserve">Real</t>
  </si>
  <si>
    <t xml:space="preserve">Porcentajes</t>
  </si>
  <si>
    <t xml:space="preserve">Escuelas</t>
  </si>
  <si>
    <t xml:space="preserve">Familias</t>
  </si>
  <si>
    <t xml:space="preserve">Ç</t>
  </si>
  <si>
    <t xml:space="preserve">El Regadio</t>
  </si>
  <si>
    <t xml:space="preserve">Notas sobre las herramientas:</t>
  </si>
  <si>
    <t xml:space="preserve">Elementos</t>
  </si>
  <si>
    <t xml:space="preserve">Claves:</t>
  </si>
  <si>
    <t xml:space="preserve">Observaciones:</t>
  </si>
  <si>
    <r>
      <rPr>
        <b val="true"/>
        <sz val="11"/>
        <color rgb="FF000000"/>
        <rFont val="Calibri"/>
        <family val="2"/>
        <charset val="1"/>
      </rPr>
      <t xml:space="preserve">A_ Organización</t>
    </r>
    <r>
      <rPr>
        <sz val="11"/>
        <color theme="1"/>
        <rFont val="Calibri"/>
        <family val="2"/>
        <charset val="1"/>
      </rPr>
      <t xml:space="preserve"> (Indicador: Al menos 4 miembros de los CAPS se mantienen activos en la toma de decisiones)</t>
    </r>
  </si>
  <si>
    <t xml:space="preserve">Al menos 4 miembros de los CAPS se encuentran activos </t>
  </si>
  <si>
    <t xml:space="preserve">50% de las asambleas Comunitarias  son desarrolladas de manera autonoma por los  Comites de Agua y Saneamiento para tomas de decisiones y vinculadas a los temas de A&amp;S</t>
  </si>
  <si>
    <t xml:space="preserve">Este criterio nos ayudaría a medir el reconocimiento de la autoridad del CAPS en la comunidad.
Participación de conformidad al reglamento interno se realizan las asambleas con la participación del 50% + 1 para poderse desarrollar.</t>
  </si>
  <si>
    <t xml:space="preserve">CAPS con participación de al menos un 50% de mujeres en la toma de decisiones</t>
  </si>
  <si>
    <t xml:space="preserve">Referente al IR.1.1.21:  A ca se medirá la participación de las mujeres, la convocatoria que se realiza, etc.</t>
  </si>
  <si>
    <t xml:space="preserve">CAPS mantienen su certificación Municipal y Nacional.</t>
  </si>
  <si>
    <t xml:space="preserve">Pendiente de incluir la parte de Legalización. SAP, y la regularización CAPS
</t>
  </si>
  <si>
    <t xml:space="preserve">Capital Social</t>
  </si>
  <si>
    <r>
      <rPr>
        <b val="true"/>
        <sz val="11"/>
        <color rgb="FF000000"/>
        <rFont val="Calibri"/>
        <family val="2"/>
        <charset val="1"/>
      </rPr>
      <t xml:space="preserve">B_ Capital social</t>
    </r>
    <r>
      <rPr>
        <sz val="11"/>
        <color theme="1"/>
        <rFont val="Calibri"/>
        <family val="2"/>
        <charset val="1"/>
      </rPr>
      <t xml:space="preserve"> (Indicador: El CAPS ha establecido al menos dos vinculaciones directa en espacios de concertación</t>
    </r>
  </si>
  <si>
    <r>
      <rPr>
        <b val="true"/>
        <sz val="11"/>
        <color rgb="FF000000"/>
        <rFont val="Calibri"/>
        <family val="2"/>
        <charset val="1"/>
      </rPr>
      <t xml:space="preserve">B.1_</t>
    </r>
    <r>
      <rPr>
        <sz val="11"/>
        <color theme="1"/>
        <rFont val="Calibri"/>
        <family val="2"/>
        <charset val="1"/>
      </rPr>
      <t xml:space="preserve">Marque los espacios en los que algún miembro de la JD del CAPS participa:
Cambiar la organización "Cooperativas" por "CAS" e incluir CPC:
Red de CAPS
CMC
COMACO,
Comité Micro regional
COLOPRED
CAS
CPC
</t>
    </r>
  </si>
  <si>
    <t xml:space="preserve">50% de las asambleas que se desarrollan con la comunidad y Comites de Agua y Saneamiento son convocadas por el CAPS </t>
  </si>
  <si>
    <t xml:space="preserve">No se incluirá ya que se estaría duplicando</t>
  </si>
  <si>
    <t xml:space="preserve">Se renombra Vinculación UMAS por Autogestión</t>
  </si>
  <si>
    <t xml:space="preserve">Modificar en la encuesta:
1- Agregar las preguntas de autogestión.
2- Las de vinculación con las UMAS que se trasladen para medir el fortalecimiento con las UMAS.</t>
  </si>
  <si>
    <t xml:space="preserve">1- Se ha presentado algún problema (administrativo, legal, organizativo, técnico) que trascienda a su capacidad de respuesta?
Respuestas: 
SI = 1 
 NO = 0</t>
  </si>
  <si>
    <r>
      <rPr>
        <sz val="11"/>
        <color theme="1"/>
        <rFont val="Calibri"/>
        <family val="2"/>
        <charset val="1"/>
      </rPr>
      <t xml:space="preserve">C_ Apoyo municipal (vinculación UMAS) (Indicador: El CAPS ha establecido una vinculación directa con las UMAS)
</t>
    </r>
    <r>
      <rPr>
        <b val="true"/>
        <sz val="11"/>
        <color rgb="FF000000"/>
        <rFont val="Calibri"/>
        <family val="2"/>
        <charset val="1"/>
      </rPr>
      <t xml:space="preserve">C.1_</t>
    </r>
    <r>
      <rPr>
        <sz val="11"/>
        <color theme="1"/>
        <rFont val="Calibri"/>
        <family val="2"/>
        <charset val="1"/>
      </rPr>
      <t xml:space="preserve">¿Con qué frecuencia reciben visitas de los técnicos de las alcaldías desde que se finalizó la construcción del sistema?
 1_Una vez al mes
 2_Una vez cada 6 meses 
 3_Una vez al año
 4_Hace más de una año que no vienen
 5_Desde que se construyó el SAP no les hemos vuelto a ver
</t>
    </r>
    <r>
      <rPr>
        <sz val="12"/>
        <color rgb="FFFF0000"/>
        <rFont val="Calibri"/>
        <family val="2"/>
        <charset val="1"/>
      </rPr>
      <t xml:space="preserve">Garantizar los medios de verificación para estas gestiones
</t>
    </r>
  </si>
  <si>
    <t xml:space="preserve">2-El CAPS gestiona de manera autonoma ante entidades competentes apoyo para dar respuesta a problemáticas presentadas
Respuestas: 
SI = 1 
 NO = 0</t>
  </si>
  <si>
    <r>
      <rPr>
        <sz val="11"/>
        <color theme="1"/>
        <rFont val="Calibri"/>
        <family val="2"/>
        <charset val="1"/>
      </rPr>
      <t xml:space="preserve">Verificar las gestiones que se han realizado.
En dependencia de las gestiones que se han realizado, verificar:
Número de respuestas que han recibido.
</t>
    </r>
    <r>
      <rPr>
        <sz val="11"/>
        <color rgb="FFFF0000"/>
        <rFont val="Calibri"/>
        <family val="2"/>
        <charset val="1"/>
      </rPr>
      <t xml:space="preserve">Satisfacción a las respuestas.
Medios en  que fue presentada la gestión (instrumento, si fue por escrito o verbalmente)</t>
    </r>
  </si>
  <si>
    <t xml:space="preserve">C.3_ ¿Están satisfechos con el apoyo que les han dado en la solución de problemas?
 0_No
 1_Sí
</t>
  </si>
  <si>
    <t xml:space="preserve">Recuperación de Costos</t>
  </si>
  <si>
    <r>
      <rPr>
        <b val="true"/>
        <sz val="11"/>
        <color rgb="FF000000"/>
        <rFont val="Calibri"/>
        <family val="2"/>
        <charset val="1"/>
      </rPr>
      <t xml:space="preserve">D_ Recuperación de costes</t>
    </r>
    <r>
      <rPr>
        <sz val="11"/>
        <color theme="1"/>
        <rFont val="Calibri"/>
        <family val="2"/>
        <charset val="1"/>
      </rPr>
      <t xml:space="preserve"> (sostenibilidad económica) (Indicador: La gestión contable del CAPS le permite pagar los costes de O&amp;M mensuales)</t>
    </r>
  </si>
  <si>
    <t xml:space="preserve">La cantidad de dinero recaudada producto de la facturación le permite pagar los costes de OyM por mes.
1: Si 
0: No 
</t>
  </si>
  <si>
    <t xml:space="preserve">D.2 Cuenta con ahorros superiores al 10% de los costos de operación mensual 
1: Si 
0: No 
</t>
  </si>
  <si>
    <t xml:space="preserve">el porcentaje del ahorro (10%) se realizará cuando se haga la medición. Diferenciado para cada tipo de sistema</t>
  </si>
  <si>
    <r>
      <rPr>
        <b val="true"/>
        <sz val="11"/>
        <color rgb="FF000000"/>
        <rFont val="Calibri"/>
        <family val="2"/>
        <charset val="1"/>
      </rPr>
      <t xml:space="preserve">E_</t>
    </r>
    <r>
      <rPr>
        <sz val="11"/>
        <color theme="1"/>
        <rFont val="Calibri"/>
        <family val="2"/>
        <charset val="1"/>
      </rPr>
      <t xml:space="preserve"> Operación y Mantenimiento en su reglamento interno?</t>
    </r>
  </si>
  <si>
    <r>
      <rPr>
        <b val="true"/>
        <sz val="11"/>
        <color rgb="FF000000"/>
        <rFont val="Calibri"/>
        <family val="2"/>
        <charset val="1"/>
      </rPr>
      <t xml:space="preserve">E1_</t>
    </r>
    <r>
      <rPr>
        <sz val="11"/>
        <color theme="1"/>
        <rFont val="Calibri"/>
        <family val="2"/>
        <charset val="1"/>
      </rPr>
      <t xml:space="preserve">El CAPS cuenta con un plan de mantenimiento
 0_No
 1_Sí
</t>
    </r>
  </si>
  <si>
    <r>
      <rPr>
        <sz val="11"/>
        <color theme="1"/>
        <rFont val="Calibri"/>
        <family val="2"/>
        <charset val="1"/>
      </rPr>
      <t xml:space="preserve">Realizar un Plan de Mantenimiento con cada CAPS (al finalizar la formación en OyM se debe finalizar con un Plan de Mantenimiento)
Con esto estaríamos eliminando el cuadro en la encuesta </t>
    </r>
    <r>
      <rPr>
        <sz val="11"/>
        <color rgb="FFFF0000"/>
        <rFont val="Calibri"/>
        <family val="2"/>
        <charset val="1"/>
      </rPr>
      <t xml:space="preserve">E.2</t>
    </r>
  </si>
  <si>
    <r>
      <rPr>
        <sz val="11"/>
        <color theme="1"/>
        <rFont val="Calibri"/>
        <family val="2"/>
        <charset val="1"/>
      </rPr>
      <t xml:space="preserve">Realizan el 60% de las OM previstas en el Plan
1 =si
0=</t>
    </r>
    <r>
      <rPr>
        <b val="true"/>
        <sz val="11"/>
        <color rgb="FF000000"/>
        <rFont val="Calibri"/>
        <family val="2"/>
        <charset val="1"/>
      </rPr>
      <t xml:space="preserve">no</t>
    </r>
  </si>
  <si>
    <t xml:space="preserve">No tienen un Plan, pero realizan acciones. 
SI
NO</t>
  </si>
  <si>
    <t xml:space="preserve">Salud Comunitaria y Ambiental</t>
  </si>
  <si>
    <r>
      <rPr>
        <b val="true"/>
        <sz val="11"/>
        <color rgb="FF000000"/>
        <rFont val="Calibri"/>
        <family val="2"/>
        <charset val="1"/>
      </rPr>
      <t xml:space="preserve">F.</t>
    </r>
    <r>
      <rPr>
        <sz val="11"/>
        <color theme="1"/>
        <rFont val="Calibri"/>
        <family val="2"/>
        <charset val="1"/>
      </rPr>
      <t xml:space="preserve"> Higiene ambiental </t>
    </r>
  </si>
  <si>
    <t xml:space="preserve">Se cambia el nombre de Higiene Ambiental por Salud Comunitaria y Hambiental.</t>
  </si>
  <si>
    <r>
      <rPr>
        <b val="true"/>
        <sz val="11"/>
        <color rgb="FF000000"/>
        <rFont val="Calibri"/>
        <family val="2"/>
        <charset val="1"/>
      </rPr>
      <t xml:space="preserve">F.1_</t>
    </r>
    <r>
      <rPr>
        <sz val="11"/>
        <color theme="1"/>
        <rFont val="Calibri"/>
        <family val="2"/>
        <charset val="1"/>
      </rPr>
      <t xml:space="preserve">Marcar aquellas actividades que el CAPS ha realizado en el último año:
 F1.1_Campañas de uso racional del agua.
 F1.2_Campañas de promoción de higiene con las familias
 F1.3_Jornadas de limpieza comunitaria 
 F1.4_Actividades de conservación de las fuentes de agua (reforestación, limpieza de la fuente de agua, reubicación de focos de contaminación…)
</t>
    </r>
  </si>
  <si>
    <t xml:space="preserve">valorar incluir:
F1.5  Los CAPS designan en la tarifa un porcentaje de la tarifa para la realización de acciones de conservación ambiental.
F1.6 Muestreos de calidad de agua (y la frecuencia)</t>
  </si>
  <si>
    <r>
      <rPr>
        <b val="true"/>
        <sz val="11"/>
        <color rgb="FF000000"/>
        <rFont val="Calibri"/>
        <family val="2"/>
        <charset val="1"/>
      </rPr>
      <t xml:space="preserve">G_</t>
    </r>
    <r>
      <rPr>
        <sz val="11"/>
        <color theme="1"/>
        <rFont val="Calibri"/>
        <family val="2"/>
        <charset val="1"/>
      </rPr>
      <t xml:space="preserve"> Rendición de cuentas </t>
    </r>
  </si>
  <si>
    <t xml:space="preserve">Incluir los libros contables actualizados. (libros de registros contables, libros de registros de usuarios, libro de actas)</t>
  </si>
  <si>
    <t xml:space="preserve">
G.1_ ¿Informa a los usuarios de la situación económica del CAPS de acuerdo a lo establecido en su reglamento interno? 
 SI    ____
 NO  ____</t>
  </si>
  <si>
    <t xml:space="preserve">Se mejora la pregunta:
G.1_ ¿Informa a los usuarios de la situación económica del CAPS de acuerdo a lo establecido en su reglamento interno? 
 SI    ____
 NO  ____</t>
  </si>
  <si>
    <t xml:space="preserve">G.2_ Hace una rendicion de cuentas a la junta directiva del CAPS de manera mensual.
SI ___
NO ___</t>
  </si>
  <si>
    <r>
      <rPr>
        <b val="true"/>
        <sz val="11"/>
        <color rgb="FF000000"/>
        <rFont val="Calibri"/>
        <family val="2"/>
        <charset val="1"/>
      </rPr>
      <t xml:space="preserve">H.</t>
    </r>
    <r>
      <rPr>
        <sz val="11"/>
        <color theme="1"/>
        <rFont val="Calibri"/>
        <family val="2"/>
        <charset val="1"/>
      </rPr>
      <t xml:space="preserve"> Uso y conservación del sistema
Buen estado
Mal Estado</t>
    </r>
  </si>
  <si>
    <r>
      <rPr>
        <sz val="11"/>
        <color theme="1"/>
        <rFont val="Calibri"/>
        <family val="2"/>
        <charset val="1"/>
      </rPr>
      <t xml:space="preserve">La clave será revisar los criterios y no la herramienta, de acuerdo a parametros establecidos para evaluar cada sistema (estado)
</t>
    </r>
    <r>
      <rPr>
        <b val="true"/>
        <sz val="11"/>
        <color rgb="FFFF0000"/>
        <rFont val="Calibri"/>
        <family val="2"/>
        <charset val="1"/>
      </rPr>
      <t xml:space="preserve">(Ver tabla hoja 3)</t>
    </r>
  </si>
  <si>
    <t xml:space="preserve">En los planes de accion y reglamento interno de los CAPS se contemplan medidas y acciones para promover la participación activa de las mujeres.</t>
  </si>
  <si>
    <t xml:space="preserve">Referente al IR.1.120</t>
  </si>
  <si>
    <t xml:space="preserve">Las tarifas son evaluadas bajo criterios de no discriminación de género y grupos vulnerables</t>
  </si>
</sst>
</file>

<file path=xl/styles.xml><?xml version="1.0" encoding="utf-8"?>
<styleSheet xmlns="http://schemas.openxmlformats.org/spreadsheetml/2006/main">
  <numFmts count="11">
    <numFmt numFmtId="164" formatCode="General"/>
    <numFmt numFmtId="165" formatCode="_-[$€]* #,##0.00_-;\-[$€]* #,##0.00_-;_-[$€]* \-??_-;_-@_-"/>
    <numFmt numFmtId="166" formatCode="_ * #,##0.00_ ;_ * \-#,##0.00_ ;_ * \-??_ ;_ @_ "/>
    <numFmt numFmtId="167" formatCode="_(* #,##0.00_);_(* \(#,##0.00\);_(* \-??_);_(@_)"/>
    <numFmt numFmtId="168" formatCode="_-* #,##0.00&quot; €&quot;_-;\-* #,##0.00&quot; €&quot;_-;_-* \-??&quot; €&quot;_-;_-@_-"/>
    <numFmt numFmtId="169" formatCode="0\ %"/>
    <numFmt numFmtId="170" formatCode="0.00"/>
    <numFmt numFmtId="171" formatCode="_-* #,##0.00\ _€_-;\-* #,##0.00\ _€_-;_-* \-??\ _€_-;_-@_-"/>
    <numFmt numFmtId="172" formatCode="dd/mm/yyyy"/>
    <numFmt numFmtId="173" formatCode="0.0"/>
    <numFmt numFmtId="174" formatCode="0.000"/>
  </numFmts>
  <fonts count="187">
    <font>
      <sz val="11"/>
      <color theme="1"/>
      <name val="Calibri"/>
      <family val="2"/>
      <charset val="1"/>
    </font>
    <font>
      <sz val="10"/>
      <name val="Arial"/>
      <family val="0"/>
    </font>
    <font>
      <sz val="10"/>
      <name val="Arial"/>
      <family val="0"/>
    </font>
    <font>
      <sz val="10"/>
      <name val="Arial"/>
      <family val="0"/>
    </font>
    <font>
      <sz val="11"/>
      <color rgb="FF000000"/>
      <name val="Calibri"/>
      <family val="2"/>
      <charset val="1"/>
    </font>
    <font>
      <sz val="11"/>
      <color rgb="FFFFFFFF"/>
      <name val="Calibri"/>
      <family val="2"/>
      <charset val="1"/>
    </font>
    <font>
      <sz val="11"/>
      <color rgb="FF008000"/>
      <name val="Calibri"/>
      <family val="2"/>
      <charset val="1"/>
    </font>
    <font>
      <b val="true"/>
      <sz val="11"/>
      <color rgb="FFFFFFFF"/>
      <name val="Calibri"/>
      <family val="2"/>
      <charset val="1"/>
    </font>
    <font>
      <sz val="11"/>
      <color rgb="FFFF9900"/>
      <name val="Calibri"/>
      <family val="2"/>
      <charset val="1"/>
    </font>
    <font>
      <b val="true"/>
      <sz val="11"/>
      <color rgb="FFFF9900"/>
      <name val="Calibri"/>
      <family val="2"/>
      <charset val="1"/>
    </font>
    <font>
      <b val="true"/>
      <sz val="11"/>
      <color rgb="FF003366"/>
      <name val="Calibri"/>
      <family val="2"/>
      <charset val="1"/>
    </font>
    <font>
      <sz val="11"/>
      <color rgb="FF333399"/>
      <name val="Calibri"/>
      <family val="2"/>
      <charset val="1"/>
    </font>
    <font>
      <sz val="11"/>
      <color rgb="FF800080"/>
      <name val="Calibri"/>
      <family val="2"/>
      <charset val="1"/>
    </font>
    <font>
      <sz val="11"/>
      <color rgb="FF993300"/>
      <name val="Calibri"/>
      <family val="2"/>
      <charset val="1"/>
    </font>
    <font>
      <sz val="10"/>
      <name val="Arial"/>
      <family val="2"/>
      <charset val="1"/>
    </font>
    <font>
      <sz val="11"/>
      <color theme="1"/>
      <name val="Constantia"/>
      <family val="2"/>
      <charset val="1"/>
    </font>
    <font>
      <b val="true"/>
      <sz val="11"/>
      <color rgb="FF333333"/>
      <name val="Calibri"/>
      <family val="2"/>
      <charset val="1"/>
    </font>
    <font>
      <b val="true"/>
      <sz val="11"/>
      <color rgb="FF3F3F3F"/>
      <name val="Constantia"/>
      <family val="2"/>
      <charset val="1"/>
    </font>
    <font>
      <sz val="11"/>
      <color rgb="FFFF0000"/>
      <name val="Calibri"/>
      <family val="2"/>
      <charset val="1"/>
    </font>
    <font>
      <i val="true"/>
      <sz val="11"/>
      <color rgb="FF808080"/>
      <name val="Calibri"/>
      <family val="2"/>
      <charset val="1"/>
    </font>
    <font>
      <b val="true"/>
      <sz val="11"/>
      <color rgb="FF000000"/>
      <name val="Calibri"/>
      <family val="2"/>
      <charset val="1"/>
    </font>
    <font>
      <b val="true"/>
      <sz val="15"/>
      <color rgb="FF003366"/>
      <name val="Calibri"/>
      <family val="2"/>
      <charset val="1"/>
    </font>
    <font>
      <b val="true"/>
      <sz val="13"/>
      <color rgb="FF003366"/>
      <name val="Calibri"/>
      <family val="2"/>
      <charset val="1"/>
    </font>
    <font>
      <b val="true"/>
      <sz val="18"/>
      <color rgb="FF003366"/>
      <name val="Cambria"/>
      <family val="2"/>
      <charset val="1"/>
    </font>
    <font>
      <sz val="10"/>
      <color rgb="FF000000"/>
      <name val="Arial Narrow"/>
      <family val="2"/>
      <charset val="1"/>
    </font>
    <font>
      <b val="true"/>
      <sz val="10"/>
      <color rgb="FF000000"/>
      <name val="Arial Narrow"/>
      <family val="2"/>
      <charset val="1"/>
    </font>
    <font>
      <b val="true"/>
      <sz val="14"/>
      <color rgb="FF000000"/>
      <name val="Arial Narrow"/>
      <family val="2"/>
      <charset val="1"/>
    </font>
    <font>
      <b val="true"/>
      <sz val="11"/>
      <color rgb="FF000000"/>
      <name val="Arial"/>
      <family val="2"/>
      <charset val="1"/>
    </font>
    <font>
      <sz val="11"/>
      <color rgb="FF000000"/>
      <name val="Arial"/>
      <family val="2"/>
      <charset val="1"/>
    </font>
    <font>
      <sz val="9"/>
      <color rgb="FF000000"/>
      <name val="Arial"/>
      <family val="2"/>
      <charset val="1"/>
    </font>
    <font>
      <b val="true"/>
      <sz val="11"/>
      <name val="Arial"/>
      <family val="2"/>
      <charset val="1"/>
    </font>
    <font>
      <sz val="11"/>
      <name val="Arial"/>
      <family val="2"/>
      <charset val="1"/>
    </font>
    <font>
      <b val="true"/>
      <sz val="12"/>
      <color rgb="FF000000"/>
      <name val="Arial"/>
      <family val="2"/>
      <charset val="1"/>
    </font>
    <font>
      <sz val="12"/>
      <color rgb="FF000000"/>
      <name val="Arial"/>
      <family val="2"/>
      <charset val="1"/>
    </font>
    <font>
      <b val="true"/>
      <sz val="12"/>
      <color rgb="FFFF0000"/>
      <name val="Arial Narrow"/>
      <family val="2"/>
      <charset val="1"/>
    </font>
    <font>
      <b val="true"/>
      <sz val="12"/>
      <color rgb="FFFF0000"/>
      <name val="Wingdings"/>
      <family val="0"/>
      <charset val="2"/>
    </font>
    <font>
      <b val="true"/>
      <u val="single"/>
      <sz val="14"/>
      <color rgb="FFFF0000"/>
      <name val="Arial Narrow"/>
      <family val="2"/>
      <charset val="1"/>
    </font>
    <font>
      <u val="single"/>
      <sz val="11"/>
      <color rgb="FFFF9900"/>
      <name val="Calibri"/>
      <family val="2"/>
      <charset val="1"/>
    </font>
    <font>
      <b val="true"/>
      <sz val="12"/>
      <color rgb="FF000000"/>
      <name val="Arial Narrow"/>
      <family val="2"/>
      <charset val="1"/>
    </font>
    <font>
      <b val="true"/>
      <sz val="12"/>
      <color rgb="FF333399"/>
      <name val="Arial Narrow"/>
      <family val="2"/>
      <charset val="1"/>
    </font>
    <font>
      <b val="true"/>
      <sz val="12"/>
      <color rgb="FF000000"/>
      <name val="Calibri"/>
      <family val="2"/>
      <charset val="1"/>
    </font>
    <font>
      <b val="true"/>
      <sz val="10"/>
      <name val="Arial Narrow"/>
      <family val="2"/>
      <charset val="1"/>
    </font>
    <font>
      <sz val="10"/>
      <name val="Arial Narrow"/>
      <family val="2"/>
      <charset val="1"/>
    </font>
    <font>
      <sz val="10"/>
      <name val="Arial Unicode MS"/>
      <family val="2"/>
      <charset val="1"/>
    </font>
    <font>
      <b val="true"/>
      <sz val="11"/>
      <color rgb="FFFF0000"/>
      <name val="Arial"/>
      <family val="2"/>
      <charset val="1"/>
    </font>
    <font>
      <sz val="10"/>
      <color rgb="FFFF0000"/>
      <name val="Arial Unicode MS"/>
      <family val="2"/>
      <charset val="1"/>
    </font>
    <font>
      <sz val="10"/>
      <color rgb="FFFF0000"/>
      <name val="Arial Narrow"/>
      <family val="2"/>
      <charset val="1"/>
    </font>
    <font>
      <b val="true"/>
      <sz val="10"/>
      <color rgb="FFFF0000"/>
      <name val="Arial Narrow"/>
      <family val="2"/>
      <charset val="1"/>
    </font>
    <font>
      <sz val="10"/>
      <name val="Calibri"/>
      <family val="2"/>
      <charset val="1"/>
    </font>
    <font>
      <sz val="10"/>
      <name val="Arial"/>
      <family val="2"/>
    </font>
    <font>
      <sz val="9"/>
      <color rgb="FF000000"/>
      <name val="Tahoma"/>
      <family val="2"/>
      <charset val="1"/>
    </font>
    <font>
      <sz val="11"/>
      <name val="Arial Narrow"/>
      <family val="2"/>
      <charset val="1"/>
    </font>
    <font>
      <b val="true"/>
      <sz val="12"/>
      <name val="Arial Narrow"/>
      <family val="2"/>
      <charset val="1"/>
    </font>
    <font>
      <b val="true"/>
      <sz val="11"/>
      <name val="Arial Narrow"/>
      <family val="2"/>
      <charset val="1"/>
    </font>
    <font>
      <sz val="11"/>
      <name val="Calibri"/>
      <family val="2"/>
      <charset val="1"/>
    </font>
    <font>
      <b val="true"/>
      <sz val="14"/>
      <color rgb="FF993300"/>
      <name val="Arial Narrow"/>
      <family val="2"/>
      <charset val="1"/>
    </font>
    <font>
      <sz val="12"/>
      <name val="Arial Narrow"/>
      <family val="2"/>
      <charset val="1"/>
    </font>
    <font>
      <b val="true"/>
      <sz val="14"/>
      <color rgb="FFFFFFFF"/>
      <name val="Arial Narrow"/>
      <family val="2"/>
      <charset val="1"/>
    </font>
    <font>
      <b val="true"/>
      <sz val="10"/>
      <color rgb="FF000000"/>
      <name val="Arial"/>
      <family val="2"/>
      <charset val="1"/>
    </font>
    <font>
      <b val="true"/>
      <sz val="14"/>
      <name val="Arial Narrow"/>
      <family val="2"/>
      <charset val="1"/>
    </font>
    <font>
      <sz val="14"/>
      <name val="Calibri"/>
      <family val="2"/>
      <charset val="1"/>
    </font>
    <font>
      <sz val="14"/>
      <name val="Arial Narrow"/>
      <family val="2"/>
      <charset val="1"/>
    </font>
    <font>
      <b val="true"/>
      <sz val="10"/>
      <name val="Arial"/>
      <family val="2"/>
      <charset val="1"/>
    </font>
    <font>
      <b val="true"/>
      <sz val="12"/>
      <name val="Arial"/>
      <family val="2"/>
      <charset val="1"/>
    </font>
    <font>
      <sz val="11"/>
      <color rgb="FF000000"/>
      <name val="Arial Narrow"/>
      <family val="2"/>
      <charset val="1"/>
    </font>
    <font>
      <sz val="12"/>
      <name val="Arial"/>
      <family val="2"/>
      <charset val="1"/>
    </font>
    <font>
      <b val="true"/>
      <sz val="11"/>
      <name val="Calibri"/>
      <family val="2"/>
      <charset val="1"/>
    </font>
    <font>
      <b val="true"/>
      <sz val="14"/>
      <color rgb="FF003366"/>
      <name val="Arial Rounded MT Bold"/>
      <family val="2"/>
      <charset val="1"/>
    </font>
    <font>
      <b val="true"/>
      <sz val="10"/>
      <color rgb="FFFF0000"/>
      <name val="Arial"/>
      <family val="2"/>
      <charset val="1"/>
    </font>
    <font>
      <sz val="11"/>
      <color rgb="FFFF0000"/>
      <name val="Arial"/>
      <family val="2"/>
      <charset val="1"/>
    </font>
    <font>
      <sz val="10"/>
      <color rgb="FF000000"/>
      <name val="Calibri"/>
      <family val="2"/>
      <charset val="1"/>
    </font>
    <font>
      <b val="true"/>
      <sz val="9"/>
      <color rgb="FF000000"/>
      <name val="Arial"/>
      <family val="2"/>
      <charset val="1"/>
    </font>
    <font>
      <sz val="10"/>
      <color rgb="FF000000"/>
      <name val="Arial"/>
      <family val="2"/>
      <charset val="1"/>
    </font>
    <font>
      <b val="true"/>
      <sz val="10"/>
      <color rgb="FF0066CC"/>
      <name val="Arial"/>
      <family val="2"/>
      <charset val="1"/>
    </font>
    <font>
      <b val="true"/>
      <sz val="11"/>
      <color rgb="FF993366"/>
      <name val="Arial"/>
      <family val="2"/>
      <charset val="1"/>
    </font>
    <font>
      <b val="true"/>
      <sz val="11"/>
      <color rgb="FFFFFFFF"/>
      <name val="Arial Narrow"/>
      <family val="2"/>
      <charset val="1"/>
    </font>
    <font>
      <sz val="11"/>
      <color rgb="FF333399"/>
      <name val="Arial"/>
      <family val="2"/>
      <charset val="1"/>
    </font>
    <font>
      <sz val="10"/>
      <color rgb="FF008080"/>
      <name val="Arial"/>
      <family val="2"/>
      <charset val="1"/>
    </font>
    <font>
      <sz val="10"/>
      <color rgb="FF993366"/>
      <name val="Arial"/>
      <family val="2"/>
      <charset val="1"/>
    </font>
    <font>
      <sz val="11"/>
      <color theme="8" tint="-0.5"/>
      <name val="Calibri"/>
      <family val="2"/>
      <charset val="1"/>
    </font>
    <font>
      <b val="true"/>
      <sz val="10"/>
      <color rgb="FF993366"/>
      <name val="Arial"/>
      <family val="2"/>
      <charset val="1"/>
    </font>
    <font>
      <sz val="9"/>
      <name val="Arial"/>
      <family val="2"/>
      <charset val="1"/>
    </font>
    <font>
      <sz val="11"/>
      <color rgb="FF003399"/>
      <name val="Calibri"/>
      <family val="2"/>
      <charset val="1"/>
    </font>
    <font>
      <u val="single"/>
      <sz val="11"/>
      <color rgb="FF666699"/>
      <name val="Calibri"/>
      <family val="2"/>
      <charset val="1"/>
    </font>
    <font>
      <sz val="10"/>
      <color rgb="FF0066CC"/>
      <name val="Arial"/>
      <family val="2"/>
      <charset val="1"/>
    </font>
    <font>
      <sz val="12"/>
      <color rgb="FF000000"/>
      <name val="Calibri"/>
      <family val="2"/>
      <charset val="1"/>
    </font>
    <font>
      <b val="true"/>
      <sz val="14"/>
      <color rgb="FFFFFFFF"/>
      <name val="Calibri"/>
      <family val="2"/>
      <charset val="1"/>
    </font>
    <font>
      <b val="true"/>
      <sz val="14"/>
      <color rgb="FFFF0000"/>
      <name val="Calibri"/>
      <family val="2"/>
      <charset val="1"/>
    </font>
    <font>
      <b val="true"/>
      <sz val="11"/>
      <color theme="0"/>
      <name val="Calibri"/>
      <family val="2"/>
      <charset val="1"/>
    </font>
    <font>
      <b val="true"/>
      <sz val="11"/>
      <color rgb="FFFF0000"/>
      <name val="Calibri"/>
      <family val="2"/>
      <charset val="1"/>
    </font>
    <font>
      <b val="true"/>
      <sz val="16"/>
      <color rgb="FFFFFFFF"/>
      <name val="Calibri"/>
      <family val="2"/>
      <charset val="1"/>
    </font>
    <font>
      <b val="true"/>
      <sz val="10"/>
      <color rgb="FF000000"/>
      <name val="Calibri"/>
      <family val="2"/>
      <charset val="1"/>
    </font>
    <font>
      <u val="single"/>
      <sz val="11"/>
      <name val="Calibri"/>
      <family val="2"/>
      <charset val="1"/>
    </font>
    <font>
      <b val="true"/>
      <sz val="12"/>
      <color rgb="FFFFFFFF"/>
      <name val="Calibri"/>
      <family val="2"/>
      <charset val="1"/>
    </font>
    <font>
      <sz val="12"/>
      <color rgb="FF000000"/>
      <name val="Arial Narrow"/>
      <family val="2"/>
      <charset val="1"/>
    </font>
    <font>
      <b val="true"/>
      <sz val="12"/>
      <color rgb="FF008000"/>
      <name val="Arial Narrow"/>
      <family val="2"/>
      <charset val="1"/>
    </font>
    <font>
      <sz val="12"/>
      <color rgb="FFFF0000"/>
      <name val="Arial Narrow"/>
      <family val="2"/>
      <charset val="1"/>
    </font>
    <font>
      <b val="true"/>
      <sz val="10"/>
      <color rgb="FF008000"/>
      <name val="Calibri"/>
      <family val="2"/>
      <charset val="1"/>
    </font>
    <font>
      <sz val="10"/>
      <color rgb="FF008000"/>
      <name val="Calibri"/>
      <family val="2"/>
      <charset val="1"/>
    </font>
    <font>
      <b val="true"/>
      <sz val="10"/>
      <color rgb="FF0000FF"/>
      <name val="Calibri"/>
      <family val="2"/>
      <charset val="1"/>
    </font>
    <font>
      <b val="true"/>
      <sz val="10"/>
      <color rgb="FFFFFFFF"/>
      <name val="Arial"/>
      <family val="2"/>
      <charset val="1"/>
    </font>
    <font>
      <b val="true"/>
      <sz val="10"/>
      <color theme="0"/>
      <name val="Arial"/>
      <family val="2"/>
      <charset val="1"/>
    </font>
    <font>
      <b val="true"/>
      <sz val="11"/>
      <color rgb="FF008000"/>
      <name val="Arial"/>
      <family val="2"/>
      <charset val="1"/>
    </font>
    <font>
      <sz val="11"/>
      <color rgb="FF008000"/>
      <name val="Arial"/>
      <family val="2"/>
      <charset val="1"/>
    </font>
    <font>
      <b val="true"/>
      <sz val="11"/>
      <color rgb="FF003366"/>
      <name val="Arial"/>
      <family val="2"/>
      <charset val="1"/>
    </font>
    <font>
      <sz val="11"/>
      <color rgb="FF003366"/>
      <name val="Arial"/>
      <family val="2"/>
      <charset val="1"/>
    </font>
    <font>
      <b val="true"/>
      <sz val="9"/>
      <name val="Arial"/>
      <family val="2"/>
      <charset val="1"/>
    </font>
    <font>
      <sz val="11"/>
      <color rgb="FFFF0000"/>
      <name val="Arial Narrow"/>
      <family val="2"/>
      <charset val="1"/>
    </font>
    <font>
      <b val="true"/>
      <sz val="11"/>
      <color rgb="FF000000"/>
      <name val="Arial Narrow"/>
      <family val="2"/>
      <charset val="1"/>
    </font>
    <font>
      <sz val="10"/>
      <color rgb="FF000000"/>
      <name val="Arial Unicode MS"/>
      <family val="2"/>
      <charset val="1"/>
    </font>
    <font>
      <b val="true"/>
      <sz val="11"/>
      <color rgb="FFFF6600"/>
      <name val="Arial"/>
      <family val="2"/>
      <charset val="1"/>
    </font>
    <font>
      <sz val="8"/>
      <color rgb="FF000000"/>
      <name val="Arial"/>
      <family val="2"/>
      <charset val="1"/>
    </font>
    <font>
      <sz val="8"/>
      <color rgb="FF000000"/>
      <name val="Tahoma"/>
      <family val="2"/>
      <charset val="1"/>
    </font>
    <font>
      <sz val="10"/>
      <color rgb="FFFF0000"/>
      <name val="Arial"/>
      <family val="2"/>
      <charset val="1"/>
    </font>
    <font>
      <b val="true"/>
      <sz val="6"/>
      <color rgb="FF0070C0"/>
      <name val="Arial"/>
      <family val="2"/>
      <charset val="1"/>
    </font>
    <font>
      <sz val="6"/>
      <color rgb="FF0070C0"/>
      <name val="Arial"/>
      <family val="2"/>
      <charset val="1"/>
    </font>
    <font>
      <b val="true"/>
      <sz val="9"/>
      <color rgb="FFFF0000"/>
      <name val="Arial"/>
      <family val="2"/>
      <charset val="1"/>
    </font>
    <font>
      <sz val="9"/>
      <color rgb="FFFF0000"/>
      <name val="Arial"/>
      <family val="2"/>
      <charset val="1"/>
    </font>
    <font>
      <b val="true"/>
      <sz val="11"/>
      <color rgb="FFFF0000"/>
      <name val="Arial Narrow"/>
      <family val="2"/>
      <charset val="1"/>
    </font>
    <font>
      <sz val="6"/>
      <color rgb="FFFF0000"/>
      <name val="Arial Narrow"/>
      <family val="2"/>
      <charset val="1"/>
    </font>
    <font>
      <sz val="9"/>
      <color rgb="FF000000"/>
      <name val="Tahoma"/>
      <family val="0"/>
      <charset val="1"/>
    </font>
    <font>
      <b val="true"/>
      <sz val="12"/>
      <color rgb="FF333399"/>
      <name val="Arial"/>
      <family val="2"/>
      <charset val="1"/>
    </font>
    <font>
      <sz val="12"/>
      <color rgb="FFFF0000"/>
      <name val="Arial"/>
      <family val="2"/>
      <charset val="1"/>
    </font>
    <font>
      <b val="true"/>
      <sz val="12"/>
      <color rgb="FFFFFFFF"/>
      <name val="Arial Narrow"/>
      <family val="2"/>
      <charset val="1"/>
    </font>
    <font>
      <b val="true"/>
      <sz val="11"/>
      <color rgb="FFFF9900"/>
      <name val="Arial"/>
      <family val="2"/>
      <charset val="1"/>
    </font>
    <font>
      <b val="true"/>
      <sz val="14"/>
      <name val="Arial"/>
      <family val="2"/>
      <charset val="1"/>
    </font>
    <font>
      <b val="true"/>
      <sz val="14"/>
      <color rgb="FF008000"/>
      <name val="Arial Narrow"/>
      <family val="2"/>
      <charset val="1"/>
    </font>
    <font>
      <sz val="14"/>
      <color rgb="FF008000"/>
      <name val="Arial Narrow"/>
      <family val="2"/>
      <charset val="1"/>
    </font>
    <font>
      <b val="true"/>
      <sz val="14"/>
      <color rgb="FF003366"/>
      <name val="Arial Narrow"/>
      <family val="2"/>
      <charset val="1"/>
    </font>
    <font>
      <sz val="14"/>
      <color rgb="FF003366"/>
      <name val="Arial Narrow"/>
      <family val="2"/>
      <charset val="1"/>
    </font>
    <font>
      <b val="true"/>
      <sz val="11"/>
      <color theme="1"/>
      <name val="Arial"/>
      <family val="2"/>
      <charset val="1"/>
    </font>
    <font>
      <b val="true"/>
      <sz val="11"/>
      <color theme="1"/>
      <name val="Arial Narrow"/>
      <family val="2"/>
      <charset val="1"/>
    </font>
    <font>
      <sz val="8"/>
      <name val="Arial"/>
      <family val="2"/>
      <charset val="1"/>
    </font>
    <font>
      <b val="true"/>
      <sz val="8"/>
      <name val="Arial"/>
      <family val="2"/>
      <charset val="1"/>
    </font>
    <font>
      <sz val="10"/>
      <color rgb="FF0000FF"/>
      <name val="Arial"/>
      <family val="2"/>
      <charset val="1"/>
    </font>
    <font>
      <sz val="10"/>
      <color rgb="FFFF0000"/>
      <name val="Calibri"/>
      <family val="2"/>
      <charset val="1"/>
    </font>
    <font>
      <sz val="10"/>
      <color rgb="FF003366"/>
      <name val="Arial"/>
      <family val="2"/>
      <charset val="1"/>
    </font>
    <font>
      <b val="true"/>
      <sz val="12"/>
      <color rgb="FF008000"/>
      <name val="Arial"/>
      <family val="2"/>
      <charset val="1"/>
    </font>
    <font>
      <sz val="10"/>
      <color rgb="FF008000"/>
      <name val="Arial"/>
      <family val="2"/>
      <charset val="1"/>
    </font>
    <font>
      <sz val="12"/>
      <color rgb="FF008000"/>
      <name val="Arial"/>
      <family val="2"/>
      <charset val="1"/>
    </font>
    <font>
      <b val="true"/>
      <sz val="12"/>
      <color rgb="FF003366"/>
      <name val="Arial"/>
      <family val="2"/>
      <charset val="1"/>
    </font>
    <font>
      <sz val="12"/>
      <color rgb="FF003366"/>
      <name val="Arial"/>
      <family val="2"/>
      <charset val="1"/>
    </font>
    <font>
      <sz val="11"/>
      <color rgb="FFFF0000"/>
      <name val="Vrinda"/>
      <family val="2"/>
      <charset val="1"/>
    </font>
    <font>
      <b val="true"/>
      <sz val="10"/>
      <color rgb="FFFFFFFF"/>
      <name val="Arial Narrow"/>
      <family val="2"/>
      <charset val="1"/>
    </font>
    <font>
      <b val="true"/>
      <sz val="12"/>
      <color rgb="FFFFFFFF"/>
      <name val="Arial"/>
      <family val="2"/>
      <charset val="1"/>
    </font>
    <font>
      <b val="true"/>
      <sz val="14"/>
      <color rgb="FFFFFFFF"/>
      <name val="Arial"/>
      <family val="2"/>
      <charset val="1"/>
    </font>
    <font>
      <sz val="11"/>
      <color rgb="FFFF6600"/>
      <name val="Arial"/>
      <family val="2"/>
      <charset val="1"/>
    </font>
    <font>
      <b val="true"/>
      <sz val="11"/>
      <color theme="1"/>
      <name val="Calibri"/>
      <family val="2"/>
      <charset val="1"/>
    </font>
    <font>
      <b val="true"/>
      <sz val="11"/>
      <color rgb="FF0000FF"/>
      <name val="Arial Narrow"/>
      <family val="2"/>
      <charset val="1"/>
    </font>
    <font>
      <b val="true"/>
      <sz val="11"/>
      <color rgb="FF0000FF"/>
      <name val="Calibri"/>
      <family val="2"/>
      <charset val="1"/>
    </font>
    <font>
      <b val="true"/>
      <sz val="18"/>
      <color rgb="FF000000"/>
      <name val="Calibri"/>
      <family val="2"/>
    </font>
    <font>
      <sz val="10"/>
      <color rgb="FF000000"/>
      <name val="Calibri"/>
      <family val="2"/>
    </font>
    <font>
      <sz val="8.45"/>
      <color rgb="FF000000"/>
      <name val="Calibri"/>
      <family val="2"/>
    </font>
    <font>
      <b val="true"/>
      <sz val="8"/>
      <color rgb="FF003366"/>
      <name val="Arial"/>
      <family val="2"/>
      <charset val="1"/>
    </font>
    <font>
      <sz val="8"/>
      <color rgb="FF003366"/>
      <name val="Arial"/>
      <family val="2"/>
      <charset val="1"/>
    </font>
    <font>
      <b val="true"/>
      <sz val="8"/>
      <color rgb="FF0066CC"/>
      <name val="Arial"/>
      <family val="2"/>
      <charset val="1"/>
    </font>
    <font>
      <sz val="9"/>
      <color rgb="FF003366"/>
      <name val="Arial"/>
      <family val="2"/>
      <charset val="1"/>
    </font>
    <font>
      <b val="true"/>
      <sz val="9"/>
      <color rgb="FF003366"/>
      <name val="Arial"/>
      <family val="2"/>
      <charset val="1"/>
    </font>
    <font>
      <sz val="9"/>
      <color rgb="FF0066CC"/>
      <name val="Arial"/>
      <family val="2"/>
      <charset val="1"/>
    </font>
    <font>
      <b val="true"/>
      <sz val="9"/>
      <color rgb="FF0066CC"/>
      <name val="Arial"/>
      <family val="2"/>
      <charset val="1"/>
    </font>
    <font>
      <b val="true"/>
      <sz val="9"/>
      <color rgb="FFFFFFFF"/>
      <name val="Arial"/>
      <family val="2"/>
      <charset val="1"/>
    </font>
    <font>
      <sz val="10"/>
      <color rgb="FFFFFFFF"/>
      <name val="Arial"/>
      <family val="2"/>
      <charset val="1"/>
    </font>
    <font>
      <sz val="8"/>
      <color rgb="FF0066CC"/>
      <name val="Arial"/>
      <family val="2"/>
      <charset val="1"/>
    </font>
    <font>
      <sz val="9"/>
      <name val="Calibri"/>
      <family val="2"/>
      <charset val="1"/>
    </font>
    <font>
      <sz val="9"/>
      <color rgb="FF000000"/>
      <name val="Calibri"/>
      <family val="2"/>
      <charset val="1"/>
    </font>
    <font>
      <b val="true"/>
      <sz val="16"/>
      <color rgb="FF000000"/>
      <name val="Calibri"/>
      <family val="2"/>
      <charset val="1"/>
    </font>
    <font>
      <b val="true"/>
      <sz val="12"/>
      <color rgb="FF993300"/>
      <name val="Calibri"/>
      <family val="2"/>
      <charset val="1"/>
    </font>
    <font>
      <sz val="11"/>
      <color theme="0"/>
      <name val="Calibri"/>
      <family val="2"/>
      <charset val="1"/>
    </font>
    <font>
      <b val="true"/>
      <sz val="11"/>
      <color rgb="FF3F3F3F"/>
      <name val="Calibri"/>
      <family val="2"/>
      <charset val="1"/>
    </font>
    <font>
      <b val="true"/>
      <sz val="9"/>
      <color rgb="FF000000"/>
      <name val="Calibri"/>
      <family val="2"/>
      <charset val="1"/>
    </font>
    <font>
      <b val="true"/>
      <sz val="11"/>
      <color rgb="FF0066CC"/>
      <name val="Calibri"/>
      <family val="2"/>
      <charset val="1"/>
    </font>
    <font>
      <b val="true"/>
      <sz val="10"/>
      <name val="Calibri"/>
      <family val="2"/>
      <charset val="1"/>
    </font>
    <font>
      <b val="true"/>
      <sz val="9"/>
      <name val="Calibri"/>
      <family val="2"/>
      <charset val="1"/>
    </font>
    <font>
      <sz val="8"/>
      <color rgb="FF0066CC"/>
      <name val="Calibri"/>
      <family val="2"/>
      <charset val="1"/>
    </font>
    <font>
      <b val="true"/>
      <sz val="9"/>
      <color rgb="FFFFFFFF"/>
      <name val="Calibri"/>
      <family val="2"/>
      <charset val="1"/>
    </font>
    <font>
      <sz val="10"/>
      <color rgb="FFFFFFFF"/>
      <name val="Calibri"/>
      <family val="2"/>
      <charset val="1"/>
    </font>
    <font>
      <sz val="12"/>
      <color rgb="FFFFFFFF"/>
      <name val="Calibri"/>
      <family val="2"/>
      <charset val="1"/>
    </font>
    <font>
      <b val="true"/>
      <sz val="12"/>
      <name val="Calibri"/>
      <family val="2"/>
      <charset val="1"/>
    </font>
    <font>
      <b val="true"/>
      <sz val="14"/>
      <color rgb="FF000000"/>
      <name val="Calibri"/>
      <family val="2"/>
      <charset val="1"/>
    </font>
    <font>
      <b val="true"/>
      <sz val="12"/>
      <color rgb="FF333333"/>
      <name val="Calibri"/>
      <family val="2"/>
      <charset val="1"/>
    </font>
    <font>
      <sz val="11"/>
      <color rgb="FF333333"/>
      <name val="Calibri"/>
      <family val="2"/>
      <charset val="1"/>
    </font>
    <font>
      <sz val="12"/>
      <name val="Calibri"/>
      <family val="2"/>
      <charset val="1"/>
    </font>
    <font>
      <b val="true"/>
      <sz val="10"/>
      <color rgb="FF0066CC"/>
      <name val="Calibri"/>
      <family val="2"/>
      <charset val="1"/>
    </font>
    <font>
      <sz val="10"/>
      <color rgb="FF0066CC"/>
      <name val="Calibri"/>
      <family val="2"/>
      <charset val="1"/>
    </font>
    <font>
      <b val="true"/>
      <sz val="10"/>
      <color rgb="FF003366"/>
      <name val="Arial"/>
      <family val="2"/>
      <charset val="1"/>
    </font>
    <font>
      <sz val="11"/>
      <color rgb="FFC00000"/>
      <name val="Calibri"/>
      <family val="0"/>
    </font>
    <font>
      <sz val="12"/>
      <color rgb="FFFF0000"/>
      <name val="Calibri"/>
      <family val="2"/>
      <charset val="1"/>
    </font>
  </fonts>
  <fills count="43">
    <fill>
      <patternFill patternType="none"/>
    </fill>
    <fill>
      <patternFill patternType="gray125"/>
    </fill>
    <fill>
      <patternFill patternType="solid">
        <fgColor rgb="FFCCCCFF"/>
        <bgColor rgb="FFD9D9D9"/>
      </patternFill>
    </fill>
    <fill>
      <patternFill patternType="solid">
        <fgColor rgb="FFFF99CC"/>
        <bgColor rgb="FFFF8080"/>
      </patternFill>
    </fill>
    <fill>
      <patternFill patternType="solid">
        <fgColor rgb="FFCCFFCC"/>
        <bgColor rgb="FFC6EFCE"/>
      </patternFill>
    </fill>
    <fill>
      <patternFill patternType="solid">
        <fgColor rgb="FFCC99FF"/>
        <bgColor rgb="FFFF99CC"/>
      </patternFill>
    </fill>
    <fill>
      <patternFill patternType="solid">
        <fgColor rgb="FFCCFFFF"/>
        <bgColor rgb="FFC5F3FF"/>
      </patternFill>
    </fill>
    <fill>
      <patternFill patternType="solid">
        <fgColor rgb="FFFFCC99"/>
        <bgColor rgb="FFFFE39D"/>
      </patternFill>
    </fill>
    <fill>
      <patternFill patternType="solid">
        <fgColor rgb="FF9BCDFF"/>
        <bgColor rgb="FFCCCCFF"/>
      </patternFill>
    </fill>
    <fill>
      <patternFill patternType="solid">
        <fgColor rgb="FFFF8080"/>
        <bgColor rgb="FFFF99CC"/>
      </patternFill>
    </fill>
    <fill>
      <patternFill patternType="solid">
        <fgColor rgb="FF00FF00"/>
        <bgColor rgb="FF26CBCE"/>
      </patternFill>
    </fill>
    <fill>
      <patternFill patternType="solid">
        <fgColor rgb="FFFFCC00"/>
        <bgColor rgb="FFFFC000"/>
      </patternFill>
    </fill>
    <fill>
      <patternFill patternType="darkGray">
        <fgColor rgb="FF0066CC"/>
        <bgColor rgb="FF006AC9"/>
      </patternFill>
    </fill>
    <fill>
      <patternFill patternType="solid">
        <fgColor rgb="FF800080"/>
        <bgColor rgb="FF993366"/>
      </patternFill>
    </fill>
    <fill>
      <patternFill patternType="darkGray">
        <fgColor rgb="FF26CBCE"/>
        <bgColor rgb="FF61B6FF"/>
      </patternFill>
    </fill>
    <fill>
      <patternFill patternType="solid">
        <fgColor rgb="FFFF9900"/>
        <bgColor rgb="FFFEB80A"/>
      </patternFill>
    </fill>
    <fill>
      <patternFill patternType="solid">
        <fgColor rgb="FF969696"/>
        <bgColor rgb="FF797988"/>
      </patternFill>
    </fill>
    <fill>
      <patternFill patternType="solid">
        <fgColor rgb="FFC0C0C0"/>
        <bgColor rgb="FFCCCCFF"/>
      </patternFill>
    </fill>
    <fill>
      <patternFill patternType="solid">
        <fgColor rgb="FFFFFFFF"/>
        <bgColor rgb="FFFFFFCC"/>
      </patternFill>
    </fill>
    <fill>
      <patternFill patternType="solid">
        <fgColor rgb="FFFFFF99"/>
        <bgColor rgb="FFFFEB9C"/>
      </patternFill>
    </fill>
    <fill>
      <patternFill patternType="solid">
        <fgColor rgb="FFFFFFCC"/>
        <bgColor rgb="FFFFFFFF"/>
      </patternFill>
    </fill>
    <fill>
      <patternFill patternType="darkGray">
        <fgColor rgb="FF333399"/>
        <bgColor rgb="FF313492"/>
      </patternFill>
    </fill>
    <fill>
      <patternFill patternType="solid">
        <fgColor rgb="FFFF0000"/>
        <bgColor rgb="FFAE0002"/>
      </patternFill>
    </fill>
    <fill>
      <patternFill patternType="solid">
        <fgColor rgb="FF339966"/>
        <bgColor rgb="FF148677"/>
      </patternFill>
    </fill>
    <fill>
      <patternFill patternType="solid">
        <fgColor rgb="FFFF6600"/>
        <bgColor rgb="FFFF9900"/>
      </patternFill>
    </fill>
    <fill>
      <patternFill patternType="solid">
        <fgColor theme="9" tint="0.5999"/>
        <bgColor rgb="FFC6EFCE"/>
      </patternFill>
    </fill>
    <fill>
      <patternFill patternType="mediumGray">
        <fgColor theme="7"/>
        <bgColor rgb="FF007EEB"/>
      </patternFill>
    </fill>
    <fill>
      <patternFill patternType="darkGray">
        <fgColor rgb="FFFFFFFF"/>
        <bgColor rgb="FFFFFFCC"/>
      </patternFill>
    </fill>
    <fill>
      <patternFill patternType="solid">
        <fgColor theme="6"/>
        <bgColor rgb="FFFFC000"/>
      </patternFill>
    </fill>
    <fill>
      <patternFill patternType="solid">
        <fgColor rgb="FF97CC02"/>
        <bgColor rgb="FF99FF66"/>
      </patternFill>
    </fill>
    <fill>
      <patternFill patternType="solid">
        <fgColor rgb="FF3366FF"/>
        <bgColor rgb="FF0066CC"/>
      </patternFill>
    </fill>
    <fill>
      <patternFill patternType="solid">
        <fgColor rgb="FFFFFF00"/>
        <bgColor rgb="FFFFCC00"/>
      </patternFill>
    </fill>
    <fill>
      <patternFill patternType="solid">
        <fgColor rgb="FF008080"/>
        <bgColor rgb="FF148677"/>
      </patternFill>
    </fill>
    <fill>
      <patternFill patternType="solid">
        <fgColor theme="5" tint="0.7999"/>
        <bgColor rgb="FFFFC7CE"/>
      </patternFill>
    </fill>
    <fill>
      <patternFill patternType="solid">
        <fgColor rgb="FF003366"/>
        <bgColor rgb="FF014070"/>
      </patternFill>
    </fill>
    <fill>
      <patternFill patternType="solid">
        <fgColor rgb="FFFFC000"/>
        <bgColor rgb="FFFEB80A"/>
      </patternFill>
    </fill>
    <fill>
      <patternFill patternType="solid">
        <fgColor theme="7" tint="0.7999"/>
        <bgColor rgb="FFCCFFFF"/>
      </patternFill>
    </fill>
    <fill>
      <patternFill patternType="solid">
        <fgColor theme="3" tint="0.5999"/>
        <bgColor rgb="FFCCCCFF"/>
      </patternFill>
    </fill>
    <fill>
      <patternFill patternType="mediumGray">
        <fgColor theme="2" tint="-0.1"/>
        <bgColor rgb="FFCCCCFF"/>
      </patternFill>
    </fill>
    <fill>
      <patternFill patternType="solid">
        <fgColor rgb="FF99FF66"/>
        <bgColor rgb="FFCCEDB1"/>
      </patternFill>
    </fill>
    <fill>
      <patternFill patternType="solid">
        <fgColor theme="6" tint="0.5999"/>
        <bgColor rgb="FFFFEB9C"/>
      </patternFill>
    </fill>
    <fill>
      <patternFill patternType="solid">
        <fgColor theme="4" tint="0.5999"/>
        <bgColor rgb="FFC6EFCE"/>
      </patternFill>
    </fill>
    <fill>
      <patternFill patternType="solid">
        <fgColor rgb="FF000080"/>
        <bgColor rgb="FF003366"/>
      </patternFill>
    </fill>
  </fills>
  <borders count="53">
    <border diagonalUp="false" diagonalDown="false">
      <left/>
      <right/>
      <top/>
      <bottom/>
      <diagonal/>
    </border>
    <border diagonalUp="false" diagonalDown="false">
      <left style="double">
        <color rgb="FF333333"/>
      </left>
      <right style="double">
        <color rgb="FF333333"/>
      </right>
      <top style="double">
        <color rgb="FF333333"/>
      </top>
      <bottom style="double">
        <color rgb="FF333333"/>
      </bottom>
      <diagonal/>
    </border>
    <border diagonalUp="false" diagonalDown="false">
      <left/>
      <right/>
      <top/>
      <bottom style="double">
        <color rgb="FFFF9900"/>
      </bottom>
      <diagonal/>
    </border>
    <border diagonalUp="false" diagonalDown="false">
      <left style="thin">
        <color rgb="FF797988"/>
      </left>
      <right style="thin">
        <color rgb="FF797988"/>
      </right>
      <top style="thin">
        <color rgb="FF797988"/>
      </top>
      <bottom style="thin">
        <color rgb="FF797988"/>
      </bottom>
      <diagonal/>
    </border>
    <border diagonalUp="false" diagonalDown="false">
      <left style="thin">
        <color rgb="FFC0C0C0"/>
      </left>
      <right style="thin">
        <color rgb="FFC0C0C0"/>
      </right>
      <top style="thin">
        <color rgb="FFC0C0C0"/>
      </top>
      <bottom style="thin">
        <color rgb="FFC0C0C0"/>
      </bottom>
      <diagonal/>
    </border>
    <border diagonalUp="false" diagonalDown="false">
      <left style="thin">
        <color rgb="FF333333"/>
      </left>
      <right style="thin">
        <color rgb="FF333333"/>
      </right>
      <top style="thin">
        <color rgb="FF333333"/>
      </top>
      <bottom style="thin">
        <color rgb="FF333333"/>
      </bottom>
      <diagonal/>
    </border>
    <border diagonalUp="false" diagonalDown="false">
      <left style="thin">
        <color rgb="FF3F3F3F"/>
      </left>
      <right style="thin">
        <color rgb="FF3F3F3F"/>
      </right>
      <top style="thin">
        <color rgb="FF3F3F3F"/>
      </top>
      <bottom style="thin">
        <color rgb="FF3F3F3F"/>
      </bottom>
      <diagonal/>
    </border>
    <border diagonalUp="false" diagonalDown="false">
      <left/>
      <right/>
      <top style="thin">
        <color rgb="FF313492"/>
      </top>
      <bottom style="double">
        <color rgb="FF313492"/>
      </bottom>
      <diagonal/>
    </border>
    <border diagonalUp="false" diagonalDown="false">
      <left/>
      <right/>
      <top/>
      <bottom style="thick">
        <color rgb="FF313492"/>
      </bottom>
      <diagonal/>
    </border>
    <border diagonalUp="false" diagonalDown="false">
      <left/>
      <right/>
      <top/>
      <bottom style="thick">
        <color rgb="FFC0C0C0"/>
      </bottom>
      <diagonal/>
    </border>
    <border diagonalUp="false" diagonalDown="false">
      <left/>
      <right/>
      <top/>
      <bottom style="medium">
        <color rgb="FF006AC9"/>
      </bottom>
      <diagonal/>
    </border>
    <border diagonalUp="false" diagonalDown="false">
      <left style="thin">
        <color rgb="FF003366"/>
      </left>
      <right style="thin">
        <color rgb="FF003366"/>
      </right>
      <top style="thin">
        <color rgb="FF003366"/>
      </top>
      <bottom style="thin">
        <color rgb="FF003366"/>
      </bottom>
      <diagonal/>
    </border>
    <border diagonalUp="false" diagonalDown="false">
      <left style="thin">
        <color rgb="FF003366"/>
      </left>
      <right/>
      <top style="thin">
        <color rgb="FF003366"/>
      </top>
      <bottom style="thin">
        <color rgb="FF003366"/>
      </bottom>
      <diagonal/>
    </border>
    <border diagonalUp="false" diagonalDown="false">
      <left/>
      <right/>
      <top style="thin">
        <color rgb="FF003366"/>
      </top>
      <bottom style="thin">
        <color rgb="FF003366"/>
      </bottom>
      <diagonal/>
    </border>
    <border diagonalUp="false" diagonalDown="false">
      <left/>
      <right style="thin">
        <color rgb="FF003366"/>
      </right>
      <top style="thin">
        <color rgb="FF003366"/>
      </top>
      <bottom style="thin">
        <color rgb="FF003366"/>
      </bottom>
      <diagonal/>
    </border>
    <border diagonalUp="false" diagonalDown="false">
      <left/>
      <right style="thin">
        <color rgb="FF003366"/>
      </right>
      <top style="thin">
        <color rgb="FF003366"/>
      </top>
      <bottom/>
      <diagonal/>
    </border>
    <border diagonalUp="false" diagonalDown="false">
      <left/>
      <right style="thin">
        <color rgb="FF003366"/>
      </right>
      <top/>
      <bottom style="thin">
        <color rgb="FF003366"/>
      </bottom>
      <diagonal/>
    </border>
    <border diagonalUp="false" diagonalDown="false">
      <left style="thin">
        <color rgb="FF003366"/>
      </left>
      <right style="thin">
        <color rgb="FF003366"/>
      </right>
      <top/>
      <bottom style="thin">
        <color rgb="FF003366"/>
      </bottom>
      <diagonal/>
    </border>
    <border diagonalUp="false" diagonalDown="false">
      <left style="thin">
        <color rgb="FF003366"/>
      </left>
      <right/>
      <top/>
      <bottom style="thin">
        <color rgb="FF003366"/>
      </bottom>
      <diagonal/>
    </border>
    <border diagonalUp="false" diagonalDown="false">
      <left style="thin">
        <color rgb="FF003366"/>
      </left>
      <right style="thin">
        <color rgb="FF003366"/>
      </right>
      <top style="thin">
        <color rgb="FF003366"/>
      </top>
      <bottom/>
      <diagonal/>
    </border>
    <border diagonalUp="false" diagonalDown="false">
      <left style="thin">
        <color rgb="FF003366"/>
      </left>
      <right/>
      <top style="thin">
        <color rgb="FF003366"/>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thin"/>
      <top/>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color rgb="FF313492"/>
      </left>
      <right style="thin">
        <color rgb="FF313492"/>
      </right>
      <top style="thin">
        <color rgb="FF313492"/>
      </top>
      <bottom/>
      <diagonal/>
    </border>
    <border diagonalUp="false" diagonalDown="false">
      <left style="medium"/>
      <right style="thin"/>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top/>
      <bottom style="thin"/>
      <diagonal/>
    </border>
    <border diagonalUp="false" diagonalDown="false">
      <left/>
      <right/>
      <top/>
      <bottom style="thin"/>
      <diagonal/>
    </border>
    <border diagonalUp="false" diagonalDown="false">
      <left/>
      <right style="thin"/>
      <top/>
      <bottom/>
      <diagonal/>
    </border>
    <border diagonalUp="false" diagonalDown="false">
      <left/>
      <right/>
      <top style="thin"/>
      <bottom style="thin"/>
      <diagonal/>
    </border>
    <border diagonalUp="false" diagonalDown="false">
      <left/>
      <right style="thin"/>
      <top/>
      <bottom style="thin"/>
      <diagonal/>
    </border>
    <border diagonalUp="false" diagonalDown="false">
      <left style="thin"/>
      <right/>
      <top/>
      <bottom/>
      <diagonal/>
    </border>
    <border diagonalUp="false" diagonalDown="false">
      <left/>
      <right style="thin"/>
      <top style="thin"/>
      <bottom/>
      <diagonal/>
    </border>
    <border diagonalUp="false" diagonalDown="false">
      <left style="thin"/>
      <right/>
      <top style="thin"/>
      <bottom/>
      <diagonal/>
    </border>
    <border diagonalUp="false" diagonalDown="false">
      <left/>
      <right/>
      <top style="thin"/>
      <bottom/>
      <diagonal/>
    </border>
    <border diagonalUp="false" diagonalDown="false">
      <left style="thin"/>
      <right/>
      <top style="medium"/>
      <bottom style="thin"/>
      <diagonal/>
    </border>
    <border diagonalUp="false" diagonalDown="false">
      <left style="thin"/>
      <right/>
      <top style="thin"/>
      <bottom style="medium"/>
      <diagonal/>
    </border>
    <border diagonalUp="false" diagonalDown="false">
      <left style="medium"/>
      <right/>
      <top style="medium"/>
      <bottom style="medium"/>
      <diagonal/>
    </border>
    <border diagonalUp="false" diagonalDown="false">
      <left style="thin"/>
      <right style="medium"/>
      <top style="medium"/>
      <bottom style="thin"/>
      <diagonal/>
    </border>
    <border diagonalUp="false" diagonalDown="false">
      <left style="thin"/>
      <right style="medium"/>
      <top style="thin"/>
      <bottom style="thin"/>
      <diagonal/>
    </border>
    <border diagonalUp="false" diagonalDown="false">
      <left style="thin"/>
      <right style="medium"/>
      <top style="thin"/>
      <bottom style="medium"/>
      <diagonal/>
    </border>
    <border diagonalUp="false" diagonalDown="false">
      <left style="thin">
        <color rgb="FF313492"/>
      </left>
      <right style="thin">
        <color rgb="FF313492"/>
      </right>
      <top/>
      <bottom/>
      <diagonal/>
    </border>
    <border diagonalUp="false" diagonalDown="false">
      <left style="thin">
        <color rgb="FF313492"/>
      </left>
      <right/>
      <top/>
      <bottom/>
      <diagonal/>
    </border>
    <border diagonalUp="false" diagonalDown="false">
      <left/>
      <right style="thin">
        <color rgb="FF003366"/>
      </right>
      <top/>
      <bottom/>
      <diagonal/>
    </border>
    <border diagonalUp="false" diagonalDown="false">
      <left/>
      <right/>
      <top/>
      <bottom style="thin">
        <color rgb="FF003366"/>
      </bottom>
      <diagonal/>
    </border>
    <border diagonalUp="false" diagonalDown="false">
      <left/>
      <right/>
      <top style="thin">
        <color rgb="FF003366"/>
      </top>
      <bottom/>
      <diagonal/>
    </border>
  </borders>
  <cellStyleXfs count="13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1"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xf numFmtId="164" fontId="37" fillId="0"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4" borderId="0" applyFont="true" applyBorder="false" applyAlignment="true" applyProtection="false">
      <alignment horizontal="general" vertical="bottom" textRotation="0" wrapText="false" indent="0" shrinkToFit="false"/>
    </xf>
    <xf numFmtId="164" fontId="4" fillId="4" borderId="0" applyFont="true" applyBorder="false" applyAlignment="true" applyProtection="false">
      <alignment horizontal="general" vertical="bottom" textRotation="0" wrapText="false" indent="0" shrinkToFit="false"/>
    </xf>
    <xf numFmtId="164" fontId="4" fillId="5" borderId="0" applyFont="true" applyBorder="false" applyAlignment="true" applyProtection="false">
      <alignment horizontal="general" vertical="bottom" textRotation="0" wrapText="false" indent="0" shrinkToFit="false"/>
    </xf>
    <xf numFmtId="164" fontId="4" fillId="5"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4" fillId="7" borderId="0" applyFont="true" applyBorder="false" applyAlignment="true" applyProtection="false">
      <alignment horizontal="general" vertical="bottom" textRotation="0" wrapText="false" indent="0" shrinkToFit="false"/>
    </xf>
    <xf numFmtId="164" fontId="4" fillId="7"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9" borderId="0" applyFont="true" applyBorder="false" applyAlignment="true" applyProtection="false">
      <alignment horizontal="general" vertical="bottom" textRotation="0" wrapText="false" indent="0" shrinkToFit="false"/>
    </xf>
    <xf numFmtId="164" fontId="4" fillId="9" borderId="0" applyFont="true" applyBorder="false" applyAlignment="true" applyProtection="false">
      <alignment horizontal="general" vertical="bottom" textRotation="0" wrapText="false" indent="0" shrinkToFit="false"/>
    </xf>
    <xf numFmtId="164" fontId="4" fillId="10" borderId="0" applyFont="true" applyBorder="false" applyAlignment="true" applyProtection="false">
      <alignment horizontal="general" vertical="bottom" textRotation="0" wrapText="false" indent="0" shrinkToFit="false"/>
    </xf>
    <xf numFmtId="164" fontId="4" fillId="10" borderId="0" applyFont="true" applyBorder="false" applyAlignment="true" applyProtection="false">
      <alignment horizontal="general" vertical="bottom" textRotation="0" wrapText="false" indent="0" shrinkToFit="false"/>
    </xf>
    <xf numFmtId="164" fontId="4" fillId="5" borderId="0" applyFont="true" applyBorder="false" applyAlignment="true" applyProtection="false">
      <alignment horizontal="general" vertical="bottom" textRotation="0" wrapText="false" indent="0" shrinkToFit="false"/>
    </xf>
    <xf numFmtId="164" fontId="4" fillId="5"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11" borderId="0" applyFont="true" applyBorder="false" applyAlignment="true" applyProtection="false">
      <alignment horizontal="general" vertical="bottom" textRotation="0" wrapText="false" indent="0" shrinkToFit="false"/>
    </xf>
    <xf numFmtId="164" fontId="4" fillId="11" borderId="0" applyFont="true" applyBorder="false" applyAlignment="true" applyProtection="false">
      <alignment horizontal="general" vertical="bottom" textRotation="0" wrapText="false" indent="0" shrinkToFit="false"/>
    </xf>
    <xf numFmtId="164" fontId="4" fillId="11" borderId="0" applyFont="true" applyBorder="false" applyAlignment="true" applyProtection="false">
      <alignment horizontal="general" vertical="bottom" textRotation="0" wrapText="false" indent="0" shrinkToFit="false"/>
    </xf>
    <xf numFmtId="164" fontId="4" fillId="11" borderId="0" applyFont="true" applyBorder="false" applyAlignment="true" applyProtection="false">
      <alignment horizontal="general" vertical="bottom" textRotation="0" wrapText="false" indent="0" shrinkToFit="false"/>
    </xf>
    <xf numFmtId="164" fontId="5" fillId="12" borderId="0" applyFont="true" applyBorder="false" applyAlignment="true" applyProtection="false">
      <alignment horizontal="general" vertical="bottom" textRotation="0" wrapText="false" indent="0" shrinkToFit="false"/>
    </xf>
    <xf numFmtId="164" fontId="5" fillId="12" borderId="0" applyFont="true" applyBorder="false" applyAlignment="true" applyProtection="false">
      <alignment horizontal="general" vertical="bottom" textRotation="0" wrapText="false" indent="0" shrinkToFit="false"/>
    </xf>
    <xf numFmtId="164" fontId="5" fillId="9" borderId="0" applyFont="true" applyBorder="false" applyAlignment="true" applyProtection="false">
      <alignment horizontal="general" vertical="bottom" textRotation="0" wrapText="false" indent="0" shrinkToFit="false"/>
    </xf>
    <xf numFmtId="164" fontId="5" fillId="9" borderId="0" applyFont="true" applyBorder="false" applyAlignment="true" applyProtection="false">
      <alignment horizontal="general" vertical="bottom" textRotation="0" wrapText="false" indent="0" shrinkToFit="false"/>
    </xf>
    <xf numFmtId="164" fontId="5" fillId="10" borderId="0" applyFont="true" applyBorder="false" applyAlignment="true" applyProtection="false">
      <alignment horizontal="general" vertical="bottom" textRotation="0" wrapText="false" indent="0" shrinkToFit="false"/>
    </xf>
    <xf numFmtId="164" fontId="5" fillId="10" borderId="0" applyFont="true" applyBorder="false" applyAlignment="true" applyProtection="false">
      <alignment horizontal="general" vertical="bottom" textRotation="0" wrapText="false" indent="0" shrinkToFit="false"/>
    </xf>
    <xf numFmtId="164" fontId="5" fillId="13" borderId="0" applyFont="true" applyBorder="false" applyAlignment="true" applyProtection="false">
      <alignment horizontal="general" vertical="bottom" textRotation="0" wrapText="false" indent="0" shrinkToFit="false"/>
    </xf>
    <xf numFmtId="164" fontId="5" fillId="13" borderId="0" applyFont="true" applyBorder="false" applyAlignment="true" applyProtection="false">
      <alignment horizontal="general" vertical="bottom" textRotation="0" wrapText="false" indent="0" shrinkToFit="false"/>
    </xf>
    <xf numFmtId="164" fontId="5" fillId="14" borderId="0" applyFont="true" applyBorder="false" applyAlignment="true" applyProtection="false">
      <alignment horizontal="general" vertical="bottom" textRotation="0" wrapText="false" indent="0" shrinkToFit="false"/>
    </xf>
    <xf numFmtId="164" fontId="5" fillId="14" borderId="0" applyFont="true" applyBorder="false" applyAlignment="true" applyProtection="false">
      <alignment horizontal="general" vertical="bottom" textRotation="0" wrapText="false" indent="0" shrinkToFit="false"/>
    </xf>
    <xf numFmtId="164" fontId="5" fillId="15" borderId="0" applyFont="true" applyBorder="false" applyAlignment="true" applyProtection="false">
      <alignment horizontal="general" vertical="bottom" textRotation="0" wrapText="false" indent="0" shrinkToFit="false"/>
    </xf>
    <xf numFmtId="164" fontId="5" fillId="15" borderId="0" applyFont="true" applyBorder="false" applyAlignment="true" applyProtection="false">
      <alignment horizontal="general" vertical="bottom" textRotation="0" wrapText="false" indent="0" shrinkToFit="false"/>
    </xf>
    <xf numFmtId="164" fontId="6" fillId="4" borderId="0" applyFont="true" applyBorder="false" applyAlignment="true" applyProtection="false">
      <alignment horizontal="general" vertical="bottom" textRotation="0" wrapText="false" indent="0" shrinkToFit="false"/>
    </xf>
    <xf numFmtId="164" fontId="6" fillId="4" borderId="0" applyFont="true" applyBorder="false" applyAlignment="true" applyProtection="false">
      <alignment horizontal="general" vertical="bottom" textRotation="0" wrapText="false" indent="0" shrinkToFit="false"/>
    </xf>
    <xf numFmtId="164" fontId="7" fillId="16" borderId="1" applyFont="true" applyBorder="true" applyAlignment="true" applyProtection="false">
      <alignment horizontal="general" vertical="bottom" textRotation="0" wrapText="false" indent="0" shrinkToFit="false"/>
    </xf>
    <xf numFmtId="164" fontId="7" fillId="16" borderId="1" applyFont="true" applyBorder="true" applyAlignment="true" applyProtection="false">
      <alignment horizontal="general" vertical="bottom" textRotation="0" wrapText="false" indent="0" shrinkToFit="false"/>
    </xf>
    <xf numFmtId="164" fontId="8" fillId="0" borderId="2" applyFont="true" applyBorder="true" applyAlignment="true" applyProtection="false">
      <alignment horizontal="general" vertical="bottom" textRotation="0" wrapText="false" indent="0" shrinkToFit="false"/>
    </xf>
    <xf numFmtId="164" fontId="8" fillId="0" borderId="2" applyFont="true" applyBorder="true" applyAlignment="true" applyProtection="false">
      <alignment horizontal="general" vertical="bottom" textRotation="0" wrapText="false" indent="0" shrinkToFit="false"/>
    </xf>
    <xf numFmtId="164" fontId="9" fillId="17" borderId="3" applyFont="true" applyBorder="true" applyAlignment="true" applyProtection="false">
      <alignment horizontal="general" vertical="bottom" textRotation="0" wrapText="false" indent="0" shrinkToFit="false"/>
    </xf>
    <xf numFmtId="164" fontId="9" fillId="17" borderId="3" applyFont="true" applyBorder="true" applyAlignment="true" applyProtection="false">
      <alignment horizontal="general" vertical="bottom" textRotation="0" wrapText="false" indent="0" shrinkToFit="false"/>
    </xf>
    <xf numFmtId="164" fontId="10" fillId="0"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general" vertical="bottom" textRotation="0" wrapText="false" indent="0" shrinkToFit="false"/>
    </xf>
    <xf numFmtId="164" fontId="11" fillId="7" borderId="3" applyFont="true" applyBorder="true" applyAlignment="true" applyProtection="false">
      <alignment horizontal="general" vertical="bottom" textRotation="0" wrapText="false" indent="0" shrinkToFit="false"/>
    </xf>
    <xf numFmtId="164" fontId="11" fillId="7" borderId="3" applyFont="true" applyBorder="true" applyAlignment="true" applyProtection="false">
      <alignment horizontal="general" vertical="bottom" textRotation="0" wrapText="false" indent="0" shrinkToFit="false"/>
    </xf>
    <xf numFmtId="164" fontId="0" fillId="18"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4" fontId="12" fillId="3" borderId="0" applyFont="true" applyBorder="false" applyAlignment="true" applyProtection="false">
      <alignment horizontal="general" vertical="bottom" textRotation="0" wrapText="false" indent="0" shrinkToFit="false"/>
    </xf>
    <xf numFmtId="164" fontId="12" fillId="3"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4" fontId="13" fillId="19" borderId="0" applyFont="true" applyBorder="false" applyAlignment="true" applyProtection="false">
      <alignment horizontal="general" vertical="bottom" textRotation="0" wrapText="false" indent="0" shrinkToFit="false"/>
    </xf>
    <xf numFmtId="164" fontId="13" fillId="19" borderId="0" applyFont="true" applyBorder="false" applyAlignment="true" applyProtection="false">
      <alignment horizontal="general" vertical="bottom" textRotation="0" wrapText="false" indent="0" shrinkToFit="false"/>
    </xf>
    <xf numFmtId="164" fontId="1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14" fillId="0" borderId="0" applyFont="true" applyBorder="true" applyAlignment="true" applyProtection="true">
      <alignment horizontal="general" vertical="bottom" textRotation="0" wrapText="false" indent="0" shrinkToFit="false"/>
      <protection locked="true" hidden="false"/>
    </xf>
    <xf numFmtId="164" fontId="1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1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20" borderId="4" applyFont="true" applyBorder="true" applyAlignment="true" applyProtection="false">
      <alignment horizontal="general" vertical="bottom" textRotation="0" wrapText="false" indent="0" shrinkToFit="false"/>
    </xf>
    <xf numFmtId="164" fontId="0" fillId="20" borderId="4" applyFont="true" applyBorder="tru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4" fontId="16" fillId="17" borderId="5" applyFont="true" applyBorder="true" applyAlignment="true" applyProtection="false">
      <alignment horizontal="general" vertical="bottom" textRotation="0" wrapText="false" indent="0" shrinkToFit="false"/>
    </xf>
    <xf numFmtId="164" fontId="16" fillId="17" borderId="5" applyFont="true" applyBorder="true" applyAlignment="true" applyProtection="false">
      <alignment horizontal="general" vertical="bottom" textRotation="0" wrapText="false" indent="0" shrinkToFit="false"/>
    </xf>
    <xf numFmtId="164" fontId="17" fillId="18" borderId="6" applyFont="true" applyBorder="true" applyAlignment="true" applyProtection="false">
      <alignment horizontal="general" vertical="bottom" textRotation="0" wrapText="false" indent="0" shrinkToFit="false"/>
    </xf>
    <xf numFmtId="164" fontId="18" fillId="0" borderId="0" applyFont="true" applyBorder="false" applyAlignment="true" applyProtection="false">
      <alignment horizontal="general" vertical="bottom" textRotation="0" wrapText="false" indent="0" shrinkToFit="false"/>
    </xf>
    <xf numFmtId="164" fontId="18" fillId="0" borderId="0" applyFont="true" applyBorder="false" applyAlignment="true" applyProtection="false">
      <alignment horizontal="general" vertical="bottom" textRotation="0" wrapText="false" indent="0" shrinkToFit="false"/>
    </xf>
    <xf numFmtId="164" fontId="19" fillId="0" borderId="0" applyFont="true" applyBorder="false" applyAlignment="true" applyProtection="false">
      <alignment horizontal="general" vertical="bottom" textRotation="0" wrapText="false" indent="0" shrinkToFit="false"/>
    </xf>
    <xf numFmtId="164" fontId="19" fillId="0" borderId="0" applyFont="true" applyBorder="false" applyAlignment="true" applyProtection="false">
      <alignment horizontal="general" vertical="bottom" textRotation="0" wrapText="false" indent="0" shrinkToFit="false"/>
    </xf>
    <xf numFmtId="164" fontId="20" fillId="0" borderId="7" applyFont="true" applyBorder="true" applyAlignment="true" applyProtection="false">
      <alignment horizontal="general" vertical="bottom" textRotation="0" wrapText="false" indent="0" shrinkToFit="false"/>
    </xf>
    <xf numFmtId="164" fontId="20" fillId="0" borderId="7" applyFont="true" applyBorder="true" applyAlignment="true" applyProtection="false">
      <alignment horizontal="general" vertical="bottom" textRotation="0" wrapText="false" indent="0" shrinkToFit="false"/>
    </xf>
    <xf numFmtId="164" fontId="21" fillId="0" borderId="8" applyFont="true" applyBorder="true" applyAlignment="true" applyProtection="false">
      <alignment horizontal="general" vertical="bottom" textRotation="0" wrapText="false" indent="0" shrinkToFit="false"/>
    </xf>
    <xf numFmtId="164" fontId="21" fillId="0" borderId="8" applyFont="true" applyBorder="true" applyAlignment="true" applyProtection="false">
      <alignment horizontal="general" vertical="bottom" textRotation="0" wrapText="false" indent="0" shrinkToFit="false"/>
    </xf>
    <xf numFmtId="164" fontId="22" fillId="0" borderId="9" applyFont="true" applyBorder="true" applyAlignment="true" applyProtection="false">
      <alignment horizontal="general" vertical="bottom" textRotation="0" wrapText="false" indent="0" shrinkToFit="false"/>
    </xf>
    <xf numFmtId="164" fontId="22" fillId="0" borderId="9" applyFont="true" applyBorder="true" applyAlignment="true" applyProtection="false">
      <alignment horizontal="general" vertical="bottom" textRotation="0" wrapText="false" indent="0" shrinkToFit="false"/>
    </xf>
    <xf numFmtId="164" fontId="10" fillId="0" borderId="10" applyFont="true" applyBorder="true" applyAlignment="true" applyProtection="false">
      <alignment horizontal="general" vertical="bottom" textRotation="0" wrapText="false" indent="0" shrinkToFit="false"/>
    </xf>
    <xf numFmtId="164" fontId="10" fillId="0" borderId="10" applyFont="true" applyBorder="true" applyAlignment="true" applyProtection="false">
      <alignment horizontal="general" vertical="bottom" textRotation="0" wrapText="false" indent="0" shrinkToFit="false"/>
    </xf>
    <xf numFmtId="164" fontId="23" fillId="0" borderId="0" applyFont="true" applyBorder="false" applyAlignment="true" applyProtection="false">
      <alignment horizontal="general" vertical="bottom" textRotation="0" wrapText="false" indent="0" shrinkToFit="false"/>
    </xf>
    <xf numFmtId="164" fontId="23" fillId="0" borderId="0" applyFont="true" applyBorder="false" applyAlignment="true" applyProtection="false">
      <alignment horizontal="general" vertical="bottom" textRotation="0" wrapText="false" indent="0" shrinkToFit="false"/>
    </xf>
    <xf numFmtId="164" fontId="5" fillId="21" borderId="0" applyFont="true" applyBorder="false" applyAlignment="true" applyProtection="false">
      <alignment horizontal="general" vertical="bottom" textRotation="0" wrapText="false" indent="0" shrinkToFit="false"/>
    </xf>
    <xf numFmtId="164" fontId="5" fillId="21" borderId="0" applyFont="true" applyBorder="false" applyAlignment="true" applyProtection="false">
      <alignment horizontal="general" vertical="bottom" textRotation="0" wrapText="false" indent="0" shrinkToFit="false"/>
    </xf>
    <xf numFmtId="164" fontId="5" fillId="22" borderId="0" applyFont="true" applyBorder="false" applyAlignment="true" applyProtection="false">
      <alignment horizontal="general" vertical="bottom" textRotation="0" wrapText="false" indent="0" shrinkToFit="false"/>
    </xf>
    <xf numFmtId="164" fontId="5" fillId="22" borderId="0" applyFont="true" applyBorder="false" applyAlignment="true" applyProtection="false">
      <alignment horizontal="general" vertical="bottom" textRotation="0" wrapText="false" indent="0" shrinkToFit="false"/>
    </xf>
    <xf numFmtId="164" fontId="5" fillId="23" borderId="0" applyFont="true" applyBorder="false" applyAlignment="true" applyProtection="false">
      <alignment horizontal="general" vertical="bottom" textRotation="0" wrapText="false" indent="0" shrinkToFit="false"/>
    </xf>
    <xf numFmtId="164" fontId="5" fillId="23" borderId="0" applyFont="true" applyBorder="false" applyAlignment="true" applyProtection="false">
      <alignment horizontal="general" vertical="bottom" textRotation="0" wrapText="false" indent="0" shrinkToFit="false"/>
    </xf>
    <xf numFmtId="164" fontId="5" fillId="13" borderId="0" applyFont="true" applyBorder="false" applyAlignment="true" applyProtection="false">
      <alignment horizontal="general" vertical="bottom" textRotation="0" wrapText="false" indent="0" shrinkToFit="false"/>
    </xf>
    <xf numFmtId="164" fontId="5" fillId="13" borderId="0" applyFont="true" applyBorder="false" applyAlignment="true" applyProtection="false">
      <alignment horizontal="general" vertical="bottom" textRotation="0" wrapText="false" indent="0" shrinkToFit="false"/>
    </xf>
    <xf numFmtId="164" fontId="5" fillId="14" borderId="0" applyFont="true" applyBorder="false" applyAlignment="true" applyProtection="false">
      <alignment horizontal="general" vertical="bottom" textRotation="0" wrapText="false" indent="0" shrinkToFit="false"/>
    </xf>
    <xf numFmtId="164" fontId="5" fillId="14" borderId="0" applyFont="true" applyBorder="false" applyAlignment="true" applyProtection="false">
      <alignment horizontal="general" vertical="bottom" textRotation="0" wrapText="false" indent="0" shrinkToFit="false"/>
    </xf>
    <xf numFmtId="164" fontId="5" fillId="24" borderId="0" applyFont="true" applyBorder="false" applyAlignment="true" applyProtection="false">
      <alignment horizontal="general" vertical="bottom" textRotation="0" wrapText="false" indent="0" shrinkToFit="false"/>
    </xf>
    <xf numFmtId="164" fontId="5" fillId="24" borderId="0" applyFont="true" applyBorder="false" applyAlignment="true" applyProtection="false">
      <alignment horizontal="general" vertical="bottom" textRotation="0" wrapText="false" indent="0" shrinkToFit="false"/>
    </xf>
    <xf numFmtId="164" fontId="83" fillId="0" borderId="0" applyFont="true" applyBorder="false" applyAlignment="true" applyProtection="false">
      <alignment horizontal="general" vertical="bottom" textRotation="0" wrapText="false" indent="0" shrinkToFit="false"/>
    </xf>
    <xf numFmtId="164" fontId="0" fillId="25" borderId="0" applyFont="true" applyBorder="false" applyAlignment="true" applyProtection="false">
      <alignment horizontal="general" vertical="bottom" textRotation="0" wrapText="false" indent="0" shrinkToFit="false"/>
    </xf>
    <xf numFmtId="164" fontId="167" fillId="26" borderId="0" applyFont="true" applyBorder="false" applyAlignment="true" applyProtection="false">
      <alignment horizontal="general" vertical="bottom" textRotation="0" wrapText="false" indent="0" shrinkToFit="false"/>
    </xf>
    <xf numFmtId="164" fontId="168" fillId="27" borderId="6" applyFont="true" applyBorder="true" applyAlignment="true" applyProtection="false">
      <alignment horizontal="general" vertical="bottom" textRotation="0" wrapText="false" indent="0" shrinkToFit="false"/>
    </xf>
    <xf numFmtId="164" fontId="167" fillId="28" borderId="0" applyFont="true" applyBorder="false" applyAlignment="true" applyProtection="false">
      <alignment horizontal="general" vertical="bottom" textRotation="0" wrapText="false" indent="0" shrinkToFit="false"/>
    </xf>
  </cellStyleXfs>
  <cellXfs count="1007">
    <xf numFmtId="164" fontId="0" fillId="0" borderId="0" xfId="0" applyFont="fals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true">
      <alignment horizontal="center" vertical="bottom" textRotation="0" wrapText="true" indent="0" shrinkToFit="false"/>
      <protection locked="true" hidden="false"/>
    </xf>
    <xf numFmtId="164" fontId="25" fillId="0" borderId="0" xfId="0" applyFont="true" applyBorder="false" applyAlignment="true" applyProtection="true">
      <alignment horizontal="center" vertical="center" textRotation="0" wrapText="true" indent="0" shrinkToFit="false"/>
      <protection locked="true" hidden="false"/>
    </xf>
    <xf numFmtId="164" fontId="24" fillId="0" borderId="0" xfId="0" applyFont="true" applyBorder="false" applyAlignment="true" applyProtection="true">
      <alignment horizontal="center" vertical="bottom" textRotation="0" wrapText="false" indent="0" shrinkToFit="false"/>
      <protection locked="true" hidden="false"/>
    </xf>
    <xf numFmtId="164" fontId="24" fillId="0" borderId="11" xfId="0" applyFont="true" applyBorder="true" applyAlignment="true" applyProtection="true">
      <alignment horizontal="center" vertical="center" textRotation="0" wrapText="false" indent="0" shrinkToFit="false"/>
      <protection locked="true" hidden="false"/>
    </xf>
    <xf numFmtId="164" fontId="26" fillId="0" borderId="11" xfId="0" applyFont="true" applyBorder="true" applyAlignment="true" applyProtection="true">
      <alignment horizontal="general" vertical="center" textRotation="0" wrapText="true" indent="0" shrinkToFit="false"/>
      <protection locked="true" hidden="false"/>
    </xf>
    <xf numFmtId="164" fontId="26" fillId="0" borderId="12" xfId="0" applyFont="true" applyBorder="true" applyAlignment="true" applyProtection="true">
      <alignment horizontal="general" vertical="center" textRotation="0" wrapText="true" indent="0" shrinkToFit="false"/>
      <protection locked="true" hidden="false"/>
    </xf>
    <xf numFmtId="164" fontId="26" fillId="0" borderId="13" xfId="0" applyFont="true" applyBorder="true" applyAlignment="true" applyProtection="true">
      <alignment horizontal="general" vertical="center" textRotation="0" wrapText="true" indent="0" shrinkToFit="false"/>
      <protection locked="true" hidden="false"/>
    </xf>
    <xf numFmtId="164" fontId="26" fillId="0" borderId="14" xfId="0" applyFont="true" applyBorder="true" applyAlignment="true" applyProtection="true">
      <alignment horizontal="general" vertical="center" textRotation="0" wrapText="true" indent="0" shrinkToFit="false"/>
      <protection locked="true" hidden="false"/>
    </xf>
    <xf numFmtId="164" fontId="27" fillId="18" borderId="11" xfId="0" applyFont="true" applyBorder="true" applyAlignment="true" applyProtection="true">
      <alignment horizontal="left" vertical="center" textRotation="0" wrapText="true" indent="0" shrinkToFit="false"/>
      <protection locked="true" hidden="false"/>
    </xf>
    <xf numFmtId="164" fontId="27" fillId="0" borderId="11" xfId="0" applyFont="true" applyBorder="true" applyAlignment="true" applyProtection="true">
      <alignment horizontal="left" vertical="center" textRotation="0" wrapText="true" indent="0" shrinkToFit="false"/>
      <protection locked="true" hidden="false"/>
    </xf>
    <xf numFmtId="164" fontId="27" fillId="18" borderId="11" xfId="0" applyFont="true" applyBorder="true" applyAlignment="true" applyProtection="true">
      <alignment horizontal="center" vertical="center" textRotation="0" wrapText="true" indent="0" shrinkToFit="false"/>
      <protection locked="true" hidden="false"/>
    </xf>
    <xf numFmtId="164" fontId="29" fillId="0" borderId="11" xfId="0" applyFont="true" applyBorder="true" applyAlignment="true" applyProtection="true">
      <alignment horizontal="general" vertical="center" textRotation="0" wrapText="false" indent="0" shrinkToFit="false"/>
      <protection locked="true" hidden="false"/>
    </xf>
    <xf numFmtId="164" fontId="29" fillId="0" borderId="14" xfId="0" applyFont="true" applyBorder="true" applyAlignment="true" applyProtection="true">
      <alignment horizontal="general" vertical="center" textRotation="0" wrapText="false" indent="0" shrinkToFit="false"/>
      <protection locked="true" hidden="false"/>
    </xf>
    <xf numFmtId="164" fontId="30" fillId="0" borderId="11" xfId="0" applyFont="true" applyBorder="true" applyAlignment="true" applyProtection="true">
      <alignment horizontal="center" vertical="center" textRotation="0" wrapText="true" indent="0" shrinkToFit="false"/>
      <protection locked="true" hidden="false"/>
    </xf>
    <xf numFmtId="164" fontId="32" fillId="18" borderId="11" xfId="0" applyFont="true" applyBorder="true" applyAlignment="true" applyProtection="true">
      <alignment horizontal="left" vertical="center" textRotation="0" wrapText="true" indent="0" shrinkToFit="false"/>
      <protection locked="true" hidden="false"/>
    </xf>
    <xf numFmtId="164" fontId="32" fillId="18" borderId="14" xfId="0" applyFont="true" applyBorder="true" applyAlignment="true" applyProtection="true">
      <alignment horizontal="general" vertical="center" textRotation="0" wrapText="true" indent="0" shrinkToFit="false"/>
      <protection locked="true" hidden="false"/>
    </xf>
    <xf numFmtId="164" fontId="24" fillId="0" borderId="0" xfId="0" applyFont="true" applyBorder="false" applyAlignment="true" applyProtection="true">
      <alignment horizontal="center" vertical="center" textRotation="0" wrapText="false" indent="0" shrinkToFit="false"/>
      <protection locked="true" hidden="false"/>
    </xf>
    <xf numFmtId="164" fontId="34" fillId="18" borderId="11" xfId="0" applyFont="true" applyBorder="true" applyAlignment="true" applyProtection="true">
      <alignment horizontal="center" vertical="center" textRotation="0" wrapText="true" indent="0" shrinkToFit="false"/>
      <protection locked="true" hidden="false"/>
    </xf>
    <xf numFmtId="164" fontId="36" fillId="18" borderId="11" xfId="20" applyFont="true" applyBorder="true" applyAlignment="true" applyProtection="true">
      <alignment horizontal="center" vertical="center" textRotation="0" wrapText="true" indent="0" shrinkToFit="false"/>
      <protection locked="true" hidden="false"/>
    </xf>
    <xf numFmtId="164" fontId="36" fillId="0" borderId="11" xfId="20" applyFont="true" applyBorder="true" applyAlignment="true" applyProtection="true">
      <alignment horizontal="center" vertical="center" textRotation="0" wrapText="true" indent="0" shrinkToFit="false"/>
      <protection locked="true" hidden="false"/>
    </xf>
    <xf numFmtId="164" fontId="36" fillId="0" borderId="15" xfId="20" applyFont="true" applyBorder="true" applyAlignment="true" applyProtection="true">
      <alignment horizontal="center" vertical="center" textRotation="0" wrapText="true" indent="0" shrinkToFit="false"/>
      <protection locked="true" hidden="false"/>
    </xf>
    <xf numFmtId="164" fontId="36" fillId="0" borderId="12" xfId="20" applyFont="true" applyBorder="true" applyAlignment="true" applyProtection="true">
      <alignment horizontal="center" vertical="center" textRotation="0" wrapText="true" indent="0" shrinkToFit="false"/>
      <protection locked="true" hidden="false"/>
    </xf>
    <xf numFmtId="164" fontId="36" fillId="17" borderId="11" xfId="20" applyFont="true" applyBorder="true" applyAlignment="true" applyProtection="true">
      <alignment horizontal="center" vertical="center" textRotation="0" wrapText="false" indent="0" shrinkToFit="false"/>
      <protection locked="true" hidden="false"/>
    </xf>
    <xf numFmtId="164" fontId="26" fillId="0" borderId="0" xfId="0" applyFont="true" applyBorder="false" applyAlignment="true" applyProtection="true">
      <alignment horizontal="center" vertical="center" textRotation="0" wrapText="false" indent="0" shrinkToFit="false"/>
      <protection locked="true" hidden="false"/>
    </xf>
    <xf numFmtId="164" fontId="38" fillId="17" borderId="11" xfId="0" applyFont="true" applyBorder="true" applyAlignment="true" applyProtection="true">
      <alignment horizontal="center" vertical="center" textRotation="0" wrapText="true" indent="0" shrinkToFit="false"/>
      <protection locked="true" hidden="false"/>
    </xf>
    <xf numFmtId="164" fontId="38" fillId="17" borderId="11" xfId="0" applyFont="true" applyBorder="true" applyAlignment="true" applyProtection="true">
      <alignment horizontal="center" vertical="center" textRotation="90" wrapText="true" indent="0" shrinkToFit="false"/>
      <protection locked="true" hidden="false"/>
    </xf>
    <xf numFmtId="164" fontId="26" fillId="6" borderId="11" xfId="0" applyFont="true" applyBorder="true" applyAlignment="true" applyProtection="true">
      <alignment horizontal="center" vertical="center" textRotation="0" wrapText="true" indent="0" shrinkToFit="false"/>
      <protection locked="true" hidden="false"/>
    </xf>
    <xf numFmtId="164" fontId="26" fillId="17" borderId="11" xfId="0" applyFont="true" applyBorder="true" applyAlignment="true" applyProtection="true">
      <alignment horizontal="center" vertical="center" textRotation="0" wrapText="true" indent="0" shrinkToFit="false"/>
      <protection locked="true" hidden="false"/>
    </xf>
    <xf numFmtId="164" fontId="26" fillId="29" borderId="11" xfId="0" applyFont="true" applyBorder="true" applyAlignment="true" applyProtection="true">
      <alignment horizontal="center" vertical="center" textRotation="0" wrapText="true" indent="0" shrinkToFit="false"/>
      <protection locked="true" hidden="false"/>
    </xf>
    <xf numFmtId="164" fontId="26" fillId="7" borderId="11" xfId="0" applyFont="true" applyBorder="true" applyAlignment="true" applyProtection="true">
      <alignment horizontal="center" vertical="center" textRotation="0" wrapText="true" indent="0" shrinkToFit="false"/>
      <protection locked="true" hidden="false"/>
    </xf>
    <xf numFmtId="164" fontId="26" fillId="30" borderId="14" xfId="0" applyFont="true" applyBorder="true" applyAlignment="true" applyProtection="true">
      <alignment horizontal="center" vertical="center" textRotation="0" wrapText="true" indent="0" shrinkToFit="false"/>
      <protection locked="true" hidden="false"/>
    </xf>
    <xf numFmtId="164" fontId="38" fillId="3" borderId="12" xfId="0" applyFont="true" applyBorder="true" applyAlignment="true" applyProtection="true">
      <alignment horizontal="center" vertical="center" textRotation="0" wrapText="true" indent="0" shrinkToFit="false"/>
      <protection locked="true" hidden="false"/>
    </xf>
    <xf numFmtId="164" fontId="39" fillId="17" borderId="11" xfId="0" applyFont="true" applyBorder="true" applyAlignment="true" applyProtection="true">
      <alignment horizontal="center" vertical="center" textRotation="0" wrapText="true" indent="0" shrinkToFit="false"/>
      <protection locked="true" hidden="false"/>
    </xf>
    <xf numFmtId="164" fontId="34" fillId="0" borderId="0" xfId="0" applyFont="true" applyBorder="false" applyAlignment="true" applyProtection="true">
      <alignment horizontal="general" vertical="center" textRotation="0" wrapText="true" indent="0" shrinkToFit="false"/>
      <protection locked="true" hidden="false"/>
    </xf>
    <xf numFmtId="164" fontId="40" fillId="0" borderId="0" xfId="0" applyFont="true" applyBorder="fals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center" vertical="center" textRotation="0" wrapText="false" indent="0" shrinkToFit="false"/>
      <protection locked="true" hidden="false"/>
    </xf>
    <xf numFmtId="164" fontId="38" fillId="6" borderId="11" xfId="0" applyFont="true" applyBorder="true" applyAlignment="true" applyProtection="true">
      <alignment horizontal="center" vertical="center" textRotation="0" wrapText="true" indent="0" shrinkToFit="false"/>
      <protection locked="true" hidden="false"/>
    </xf>
    <xf numFmtId="164" fontId="38" fillId="29" borderId="11" xfId="0" applyFont="true" applyBorder="true" applyAlignment="true" applyProtection="true">
      <alignment horizontal="center" vertical="center" textRotation="0" wrapText="true" indent="0" shrinkToFit="false"/>
      <protection locked="true" hidden="false"/>
    </xf>
    <xf numFmtId="164" fontId="38" fillId="7" borderId="11" xfId="0" applyFont="true" applyBorder="true" applyAlignment="true" applyProtection="true">
      <alignment horizontal="center" vertical="center" textRotation="0" wrapText="true" indent="0" shrinkToFit="false"/>
      <protection locked="true" hidden="false"/>
    </xf>
    <xf numFmtId="164" fontId="38" fillId="0" borderId="16" xfId="0" applyFont="true" applyBorder="true" applyAlignment="true" applyProtection="true">
      <alignment horizontal="center" vertical="center" textRotation="0" wrapText="true" indent="0" shrinkToFit="false"/>
      <protection locked="true" hidden="false"/>
    </xf>
    <xf numFmtId="164" fontId="38" fillId="30" borderId="17" xfId="0" applyFont="true" applyBorder="true" applyAlignment="true" applyProtection="true">
      <alignment horizontal="center" vertical="center" textRotation="0" wrapText="true" indent="0" shrinkToFit="false"/>
      <protection locked="true" hidden="false"/>
    </xf>
    <xf numFmtId="164" fontId="38" fillId="0" borderId="17" xfId="0" applyFont="true" applyBorder="true" applyAlignment="true" applyProtection="true">
      <alignment horizontal="center" vertical="center" textRotation="0" wrapText="true" indent="0" shrinkToFit="false"/>
      <protection locked="true" hidden="false"/>
    </xf>
    <xf numFmtId="164" fontId="38" fillId="30" borderId="18" xfId="0" applyFont="true" applyBorder="true" applyAlignment="true" applyProtection="true">
      <alignment horizontal="center" vertical="center" textRotation="0" wrapText="true" indent="0" shrinkToFit="false"/>
      <protection locked="true" hidden="false"/>
    </xf>
    <xf numFmtId="164" fontId="38" fillId="3" borderId="11" xfId="0" applyFont="true" applyBorder="true" applyAlignment="true" applyProtection="true">
      <alignment horizontal="center" vertical="center" textRotation="0" wrapText="true" indent="0" shrinkToFit="false"/>
      <protection locked="true" hidden="false"/>
    </xf>
    <xf numFmtId="164" fontId="39" fillId="17" borderId="11" xfId="0" applyFont="true" applyBorder="true" applyAlignment="true" applyProtection="true">
      <alignment horizontal="center" vertical="center" textRotation="0" wrapText="false" indent="0" shrinkToFit="false"/>
      <protection locked="true" hidden="false"/>
    </xf>
    <xf numFmtId="164" fontId="41" fillId="0" borderId="11" xfId="0" applyFont="true" applyBorder="true" applyAlignment="true" applyProtection="true">
      <alignment horizontal="center" vertical="center" textRotation="0" wrapText="true" indent="0" shrinkToFit="false"/>
      <protection locked="true" hidden="false"/>
    </xf>
    <xf numFmtId="164" fontId="42" fillId="0" borderId="11" xfId="0" applyFont="true" applyBorder="true" applyAlignment="true" applyProtection="true">
      <alignment horizontal="center" vertical="center" textRotation="0" wrapText="true" indent="0" shrinkToFit="false"/>
      <protection locked="true" hidden="false"/>
    </xf>
    <xf numFmtId="164" fontId="43" fillId="0" borderId="11" xfId="0" applyFont="true" applyBorder="true" applyAlignment="true" applyProtection="true">
      <alignment horizontal="general" vertical="center" textRotation="0" wrapText="false" indent="0" shrinkToFit="false"/>
      <protection locked="true" hidden="false"/>
    </xf>
    <xf numFmtId="164" fontId="42" fillId="0" borderId="11" xfId="0" applyFont="true" applyBorder="true" applyAlignment="true" applyProtection="true">
      <alignment horizontal="center" vertical="center" textRotation="0" wrapText="false" indent="0" shrinkToFit="false"/>
      <protection locked="true" hidden="false"/>
    </xf>
    <xf numFmtId="164" fontId="41" fillId="0" borderId="11" xfId="0" applyFont="true" applyBorder="true" applyAlignment="true" applyProtection="true">
      <alignment horizontal="center" vertical="center" textRotation="0" wrapText="false" indent="0" shrinkToFit="false"/>
      <protection locked="true" hidden="false"/>
    </xf>
    <xf numFmtId="164" fontId="39" fillId="18" borderId="11" xfId="0" applyFont="true" applyBorder="true" applyAlignment="true" applyProtection="true">
      <alignment horizontal="center" vertical="center" textRotation="0" wrapText="true" indent="0" shrinkToFit="false"/>
      <protection locked="true" hidden="false"/>
    </xf>
    <xf numFmtId="164" fontId="39" fillId="6" borderId="11" xfId="0" applyFont="true" applyBorder="true" applyAlignment="true" applyProtection="true">
      <alignment horizontal="center" vertical="center" textRotation="0" wrapText="true" indent="0" shrinkToFit="false"/>
      <protection locked="true" hidden="false"/>
    </xf>
    <xf numFmtId="164" fontId="39" fillId="0" borderId="11" xfId="0" applyFont="true" applyBorder="true" applyAlignment="true" applyProtection="true">
      <alignment horizontal="center" vertical="bottom" textRotation="0" wrapText="true" indent="0" shrinkToFit="false"/>
      <protection locked="true" hidden="false"/>
    </xf>
    <xf numFmtId="164" fontId="39" fillId="0" borderId="11" xfId="0" applyFont="true" applyBorder="true" applyAlignment="true" applyProtection="true">
      <alignment horizontal="center" vertical="center" textRotation="0" wrapText="true" indent="0" shrinkToFit="false"/>
      <protection locked="true" hidden="false"/>
    </xf>
    <xf numFmtId="164" fontId="39" fillId="29" borderId="11" xfId="0" applyFont="true" applyBorder="true" applyAlignment="true" applyProtection="true">
      <alignment horizontal="center" vertical="center" textRotation="0" wrapText="true" indent="0" shrinkToFit="false"/>
      <protection locked="true" hidden="false"/>
    </xf>
    <xf numFmtId="164" fontId="39" fillId="7" borderId="11" xfId="0" applyFont="true" applyBorder="true" applyAlignment="true" applyProtection="true">
      <alignment horizontal="center" vertical="center" textRotation="0" wrapText="true" indent="0" shrinkToFit="false"/>
      <protection locked="true" hidden="false"/>
    </xf>
    <xf numFmtId="164" fontId="39" fillId="0" borderId="14" xfId="0" applyFont="true" applyBorder="true" applyAlignment="true" applyProtection="true">
      <alignment horizontal="center" vertical="center" textRotation="0" wrapText="true" indent="0" shrinkToFit="false"/>
      <protection locked="true" hidden="false"/>
    </xf>
    <xf numFmtId="164" fontId="39" fillId="30" borderId="11" xfId="0" applyFont="true" applyBorder="true" applyAlignment="true" applyProtection="true">
      <alignment horizontal="center" vertical="center" textRotation="0" wrapText="true" indent="0" shrinkToFit="false"/>
      <protection locked="true" hidden="false"/>
    </xf>
    <xf numFmtId="170" fontId="39" fillId="30" borderId="12" xfId="0" applyFont="true" applyBorder="true" applyAlignment="true" applyProtection="true">
      <alignment horizontal="center" vertical="center" textRotation="0" wrapText="true" indent="0" shrinkToFit="false"/>
      <protection locked="true" hidden="false"/>
    </xf>
    <xf numFmtId="164" fontId="39" fillId="3" borderId="12" xfId="0" applyFont="true" applyBorder="true" applyAlignment="true" applyProtection="true">
      <alignment horizontal="center" vertical="center" textRotation="0" wrapText="true" indent="0" shrinkToFit="false"/>
      <protection locked="true" hidden="false"/>
    </xf>
    <xf numFmtId="164" fontId="39" fillId="16" borderId="11" xfId="0" applyFont="true" applyBorder="true" applyAlignment="true" applyProtection="true">
      <alignment horizontal="center" vertical="center" textRotation="0" wrapText="false" indent="0" shrinkToFit="false"/>
      <protection locked="true" hidden="false"/>
    </xf>
    <xf numFmtId="164" fontId="44" fillId="0" borderId="11" xfId="0" applyFont="true" applyBorder="true" applyAlignment="true" applyProtection="true">
      <alignment horizontal="left" vertical="top" textRotation="0" wrapText="true" indent="0" shrinkToFit="false"/>
      <protection locked="true" hidden="false"/>
    </xf>
    <xf numFmtId="164" fontId="39" fillId="0" borderId="0" xfId="0" applyFont="true" applyBorder="false" applyAlignment="true" applyProtection="true">
      <alignment horizontal="center" vertical="center" textRotation="0" wrapText="false" indent="0" shrinkToFit="false"/>
      <protection locked="true" hidden="false"/>
    </xf>
    <xf numFmtId="164" fontId="39" fillId="18" borderId="11" xfId="0" applyFont="true" applyBorder="true" applyAlignment="true" applyProtection="true">
      <alignment horizontal="center" vertical="center" textRotation="0" wrapText="false" indent="0" shrinkToFit="false"/>
      <protection locked="true" hidden="false"/>
    </xf>
    <xf numFmtId="171" fontId="39" fillId="18" borderId="11" xfId="15" applyFont="true" applyBorder="true" applyAlignment="true" applyProtection="true">
      <alignment horizontal="center" vertical="center" textRotation="0" wrapText="true" indent="0" shrinkToFit="false"/>
      <protection locked="true" hidden="false"/>
    </xf>
    <xf numFmtId="164" fontId="45" fillId="17" borderId="11" xfId="0" applyFont="true" applyBorder="true" applyAlignment="true" applyProtection="true">
      <alignment horizontal="general" vertical="center" textRotation="0" wrapText="false" indent="0" shrinkToFit="false"/>
      <protection locked="true" hidden="false"/>
    </xf>
    <xf numFmtId="164" fontId="46" fillId="17" borderId="11" xfId="0" applyFont="true" applyBorder="true" applyAlignment="true" applyProtection="true">
      <alignment horizontal="center" vertical="center" textRotation="0" wrapText="false" indent="0" shrinkToFit="false"/>
      <protection locked="true" hidden="false"/>
    </xf>
    <xf numFmtId="164" fontId="47" fillId="17" borderId="11" xfId="0" applyFont="true" applyBorder="true" applyAlignment="true" applyProtection="true">
      <alignment horizontal="center" vertical="center" textRotation="0" wrapText="false" indent="0" shrinkToFit="false"/>
      <protection locked="true" hidden="false"/>
    </xf>
    <xf numFmtId="164" fontId="39" fillId="0" borderId="19" xfId="0" applyFont="true" applyBorder="true" applyAlignment="true" applyProtection="true">
      <alignment horizontal="center" vertical="center" textRotation="0" wrapText="true" indent="0" shrinkToFit="false"/>
      <protection locked="true" hidden="false"/>
    </xf>
    <xf numFmtId="170" fontId="39" fillId="30" borderId="20" xfId="0" applyFont="true" applyBorder="true" applyAlignment="true" applyProtection="true">
      <alignment horizontal="center" vertical="center" textRotation="0" wrapText="true" indent="0" shrinkToFit="false"/>
      <protection locked="true" hidden="false"/>
    </xf>
    <xf numFmtId="164" fontId="39" fillId="18" borderId="19" xfId="0" applyFont="true" applyBorder="true" applyAlignment="true" applyProtection="true">
      <alignment horizontal="center" vertical="center" textRotation="0" wrapText="true" indent="0" shrinkToFit="false"/>
      <protection locked="true" hidden="false"/>
    </xf>
    <xf numFmtId="164" fontId="39" fillId="3" borderId="20" xfId="0" applyFont="true" applyBorder="true" applyAlignment="true" applyProtection="true">
      <alignment horizontal="center" vertical="center" textRotation="0" wrapText="true" indent="0" shrinkToFit="false"/>
      <protection locked="true" hidden="false"/>
    </xf>
    <xf numFmtId="164" fontId="39" fillId="0" borderId="12" xfId="0" applyFont="true" applyBorder="true" applyAlignment="true" applyProtection="true">
      <alignment horizontal="center" vertical="center" textRotation="0" wrapText="true" indent="0" shrinkToFit="false"/>
      <protection locked="true" hidden="false"/>
    </xf>
    <xf numFmtId="164" fontId="39" fillId="0" borderId="21" xfId="0" applyFont="true" applyBorder="true" applyAlignment="true" applyProtection="true">
      <alignment horizontal="center" vertical="center" textRotation="0" wrapText="true" indent="0" shrinkToFit="false"/>
      <protection locked="true" hidden="false"/>
    </xf>
    <xf numFmtId="170" fontId="39" fillId="30" borderId="21" xfId="0" applyFont="true" applyBorder="true" applyAlignment="true" applyProtection="true">
      <alignment horizontal="center" vertical="center" textRotation="0" wrapText="true" indent="0" shrinkToFit="false"/>
      <protection locked="true" hidden="false"/>
    </xf>
    <xf numFmtId="164" fontId="39" fillId="18" borderId="21" xfId="0" applyFont="true" applyBorder="true" applyAlignment="true" applyProtection="true">
      <alignment horizontal="center" vertical="center" textRotation="0" wrapText="true" indent="0" shrinkToFit="false"/>
      <protection locked="true" hidden="false"/>
    </xf>
    <xf numFmtId="164" fontId="39" fillId="3" borderId="22" xfId="0" applyFont="true" applyBorder="true" applyAlignment="true" applyProtection="true">
      <alignment horizontal="center" vertical="center" textRotation="0" wrapText="true" indent="0" shrinkToFit="false"/>
      <protection locked="true" hidden="false"/>
    </xf>
    <xf numFmtId="164" fontId="48" fillId="0" borderId="11" xfId="0" applyFont="true" applyBorder="true" applyAlignment="true" applyProtection="true">
      <alignment horizontal="general" vertical="bottom" textRotation="0" wrapText="false" indent="0" shrinkToFit="false"/>
      <protection locked="true" hidden="false"/>
    </xf>
    <xf numFmtId="164" fontId="39" fillId="0" borderId="15" xfId="0" applyFont="true" applyBorder="true" applyAlignment="true" applyProtection="true">
      <alignment horizontal="center" vertical="center" textRotation="0" wrapText="true" indent="0" shrinkToFit="false"/>
      <protection locked="true" hidden="false"/>
    </xf>
    <xf numFmtId="164" fontId="39" fillId="30" borderId="19" xfId="0" applyFont="true" applyBorder="true" applyAlignment="true" applyProtection="true">
      <alignment horizontal="center" vertical="center" textRotation="0" wrapText="true" indent="0" shrinkToFit="false"/>
      <protection locked="true" hidden="false"/>
    </xf>
    <xf numFmtId="164" fontId="39" fillId="0" borderId="20" xfId="0" applyFont="true" applyBorder="true" applyAlignment="true" applyProtection="true">
      <alignment horizontal="center" vertical="center" textRotation="0" wrapText="true" indent="0" shrinkToFit="false"/>
      <protection locked="true" hidden="false"/>
    </xf>
    <xf numFmtId="164" fontId="39" fillId="0" borderId="11" xfId="0" applyFont="true" applyBorder="true" applyAlignment="true" applyProtection="true">
      <alignment horizontal="center" vertical="center" textRotation="0" wrapText="false" indent="0" shrinkToFit="false"/>
      <protection locked="true" hidden="false"/>
    </xf>
    <xf numFmtId="164" fontId="39" fillId="0" borderId="23" xfId="0" applyFont="true" applyBorder="true" applyAlignment="true" applyProtection="true">
      <alignment horizontal="center" vertical="center" textRotation="0" wrapText="false" indent="0" shrinkToFit="false"/>
      <protection locked="true" hidden="false"/>
    </xf>
    <xf numFmtId="164" fontId="39" fillId="0" borderId="21" xfId="0" applyFont="true" applyBorder="true" applyAlignment="true" applyProtection="true">
      <alignment horizontal="center" vertical="center" textRotation="0" wrapText="false" indent="0" shrinkToFit="false"/>
      <protection locked="true" hidden="false"/>
    </xf>
    <xf numFmtId="164" fontId="39" fillId="0" borderId="22" xfId="0" applyFont="true" applyBorder="true" applyAlignment="true" applyProtection="true">
      <alignment horizontal="center" vertical="center" textRotation="0" wrapText="false" indent="0" shrinkToFit="false"/>
      <protection locked="true" hidden="false"/>
    </xf>
    <xf numFmtId="164" fontId="39" fillId="0" borderId="23" xfId="0" applyFont="true" applyBorder="true" applyAlignment="true" applyProtection="true">
      <alignment horizontal="center" vertical="center" textRotation="0" wrapText="true" indent="0" shrinkToFit="false"/>
      <protection locked="true" hidden="false"/>
    </xf>
    <xf numFmtId="164" fontId="39" fillId="0" borderId="22" xfId="0" applyFont="true" applyBorder="true" applyAlignment="true" applyProtection="true">
      <alignment horizontal="center" vertical="center" textRotation="0" wrapText="true" indent="0" shrinkToFit="false"/>
      <protection locked="true" hidden="false"/>
    </xf>
    <xf numFmtId="164" fontId="39" fillId="0" borderId="0" xfId="0" applyFont="true" applyBorder="false" applyAlignment="true" applyProtection="true">
      <alignment horizontal="center" vertical="center" textRotation="0" wrapText="true" indent="0" shrinkToFit="false"/>
      <protection locked="true" hidden="false"/>
    </xf>
    <xf numFmtId="164" fontId="38" fillId="0" borderId="0" xfId="0" applyFont="true" applyBorder="false" applyAlignment="true" applyProtection="true">
      <alignment horizontal="center" vertical="center" textRotation="0" wrapText="true" indent="0" shrinkToFit="false"/>
      <protection locked="true" hidden="false"/>
    </xf>
    <xf numFmtId="164" fontId="38" fillId="0" borderId="0" xfId="0" applyFont="true" applyBorder="false" applyAlignment="true" applyProtection="true">
      <alignment horizontal="center" vertical="bottom" textRotation="0" wrapText="true" indent="0" shrinkToFit="false"/>
      <protection locked="true" hidden="false"/>
    </xf>
    <xf numFmtId="164" fontId="38" fillId="0" borderId="0" xfId="0" applyFont="true" applyBorder="false" applyAlignment="true" applyProtection="true">
      <alignment horizontal="center" vertical="bottom" textRotation="0" wrapText="false" indent="0" shrinkToFit="false"/>
      <protection locked="true" hidden="false"/>
    </xf>
    <xf numFmtId="164" fontId="25" fillId="0" borderId="0" xfId="0" applyFont="true" applyBorder="false" applyAlignment="true" applyProtection="true">
      <alignment horizontal="center" vertical="bottom" textRotation="0" wrapText="true" indent="0" shrinkToFit="false"/>
      <protection locked="true" hidden="false"/>
    </xf>
    <xf numFmtId="164" fontId="25" fillId="0" borderId="0" xfId="0" applyFont="true" applyBorder="false" applyAlignment="true" applyProtection="true">
      <alignment horizontal="center" vertical="bottom" textRotation="0" wrapText="false" indent="0" shrinkToFit="false"/>
      <protection locked="true" hidden="false"/>
    </xf>
    <xf numFmtId="164" fontId="51" fillId="0" borderId="0" xfId="0" applyFont="true" applyBorder="false" applyAlignment="true" applyProtection="true">
      <alignment horizontal="center" vertical="bottom" textRotation="0" wrapText="false" indent="0" shrinkToFit="false"/>
      <protection locked="true" hidden="false"/>
    </xf>
    <xf numFmtId="164" fontId="51" fillId="0" borderId="0" xfId="0" applyFont="true" applyBorder="false" applyAlignment="true" applyProtection="true">
      <alignment horizontal="left" vertical="bottom" textRotation="0" wrapText="false" indent="0" shrinkToFit="false"/>
      <protection locked="true" hidden="false"/>
    </xf>
    <xf numFmtId="164" fontId="51" fillId="0" borderId="0" xfId="0" applyFont="true" applyBorder="false" applyAlignment="true" applyProtection="true">
      <alignment horizontal="center" vertical="center" textRotation="0" wrapText="false" indent="0" shrinkToFit="false"/>
      <protection locked="true" hidden="false"/>
    </xf>
    <xf numFmtId="164" fontId="52" fillId="0" borderId="0" xfId="0" applyFont="true" applyBorder="false" applyAlignment="true" applyProtection="true">
      <alignment horizontal="center" vertical="center" textRotation="0" wrapText="false" indent="0" shrinkToFit="false"/>
      <protection locked="true" hidden="false"/>
    </xf>
    <xf numFmtId="164" fontId="52" fillId="0" borderId="0" xfId="0" applyFont="true" applyBorder="false" applyAlignment="true" applyProtection="true">
      <alignment horizontal="center" vertical="bottom" textRotation="0" wrapText="false" indent="0" shrinkToFit="false"/>
      <protection locked="true" hidden="false"/>
    </xf>
    <xf numFmtId="164" fontId="53" fillId="0" borderId="0" xfId="0" applyFont="true" applyBorder="false" applyAlignment="true" applyProtection="true">
      <alignment horizontal="center" vertical="center" textRotation="0" wrapText="false" indent="0" shrinkToFit="false"/>
      <protection locked="true" hidden="false"/>
    </xf>
    <xf numFmtId="164" fontId="54" fillId="0" borderId="0" xfId="0" applyFont="true" applyBorder="false" applyAlignment="true" applyProtection="true">
      <alignment horizontal="center" vertical="bottom" textRotation="0" wrapText="false" indent="0" shrinkToFit="false"/>
      <protection locked="true" hidden="false"/>
    </xf>
    <xf numFmtId="164" fontId="55" fillId="18" borderId="0" xfId="0" applyFont="true" applyBorder="true" applyAlignment="true" applyProtection="true">
      <alignment horizontal="center" vertical="center" textRotation="0" wrapText="true" indent="0" shrinkToFit="false"/>
      <protection locked="true" hidden="false"/>
    </xf>
    <xf numFmtId="164" fontId="56" fillId="0" borderId="0" xfId="0" applyFont="true" applyBorder="false" applyAlignment="true" applyProtection="true">
      <alignment horizontal="center" vertical="bottom" textRotation="0" wrapText="false" indent="0" shrinkToFit="false"/>
      <protection locked="true" hidden="false"/>
    </xf>
    <xf numFmtId="164" fontId="56" fillId="0" borderId="0" xfId="0" applyFont="true" applyBorder="false" applyAlignment="true" applyProtection="true">
      <alignment horizontal="left" vertical="bottom" textRotation="0" wrapText="false" indent="0" shrinkToFit="false"/>
      <protection locked="true" hidden="false"/>
    </xf>
    <xf numFmtId="164" fontId="57" fillId="21" borderId="0" xfId="0" applyFont="true" applyBorder="true" applyAlignment="true" applyProtection="true">
      <alignment horizontal="center" vertical="center" textRotation="0" wrapText="false" indent="0" shrinkToFit="false"/>
      <protection locked="true" hidden="false"/>
    </xf>
    <xf numFmtId="164" fontId="58" fillId="18" borderId="21" xfId="0" applyFont="true" applyBorder="true" applyAlignment="true" applyProtection="true">
      <alignment horizontal="center" vertical="center" textRotation="90" wrapText="true" indent="0" shrinkToFit="false"/>
      <protection locked="true" hidden="false"/>
    </xf>
    <xf numFmtId="164" fontId="58" fillId="18" borderId="21" xfId="0" applyFont="true" applyBorder="true" applyAlignment="true" applyProtection="true">
      <alignment horizontal="center" vertical="center" textRotation="0" wrapText="true" indent="0" shrinkToFit="false"/>
      <protection locked="true" hidden="false"/>
    </xf>
    <xf numFmtId="164" fontId="59" fillId="17" borderId="21" xfId="0" applyFont="true" applyBorder="true" applyAlignment="true" applyProtection="true">
      <alignment horizontal="center" vertical="center" textRotation="0" wrapText="false" indent="0" shrinkToFit="false"/>
      <protection locked="true" hidden="false"/>
    </xf>
    <xf numFmtId="164" fontId="60" fillId="0" borderId="21" xfId="0" applyFont="true" applyBorder="true" applyAlignment="true" applyProtection="true">
      <alignment horizontal="center" vertical="bottom" textRotation="0" wrapText="false" indent="0" shrinkToFit="false"/>
      <protection locked="true" hidden="false"/>
    </xf>
    <xf numFmtId="164" fontId="61" fillId="0" borderId="21" xfId="0" applyFont="true" applyBorder="true" applyAlignment="true" applyProtection="true">
      <alignment horizontal="center" vertical="center" textRotation="0" wrapText="false" indent="0" shrinkToFit="false"/>
      <protection locked="true" hidden="false"/>
    </xf>
    <xf numFmtId="164" fontId="61" fillId="0" borderId="0" xfId="0" applyFont="true" applyBorder="false" applyAlignment="true" applyProtection="true">
      <alignment horizontal="center" vertical="center" textRotation="0" wrapText="false" indent="0" shrinkToFit="false"/>
      <protection locked="true" hidden="false"/>
    </xf>
    <xf numFmtId="164" fontId="59" fillId="18" borderId="21" xfId="0" applyFont="true" applyBorder="true" applyAlignment="true" applyProtection="true">
      <alignment horizontal="center" vertical="center" textRotation="0" wrapText="false" indent="0" shrinkToFit="false"/>
      <protection locked="true" hidden="false"/>
    </xf>
    <xf numFmtId="164" fontId="52" fillId="17" borderId="21" xfId="0" applyFont="true" applyBorder="true" applyAlignment="true" applyProtection="true">
      <alignment horizontal="center" vertical="center" textRotation="0" wrapText="true" indent="0" shrinkToFit="false"/>
      <protection locked="true" hidden="false"/>
    </xf>
    <xf numFmtId="164" fontId="53" fillId="17" borderId="21" xfId="0" applyFont="true" applyBorder="true" applyAlignment="true" applyProtection="true">
      <alignment horizontal="center" vertical="center" textRotation="0" wrapText="true" indent="0" shrinkToFit="false"/>
      <protection locked="true" hidden="false"/>
    </xf>
    <xf numFmtId="164" fontId="53" fillId="18" borderId="21" xfId="0" applyFont="true" applyBorder="true" applyAlignment="true" applyProtection="true">
      <alignment horizontal="center" vertical="center" textRotation="0" wrapText="true" indent="0" shrinkToFit="false"/>
      <protection locked="true" hidden="false"/>
    </xf>
    <xf numFmtId="164" fontId="62" fillId="18" borderId="21" xfId="0" applyFont="true" applyBorder="true" applyAlignment="true" applyProtection="true">
      <alignment horizontal="center" vertical="center" textRotation="0" wrapText="true" indent="0" shrinkToFit="false"/>
      <protection locked="true" hidden="false"/>
    </xf>
    <xf numFmtId="164" fontId="14" fillId="0" borderId="0" xfId="0" applyFont="true" applyBorder="false" applyAlignment="true" applyProtection="true">
      <alignment horizontal="center" vertical="bottom" textRotation="0" wrapText="false" indent="0" shrinkToFit="false"/>
      <protection locked="true" hidden="false"/>
    </xf>
    <xf numFmtId="164" fontId="63" fillId="18" borderId="21" xfId="0" applyFont="true" applyBorder="true" applyAlignment="true" applyProtection="true">
      <alignment horizontal="center" vertical="center" textRotation="0" wrapText="true" indent="0" shrinkToFit="false"/>
      <protection locked="true" hidden="false"/>
    </xf>
    <xf numFmtId="164" fontId="33" fillId="18" borderId="21" xfId="0" applyFont="true" applyBorder="true" applyAlignment="true" applyProtection="true">
      <alignment horizontal="left" vertical="center" textRotation="0" wrapText="false" indent="0" shrinkToFit="false"/>
      <protection locked="true" hidden="false"/>
    </xf>
    <xf numFmtId="164" fontId="51" fillId="18" borderId="21" xfId="0" applyFont="true" applyBorder="true" applyAlignment="true" applyProtection="true">
      <alignment horizontal="center" vertical="center" textRotation="0" wrapText="false" indent="0" shrinkToFit="false"/>
      <protection locked="true" hidden="false"/>
    </xf>
    <xf numFmtId="164" fontId="52" fillId="17" borderId="21" xfId="0" applyFont="true" applyBorder="true" applyAlignment="true" applyProtection="true">
      <alignment horizontal="center" vertical="center" textRotation="0" wrapText="false" indent="0" shrinkToFit="false"/>
      <protection locked="true" hidden="false"/>
    </xf>
    <xf numFmtId="164" fontId="51" fillId="0" borderId="21" xfId="0" applyFont="true" applyBorder="true" applyAlignment="true" applyProtection="true">
      <alignment horizontal="center" vertical="bottom" textRotation="0" wrapText="false" indent="0" shrinkToFit="false"/>
      <protection locked="true" hidden="false"/>
    </xf>
    <xf numFmtId="164" fontId="53" fillId="0" borderId="21" xfId="0" applyFont="true" applyBorder="true" applyAlignment="true" applyProtection="true">
      <alignment horizontal="center" vertical="center" textRotation="0" wrapText="false" indent="0" shrinkToFit="false"/>
      <protection locked="true" hidden="false"/>
    </xf>
    <xf numFmtId="164" fontId="53" fillId="17" borderId="21" xfId="0" applyFont="true" applyBorder="true" applyAlignment="true" applyProtection="true">
      <alignment horizontal="center" vertical="center" textRotation="0" wrapText="false" indent="0" shrinkToFit="false"/>
      <protection locked="true" hidden="false"/>
    </xf>
    <xf numFmtId="164" fontId="64" fillId="0" borderId="21" xfId="0" applyFont="true" applyBorder="true" applyAlignment="true" applyProtection="true">
      <alignment horizontal="center" vertical="bottom" textRotation="0" wrapText="false" indent="0" shrinkToFit="false"/>
      <protection locked="true" hidden="false"/>
    </xf>
    <xf numFmtId="172" fontId="53" fillId="18" borderId="21" xfId="0" applyFont="true" applyBorder="true" applyAlignment="true" applyProtection="true">
      <alignment horizontal="center" vertical="center" textRotation="0" wrapText="true" indent="0" shrinkToFit="false"/>
      <protection locked="true" hidden="false"/>
    </xf>
    <xf numFmtId="164" fontId="51" fillId="0" borderId="21" xfId="0" applyFont="true" applyBorder="true" applyAlignment="true" applyProtection="true">
      <alignment horizontal="center" vertical="center" textRotation="0" wrapText="false" indent="0" shrinkToFit="false"/>
      <protection locked="true" hidden="false"/>
    </xf>
    <xf numFmtId="164" fontId="54" fillId="0" borderId="21" xfId="0" applyFont="true" applyBorder="true" applyAlignment="true" applyProtection="true">
      <alignment horizontal="center" vertical="bottom" textRotation="0" wrapText="false" indent="0" shrinkToFit="false"/>
      <protection locked="true" hidden="false"/>
    </xf>
    <xf numFmtId="164" fontId="63" fillId="31" borderId="21" xfId="0" applyFont="true" applyBorder="true" applyAlignment="true" applyProtection="true">
      <alignment horizontal="center" vertical="center" textRotation="0" wrapText="true" indent="0" shrinkToFit="false"/>
      <protection locked="true" hidden="false"/>
    </xf>
    <xf numFmtId="164" fontId="33" fillId="31" borderId="21" xfId="0" applyFont="true" applyBorder="true" applyAlignment="true" applyProtection="true">
      <alignment horizontal="left" vertical="center" textRotation="0" wrapText="false" indent="0" shrinkToFit="false"/>
      <protection locked="true" hidden="false"/>
    </xf>
    <xf numFmtId="164" fontId="51" fillId="31" borderId="21" xfId="0" applyFont="true" applyBorder="true" applyAlignment="true" applyProtection="true">
      <alignment horizontal="center" vertical="center" textRotation="0" wrapText="false" indent="0" shrinkToFit="false"/>
      <protection locked="true" hidden="false"/>
    </xf>
    <xf numFmtId="164" fontId="52" fillId="31" borderId="21" xfId="0" applyFont="true" applyBorder="true" applyAlignment="true" applyProtection="true">
      <alignment horizontal="center" vertical="center" textRotation="0" wrapText="false" indent="0" shrinkToFit="false"/>
      <protection locked="true" hidden="false"/>
    </xf>
    <xf numFmtId="164" fontId="51" fillId="31" borderId="21" xfId="0" applyFont="true" applyBorder="true" applyAlignment="true" applyProtection="true">
      <alignment horizontal="center" vertical="bottom" textRotation="0" wrapText="false" indent="0" shrinkToFit="false"/>
      <protection locked="true" hidden="false"/>
    </xf>
    <xf numFmtId="164" fontId="53" fillId="31" borderId="21" xfId="0" applyFont="true" applyBorder="true" applyAlignment="true" applyProtection="true">
      <alignment horizontal="center" vertical="center" textRotation="0" wrapText="false" indent="0" shrinkToFit="false"/>
      <protection locked="true" hidden="false"/>
    </xf>
    <xf numFmtId="164" fontId="0" fillId="31" borderId="21" xfId="0" applyFont="true" applyBorder="true" applyAlignment="true" applyProtection="true">
      <alignment horizontal="center" vertical="bottom" textRotation="0" wrapText="false" indent="0" shrinkToFit="false"/>
      <protection locked="true" hidden="false"/>
    </xf>
    <xf numFmtId="172" fontId="0" fillId="31" borderId="21" xfId="0" applyFont="false" applyBorder="true" applyAlignment="true" applyProtection="true">
      <alignment horizontal="center" vertical="bottom" textRotation="0" wrapText="false" indent="0" shrinkToFit="false"/>
      <protection locked="true" hidden="false"/>
    </xf>
    <xf numFmtId="164" fontId="51" fillId="31" borderId="0" xfId="0" applyFont="true" applyBorder="false" applyAlignment="true" applyProtection="true">
      <alignment horizontal="center" vertical="bottom" textRotation="0" wrapText="false" indent="0" shrinkToFit="false"/>
      <protection locked="true" hidden="false"/>
    </xf>
    <xf numFmtId="172" fontId="54" fillId="31" borderId="21" xfId="0" applyFont="true" applyBorder="true" applyAlignment="true" applyProtection="true">
      <alignment horizontal="center" vertical="bottom" textRotation="0" wrapText="false" indent="0" shrinkToFit="false"/>
      <protection locked="true" hidden="false"/>
    </xf>
    <xf numFmtId="164" fontId="54" fillId="31" borderId="0" xfId="0" applyFont="true" applyBorder="false" applyAlignment="true" applyProtection="true">
      <alignment horizontal="center" vertical="bottom" textRotation="0" wrapText="false" indent="0" shrinkToFit="false"/>
      <protection locked="true" hidden="false"/>
    </xf>
    <xf numFmtId="164" fontId="65" fillId="18" borderId="21" xfId="0" applyFont="true" applyBorder="true" applyAlignment="true" applyProtection="true">
      <alignment horizontal="left" vertical="center" textRotation="0" wrapText="false" indent="0" shrinkToFit="false"/>
      <protection locked="true" hidden="false"/>
    </xf>
    <xf numFmtId="164" fontId="52" fillId="18" borderId="21" xfId="0" applyFont="true" applyBorder="true" applyAlignment="true" applyProtection="true">
      <alignment horizontal="center" vertical="center" textRotation="0" wrapText="false" indent="0" shrinkToFit="false"/>
      <protection locked="true" hidden="false"/>
    </xf>
    <xf numFmtId="164" fontId="54" fillId="18" borderId="21" xfId="0" applyFont="true" applyBorder="true" applyAlignment="true" applyProtection="true">
      <alignment horizontal="center" vertical="bottom" textRotation="0" wrapText="false" indent="0" shrinkToFit="false"/>
      <protection locked="true" hidden="false"/>
    </xf>
    <xf numFmtId="164" fontId="56" fillId="0" borderId="21" xfId="0" applyFont="true" applyBorder="true" applyAlignment="true" applyProtection="true">
      <alignment horizontal="center" vertical="bottom" textRotation="0" wrapText="false" indent="0" shrinkToFit="false"/>
      <protection locked="true" hidden="false"/>
    </xf>
    <xf numFmtId="164" fontId="53" fillId="0" borderId="0" xfId="0" applyFont="true" applyBorder="false" applyAlignment="true" applyProtection="true">
      <alignment horizontal="center" vertical="bottom" textRotation="0" wrapText="false" indent="0" shrinkToFit="false"/>
      <protection locked="true" hidden="false"/>
    </xf>
    <xf numFmtId="164" fontId="53"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54" fillId="19" borderId="0" xfId="0" applyFont="true" applyBorder="false" applyAlignment="true" applyProtection="true">
      <alignment horizontal="center" vertical="bottom" textRotation="0" wrapText="false" indent="0" shrinkToFit="false"/>
      <protection locked="true" hidden="false"/>
    </xf>
    <xf numFmtId="164" fontId="51" fillId="19" borderId="0" xfId="0" applyFont="true" applyBorder="false" applyAlignment="true" applyProtection="true">
      <alignment horizontal="center" vertical="bottom" textRotation="0" wrapText="false" indent="0" shrinkToFit="false"/>
      <protection locked="true" hidden="false"/>
    </xf>
    <xf numFmtId="164" fontId="54" fillId="0" borderId="0" xfId="0" applyFont="true" applyBorder="false" applyAlignment="true" applyProtection="true">
      <alignment horizontal="left" vertical="bottom" textRotation="0" wrapText="false" indent="0" shrinkToFit="false"/>
      <protection locked="true" hidden="false"/>
    </xf>
    <xf numFmtId="164" fontId="66" fillId="0" borderId="0" xfId="0" applyFont="true" applyBorder="false" applyAlignment="true" applyProtection="true">
      <alignment horizontal="center" vertical="center" textRotation="0" wrapText="false" indent="0" shrinkToFit="false"/>
      <protection locked="true" hidden="false"/>
    </xf>
    <xf numFmtId="164" fontId="42" fillId="0" borderId="0" xfId="0" applyFont="true" applyBorder="false" applyAlignment="true" applyProtection="true">
      <alignment horizontal="center" vertical="bottom" textRotation="0" wrapText="false" indent="0" shrinkToFit="false"/>
      <protection locked="true" hidden="false"/>
    </xf>
    <xf numFmtId="164" fontId="41" fillId="0" borderId="0" xfId="0" applyFont="true" applyBorder="false" applyAlignment="true" applyProtection="true">
      <alignment horizontal="center" vertical="bottom" textRotation="0" wrapText="false" indent="0" shrinkToFit="false"/>
      <protection locked="true" hidden="false"/>
    </xf>
    <xf numFmtId="164" fontId="67" fillId="29" borderId="21" xfId="0" applyFont="true" applyBorder="true" applyAlignment="true" applyProtection="true">
      <alignment horizontal="center" vertical="center" textRotation="0" wrapText="false" indent="0" shrinkToFit="false"/>
      <protection locked="true" hidden="false"/>
    </xf>
    <xf numFmtId="164" fontId="58" fillId="18" borderId="24" xfId="0" applyFont="true" applyBorder="true" applyAlignment="true" applyProtection="true">
      <alignment horizontal="center" vertical="center" textRotation="90" wrapText="true" indent="0" shrinkToFit="false"/>
      <protection locked="true" hidden="false"/>
    </xf>
    <xf numFmtId="164" fontId="58" fillId="18" borderId="25" xfId="0" applyFont="true" applyBorder="true" applyAlignment="true" applyProtection="true">
      <alignment horizontal="center" vertical="center" textRotation="0" wrapText="true" indent="0" shrinkToFit="false"/>
      <protection locked="true" hidden="false"/>
    </xf>
    <xf numFmtId="164" fontId="52" fillId="19" borderId="26" xfId="0" applyFont="true" applyBorder="true" applyAlignment="true" applyProtection="true">
      <alignment horizontal="center" vertical="center" textRotation="0" wrapText="false" indent="0" shrinkToFit="false"/>
      <protection locked="true" hidden="false"/>
    </xf>
    <xf numFmtId="164" fontId="62" fillId="19" borderId="27" xfId="0" applyFont="true" applyBorder="true" applyAlignment="true" applyProtection="true">
      <alignment horizontal="center" vertical="center" textRotation="90" wrapText="false" indent="0" shrinkToFit="false"/>
      <protection locked="true" hidden="false"/>
    </xf>
    <xf numFmtId="164" fontId="56" fillId="19" borderId="26" xfId="0" applyFont="true" applyBorder="true" applyAlignment="true" applyProtection="true">
      <alignment horizontal="center" vertical="center" textRotation="0" wrapText="false" indent="0" shrinkToFit="false"/>
      <protection locked="true" hidden="false"/>
    </xf>
    <xf numFmtId="164" fontId="52" fillId="19" borderId="0" xfId="0" applyFont="true" applyBorder="false" applyAlignment="true" applyProtection="true">
      <alignment horizontal="center" vertical="center" textRotation="0" wrapText="false" indent="0" shrinkToFit="false"/>
      <protection locked="true" hidden="false"/>
    </xf>
    <xf numFmtId="164" fontId="62" fillId="19" borderId="26" xfId="0" applyFont="true" applyBorder="true" applyAlignment="true" applyProtection="true">
      <alignment horizontal="center" vertical="center" textRotation="90" wrapText="false" indent="0" shrinkToFit="false"/>
      <protection locked="true" hidden="false"/>
    </xf>
    <xf numFmtId="164" fontId="52" fillId="19" borderId="21" xfId="0" applyFont="true" applyBorder="true" applyAlignment="true" applyProtection="true">
      <alignment horizontal="center" vertical="center" textRotation="0" wrapText="false" indent="0" shrinkToFit="false"/>
      <protection locked="true" hidden="false"/>
    </xf>
    <xf numFmtId="164" fontId="62" fillId="19" borderId="28" xfId="0" applyFont="true" applyBorder="true" applyAlignment="true" applyProtection="true">
      <alignment horizontal="center" vertical="center" textRotation="0" wrapText="true" indent="0" shrinkToFit="false"/>
      <protection locked="true" hidden="false"/>
    </xf>
    <xf numFmtId="164" fontId="62" fillId="19" borderId="21" xfId="0" applyFont="true" applyBorder="true" applyAlignment="true" applyProtection="true">
      <alignment horizontal="center" vertical="center" textRotation="0" wrapText="true" indent="0" shrinkToFit="false"/>
      <protection locked="true" hidden="false"/>
    </xf>
    <xf numFmtId="164" fontId="62" fillId="19" borderId="29" xfId="0" applyFont="true" applyBorder="true" applyAlignment="true" applyProtection="true">
      <alignment horizontal="center" vertical="center" textRotation="0" wrapText="true" indent="0" shrinkToFit="false"/>
      <protection locked="true" hidden="false"/>
    </xf>
    <xf numFmtId="164" fontId="62" fillId="18" borderId="30" xfId="0" applyFont="true" applyBorder="true" applyAlignment="true" applyProtection="true">
      <alignment horizontal="center" vertical="center" textRotation="0" wrapText="true" indent="0" shrinkToFit="false"/>
      <protection locked="true" hidden="false"/>
    </xf>
    <xf numFmtId="164" fontId="28" fillId="18" borderId="21" xfId="0" applyFont="true" applyBorder="true" applyAlignment="true" applyProtection="true">
      <alignment horizontal="left" vertical="center" textRotation="0" wrapText="false" indent="0" shrinkToFit="false"/>
      <protection locked="true" hidden="false"/>
    </xf>
    <xf numFmtId="164" fontId="53" fillId="19" borderId="21" xfId="0" applyFont="true" applyBorder="true" applyAlignment="true" applyProtection="true">
      <alignment horizontal="center" vertical="center" textRotation="0" wrapText="false" indent="0" shrinkToFit="false"/>
      <protection locked="true" hidden="false"/>
    </xf>
    <xf numFmtId="164" fontId="53" fillId="18" borderId="21" xfId="0" applyFont="true" applyBorder="true" applyAlignment="true" applyProtection="true">
      <alignment horizontal="center" vertical="center" textRotation="0" wrapText="false" indent="0" shrinkToFit="false"/>
      <protection locked="true" hidden="false"/>
    </xf>
    <xf numFmtId="164" fontId="53" fillId="19" borderId="21" xfId="0" applyFont="true" applyBorder="true" applyAlignment="true" applyProtection="true">
      <alignment horizontal="center" vertical="bottom" textRotation="0" wrapText="false" indent="0" shrinkToFit="false"/>
      <protection locked="true" hidden="false"/>
    </xf>
    <xf numFmtId="164" fontId="62" fillId="31" borderId="30" xfId="0" applyFont="true" applyBorder="true" applyAlignment="true" applyProtection="true">
      <alignment horizontal="center" vertical="center" textRotation="0" wrapText="true" indent="0" shrinkToFit="false"/>
      <protection locked="true" hidden="false"/>
    </xf>
    <xf numFmtId="164" fontId="28" fillId="31" borderId="21" xfId="0" applyFont="true" applyBorder="true" applyAlignment="true" applyProtection="true">
      <alignment horizontal="left" vertical="center" textRotation="0" wrapText="false" indent="0" shrinkToFit="false"/>
      <protection locked="true" hidden="false"/>
    </xf>
    <xf numFmtId="172" fontId="51" fillId="31" borderId="21" xfId="0" applyFont="true" applyBorder="true" applyAlignment="true" applyProtection="true">
      <alignment horizontal="center" vertical="bottom" textRotation="0" wrapText="false" indent="0" shrinkToFit="false"/>
      <protection locked="true" hidden="false"/>
    </xf>
    <xf numFmtId="164" fontId="51" fillId="18" borderId="21" xfId="0" applyFont="true" applyBorder="true" applyAlignment="true" applyProtection="true">
      <alignment horizontal="center" vertical="bottom" textRotation="0" wrapText="false" indent="0" shrinkToFit="false"/>
      <protection locked="true" hidden="false"/>
    </xf>
    <xf numFmtId="164" fontId="52" fillId="18" borderId="26" xfId="0" applyFont="true" applyBorder="true" applyAlignment="true" applyProtection="true">
      <alignment horizontal="center" vertical="center" textRotation="0" wrapText="false" indent="0" shrinkToFit="false"/>
      <protection locked="true" hidden="false"/>
    </xf>
    <xf numFmtId="164" fontId="51" fillId="18" borderId="0" xfId="0" applyFont="true" applyBorder="false" applyAlignment="true" applyProtection="true">
      <alignment horizontal="center" vertical="bottom" textRotation="0" wrapText="false" indent="0" shrinkToFit="false"/>
      <protection locked="true" hidden="false"/>
    </xf>
    <xf numFmtId="164" fontId="68" fillId="18" borderId="30" xfId="0" applyFont="true" applyBorder="true" applyAlignment="true" applyProtection="true">
      <alignment horizontal="center" vertical="center" textRotation="0" wrapText="true" indent="0" shrinkToFit="false"/>
      <protection locked="true" hidden="false"/>
    </xf>
    <xf numFmtId="164" fontId="69" fillId="18" borderId="21" xfId="0" applyFont="true" applyBorder="true" applyAlignment="true" applyProtection="true">
      <alignment horizontal="left" vertical="center" textRotation="0" wrapText="false" indent="0" shrinkToFit="false"/>
      <protection locked="true" hidden="false"/>
    </xf>
    <xf numFmtId="164" fontId="62" fillId="18" borderId="31" xfId="0" applyFont="true" applyBorder="true" applyAlignment="true" applyProtection="true">
      <alignment horizontal="center" vertical="center" textRotation="0" wrapText="true" indent="0" shrinkToFit="false"/>
      <protection locked="true" hidden="false"/>
    </xf>
    <xf numFmtId="164" fontId="28" fillId="18" borderId="32" xfId="0" applyFont="true" applyBorder="true" applyAlignment="true" applyProtection="true">
      <alignment horizontal="left" vertical="center" textRotation="0" wrapText="false" indent="0" shrinkToFit="false"/>
      <protection locked="true" hidden="false"/>
    </xf>
    <xf numFmtId="164" fontId="70" fillId="0" borderId="0" xfId="0" applyFont="true" applyBorder="false" applyAlignment="true" applyProtection="true">
      <alignment horizontal="center" vertical="bottom" textRotation="0" wrapText="false" indent="0" shrinkToFit="false"/>
      <protection locked="true" hidden="false"/>
    </xf>
    <xf numFmtId="164" fontId="0" fillId="18" borderId="0" xfId="0" applyFont="false" applyBorder="false" applyAlignment="true" applyProtection="true">
      <alignment horizontal="center" vertical="bottom" textRotation="0" wrapText="false" indent="0" shrinkToFit="false"/>
      <protection locked="true" hidden="false"/>
    </xf>
    <xf numFmtId="164" fontId="48" fillId="0" borderId="0" xfId="0" applyFont="true" applyBorder="false" applyAlignment="true" applyProtection="true">
      <alignment horizontal="center" vertical="bottom" textRotation="0" wrapText="false" indent="0" shrinkToFit="false"/>
      <protection locked="true" hidden="false"/>
    </xf>
    <xf numFmtId="164" fontId="71" fillId="0" borderId="0" xfId="0" applyFont="true" applyBorder="false" applyAlignment="true" applyProtection="true">
      <alignment horizontal="center" vertical="bottom" textRotation="0" wrapText="false" indent="0" shrinkToFit="false"/>
      <protection locked="true" hidden="false"/>
    </xf>
    <xf numFmtId="164" fontId="72" fillId="0" borderId="0" xfId="0" applyFont="true" applyBorder="false" applyAlignment="true" applyProtection="true">
      <alignment horizontal="general" vertical="bottom" textRotation="0" wrapText="false" indent="0" shrinkToFit="false"/>
      <protection locked="true" hidden="false"/>
    </xf>
    <xf numFmtId="164" fontId="73" fillId="0" borderId="0" xfId="0" applyFont="true" applyBorder="false" applyAlignment="true" applyProtection="true">
      <alignment horizontal="center" vertical="center" textRotation="0" wrapText="false" indent="0" shrinkToFit="false"/>
      <protection locked="true" hidden="false"/>
    </xf>
    <xf numFmtId="164" fontId="29" fillId="0" borderId="0" xfId="0" applyFont="true" applyBorder="false" applyAlignment="true" applyProtection="true">
      <alignment horizontal="general" vertical="bottom" textRotation="0" wrapText="false" indent="0" shrinkToFit="false"/>
      <protection locked="true" hidden="false"/>
    </xf>
    <xf numFmtId="164" fontId="74" fillId="0" borderId="0" xfId="0" applyFont="true" applyBorder="true" applyAlignment="true" applyProtection="true">
      <alignment horizontal="center" vertical="center" textRotation="0" wrapText="true" indent="0" shrinkToFit="false"/>
      <protection locked="true" hidden="false"/>
    </xf>
    <xf numFmtId="164" fontId="75" fillId="29" borderId="0" xfId="20" applyFont="true" applyBorder="true" applyAlignment="true" applyProtection="true">
      <alignment horizontal="center" vertical="center" textRotation="0" wrapText="true" indent="0" shrinkToFit="false"/>
      <protection locked="true" hidden="false"/>
    </xf>
    <xf numFmtId="164" fontId="27" fillId="8" borderId="0" xfId="41" applyFont="true" applyBorder="true" applyAlignment="true" applyProtection="true">
      <alignment horizontal="center" vertical="center" textRotation="0" wrapText="false" indent="0" shrinkToFit="false"/>
      <protection locked="true" hidden="false"/>
    </xf>
    <xf numFmtId="164" fontId="27" fillId="8" borderId="0" xfId="41" applyFont="true" applyBorder="true" applyAlignment="true" applyProtection="true">
      <alignment horizontal="left" vertical="center" textRotation="0" wrapText="false" indent="0" shrinkToFit="false"/>
      <protection locked="true" hidden="false"/>
    </xf>
    <xf numFmtId="164" fontId="27" fillId="8" borderId="0" xfId="41" applyFont="true" applyBorder="true" applyAlignment="true" applyProtection="true">
      <alignment horizontal="center" vertical="center" textRotation="0" wrapText="true" indent="0" shrinkToFit="false"/>
      <protection locked="true" hidden="false"/>
    </xf>
    <xf numFmtId="164" fontId="27" fillId="0" borderId="0" xfId="0" applyFont="true" applyBorder="false" applyAlignment="true" applyProtection="true">
      <alignment horizontal="center" vertical="bottom" textRotation="0" wrapText="false" indent="0" shrinkToFit="false"/>
      <protection locked="true" hidden="false"/>
    </xf>
    <xf numFmtId="164" fontId="27" fillId="18" borderId="33" xfId="0" applyFont="true" applyBorder="true" applyAlignment="true" applyProtection="true">
      <alignment horizontal="center" vertical="center" textRotation="0" wrapText="false" indent="0" shrinkToFit="false"/>
      <protection locked="true" hidden="false"/>
    </xf>
    <xf numFmtId="164" fontId="58" fillId="18" borderId="34" xfId="0" applyFont="true" applyBorder="true" applyAlignment="true" applyProtection="true">
      <alignment horizontal="left" vertical="center" textRotation="0" wrapText="true" indent="0" shrinkToFit="false"/>
      <protection locked="true" hidden="false"/>
    </xf>
    <xf numFmtId="164" fontId="76" fillId="18" borderId="34" xfId="20" applyFont="true" applyBorder="true" applyAlignment="true" applyProtection="true">
      <alignment horizontal="center" vertical="center" textRotation="0" wrapText="false" indent="0" shrinkToFit="false"/>
      <protection locked="true" hidden="false"/>
    </xf>
    <xf numFmtId="164" fontId="77" fillId="18" borderId="34" xfId="0" applyFont="true" applyBorder="true" applyAlignment="true" applyProtection="true">
      <alignment horizontal="left" vertical="center" textRotation="0" wrapText="true" indent="0" shrinkToFit="false"/>
      <protection locked="true" hidden="false"/>
    </xf>
    <xf numFmtId="164" fontId="78" fillId="18" borderId="35" xfId="0" applyFont="true" applyBorder="true" applyAlignment="true" applyProtection="true">
      <alignment horizontal="center" vertical="center" textRotation="0" wrapText="false" indent="0" shrinkToFit="false"/>
      <protection locked="true" hidden="false"/>
    </xf>
    <xf numFmtId="164" fontId="71" fillId="18" borderId="0" xfId="0" applyFont="true" applyBorder="false" applyAlignment="true" applyProtection="true">
      <alignment horizontal="center" vertical="bottom" textRotation="0" wrapText="false" indent="0" shrinkToFit="false"/>
      <protection locked="true" hidden="false"/>
    </xf>
    <xf numFmtId="164" fontId="58" fillId="18" borderId="34" xfId="0" applyFont="true" applyBorder="true" applyAlignment="true" applyProtection="true">
      <alignment horizontal="left" vertical="center" textRotation="0" wrapText="false" indent="0" shrinkToFit="false"/>
      <protection locked="true" hidden="false"/>
    </xf>
    <xf numFmtId="164" fontId="11" fillId="18" borderId="34" xfId="20" applyFont="true" applyBorder="true" applyAlignment="true" applyProtection="true">
      <alignment horizontal="center" vertical="center" textRotation="0" wrapText="false" indent="0" shrinkToFit="false"/>
      <protection locked="true" hidden="false"/>
    </xf>
    <xf numFmtId="164" fontId="78" fillId="18" borderId="23" xfId="0" applyFont="true" applyBorder="true" applyAlignment="true" applyProtection="true">
      <alignment horizontal="center" vertical="center" textRotation="0" wrapText="false" indent="0" shrinkToFit="false"/>
      <protection locked="true" hidden="false"/>
    </xf>
    <xf numFmtId="164" fontId="27" fillId="18" borderId="22" xfId="0" applyFont="true" applyBorder="true" applyAlignment="true" applyProtection="true">
      <alignment horizontal="center" vertical="center" textRotation="0" wrapText="false" indent="0" shrinkToFit="false"/>
      <protection locked="true" hidden="false"/>
    </xf>
    <xf numFmtId="164" fontId="58" fillId="18" borderId="36" xfId="0" applyFont="true" applyBorder="true" applyAlignment="true" applyProtection="true">
      <alignment horizontal="left" vertical="center" textRotation="0" wrapText="false" indent="0" shrinkToFit="false"/>
      <protection locked="true" hidden="false"/>
    </xf>
    <xf numFmtId="164" fontId="79" fillId="18" borderId="36" xfId="20" applyFont="true" applyBorder="true" applyAlignment="true" applyProtection="true">
      <alignment horizontal="center" vertical="center" textRotation="0" wrapText="false" indent="0" shrinkToFit="false"/>
      <protection locked="true" hidden="false"/>
    </xf>
    <xf numFmtId="164" fontId="77" fillId="18" borderId="36" xfId="0" applyFont="true" applyBorder="true" applyAlignment="true" applyProtection="true">
      <alignment horizontal="left" vertical="center" textRotation="0" wrapText="true" indent="0" shrinkToFit="false"/>
      <protection locked="true" hidden="false"/>
    </xf>
    <xf numFmtId="164" fontId="80" fillId="18" borderId="23" xfId="0" applyFont="true" applyBorder="true" applyAlignment="true" applyProtection="true">
      <alignment horizontal="center" vertical="center" textRotation="0" wrapText="false" indent="0" shrinkToFit="false"/>
      <protection locked="true" hidden="false"/>
    </xf>
    <xf numFmtId="164" fontId="78" fillId="18" borderId="37" xfId="0" applyFont="true" applyBorder="true" applyAlignment="true" applyProtection="true">
      <alignment horizontal="center" vertical="center" textRotation="0" wrapText="false" indent="0" shrinkToFit="false"/>
      <protection locked="true" hidden="false"/>
    </xf>
    <xf numFmtId="164" fontId="27" fillId="18" borderId="38" xfId="0" applyFont="true" applyBorder="true" applyAlignment="true" applyProtection="true">
      <alignment horizontal="center" vertical="center" textRotation="0" wrapText="true" indent="0" shrinkToFit="false"/>
      <protection locked="true" hidden="false"/>
    </xf>
    <xf numFmtId="164" fontId="58" fillId="18" borderId="0" xfId="0" applyFont="true" applyBorder="false" applyAlignment="true" applyProtection="true">
      <alignment horizontal="left" vertical="center" textRotation="0" wrapText="false" indent="0" shrinkToFit="false"/>
      <protection locked="true" hidden="false"/>
    </xf>
    <xf numFmtId="164" fontId="77" fillId="18" borderId="0" xfId="0" applyFont="true" applyBorder="false" applyAlignment="true" applyProtection="true">
      <alignment horizontal="left" vertical="center" textRotation="0" wrapText="true" indent="0" shrinkToFit="false"/>
      <protection locked="true" hidden="false"/>
    </xf>
    <xf numFmtId="164" fontId="78" fillId="18" borderId="35" xfId="0" applyFont="true" applyBorder="true" applyAlignment="true" applyProtection="true">
      <alignment horizontal="center" vertical="center" textRotation="0" wrapText="true" indent="0" shrinkToFit="false"/>
      <protection locked="true" hidden="false"/>
    </xf>
    <xf numFmtId="164" fontId="27" fillId="18" borderId="38" xfId="0" applyFont="true" applyBorder="true" applyAlignment="true" applyProtection="true">
      <alignment horizontal="center" vertical="center" textRotation="0" wrapText="false" indent="0" shrinkToFit="false"/>
      <protection locked="true" hidden="false"/>
    </xf>
    <xf numFmtId="164" fontId="29" fillId="18" borderId="0" xfId="0" applyFont="true" applyBorder="false" applyAlignment="true" applyProtection="true">
      <alignment horizontal="left" vertical="center" textRotation="0" wrapText="false" indent="0" shrinkToFit="false"/>
      <protection locked="true" hidden="false"/>
    </xf>
    <xf numFmtId="164" fontId="79" fillId="18" borderId="0" xfId="20" applyFont="true" applyBorder="true" applyAlignment="true" applyProtection="true">
      <alignment horizontal="center" vertical="center" textRotation="0" wrapText="false" indent="0" shrinkToFit="false"/>
      <protection locked="true" hidden="false"/>
    </xf>
    <xf numFmtId="164" fontId="81" fillId="18" borderId="34" xfId="0" applyFont="true" applyBorder="true" applyAlignment="true" applyProtection="true">
      <alignment horizontal="left" vertical="center" textRotation="0" wrapText="false" indent="0" shrinkToFit="false"/>
      <protection locked="true" hidden="false"/>
    </xf>
    <xf numFmtId="164" fontId="11" fillId="18" borderId="34" xfId="20" applyFont="true" applyBorder="true" applyAlignment="true" applyProtection="true">
      <alignment horizontal="center" vertical="center" textRotation="0" wrapText="true" indent="0" shrinkToFit="false"/>
      <protection locked="true" hidden="false"/>
    </xf>
    <xf numFmtId="164" fontId="78" fillId="18" borderId="37" xfId="0" applyFont="true" applyBorder="true" applyAlignment="true" applyProtection="true">
      <alignment horizontal="center" vertical="center" textRotation="0" wrapText="true" indent="0" shrinkToFit="false"/>
      <protection locked="true" hidden="false"/>
    </xf>
    <xf numFmtId="164" fontId="37" fillId="18" borderId="0" xfId="20" applyFont="true" applyBorder="true" applyAlignment="true" applyProtection="true">
      <alignment horizontal="center" vertical="center" textRotation="0" wrapText="true" indent="0" shrinkToFit="false"/>
      <protection locked="true" hidden="false"/>
    </xf>
    <xf numFmtId="164" fontId="80" fillId="18" borderId="35" xfId="0" applyFont="true" applyBorder="true" applyAlignment="true" applyProtection="true">
      <alignment horizontal="center" vertical="center" textRotation="0" wrapText="false" indent="0" shrinkToFit="false"/>
      <protection locked="true" hidden="false"/>
    </xf>
    <xf numFmtId="164" fontId="29" fillId="0" borderId="0" xfId="0" applyFont="true" applyBorder="false" applyAlignment="true" applyProtection="true">
      <alignment horizontal="general" vertical="center" textRotation="0" wrapText="false" indent="0" shrinkToFit="false"/>
      <protection locked="true" hidden="false"/>
    </xf>
    <xf numFmtId="164" fontId="72" fillId="18" borderId="34" xfId="0" applyFont="true" applyBorder="true" applyAlignment="true" applyProtection="true">
      <alignment horizontal="left" vertical="center" textRotation="0" wrapText="true" indent="0" shrinkToFit="false"/>
      <protection locked="true" hidden="false"/>
    </xf>
    <xf numFmtId="164" fontId="37" fillId="18" borderId="0" xfId="20" applyFont="true" applyBorder="true" applyAlignment="true" applyProtection="true">
      <alignment horizontal="center" vertical="center" textRotation="0" wrapText="false" indent="0" shrinkToFit="false"/>
      <protection locked="true" hidden="false"/>
    </xf>
    <xf numFmtId="164" fontId="72" fillId="18" borderId="0" xfId="0" applyFont="true" applyBorder="false" applyAlignment="true" applyProtection="true">
      <alignment horizontal="left" vertical="center" textRotation="0" wrapText="true" indent="0" shrinkToFit="false"/>
      <protection locked="true" hidden="false"/>
    </xf>
    <xf numFmtId="164" fontId="58" fillId="18" borderId="36" xfId="0" applyFont="true" applyBorder="true" applyAlignment="true" applyProtection="true">
      <alignment horizontal="left" vertical="center" textRotation="0" wrapText="true" indent="0" shrinkToFit="false"/>
      <protection locked="true" hidden="false"/>
    </xf>
    <xf numFmtId="164" fontId="11" fillId="18" borderId="36" xfId="20" applyFont="true" applyBorder="true" applyAlignment="true" applyProtection="true">
      <alignment horizontal="center" vertical="center" textRotation="0" wrapText="false" indent="0" shrinkToFit="false"/>
      <protection locked="true" hidden="false"/>
    </xf>
    <xf numFmtId="164" fontId="58" fillId="18" borderId="0" xfId="0" applyFont="true" applyBorder="false" applyAlignment="true" applyProtection="true">
      <alignment horizontal="left" vertical="center" textRotation="0" wrapText="true" indent="0" shrinkToFit="false"/>
      <protection locked="true" hidden="false"/>
    </xf>
    <xf numFmtId="164" fontId="11" fillId="18" borderId="0" xfId="20" applyFont="true" applyBorder="true" applyAlignment="true" applyProtection="true">
      <alignment horizontal="center" vertical="center" textRotation="0" wrapText="false" indent="0" shrinkToFit="false"/>
      <protection locked="true" hidden="false"/>
    </xf>
    <xf numFmtId="164" fontId="27" fillId="18" borderId="0" xfId="0" applyFont="true" applyBorder="false" applyAlignment="true" applyProtection="true">
      <alignment horizontal="center" vertical="center" textRotation="0" wrapText="false" indent="0" shrinkToFit="false"/>
      <protection locked="true" hidden="false"/>
    </xf>
    <xf numFmtId="164" fontId="82" fillId="18" borderId="34" xfId="20" applyFont="true" applyBorder="true" applyAlignment="true" applyProtection="true">
      <alignment horizontal="center" vertical="center" textRotation="0" wrapText="false" indent="0" shrinkToFit="false"/>
      <protection locked="true" hidden="false"/>
    </xf>
    <xf numFmtId="164" fontId="11" fillId="18" borderId="34" xfId="125" applyFont="true" applyBorder="true" applyAlignment="true" applyProtection="true">
      <alignment horizontal="center" vertical="center" textRotation="0" wrapText="false" indent="0" shrinkToFit="false"/>
      <protection locked="true" hidden="false"/>
    </xf>
    <xf numFmtId="164" fontId="78" fillId="18" borderId="34" xfId="0" applyFont="true" applyBorder="true" applyAlignment="true" applyProtection="true">
      <alignment horizontal="center" vertical="center" textRotation="0" wrapText="false" indent="0" shrinkToFit="false"/>
      <protection locked="true" hidden="false"/>
    </xf>
    <xf numFmtId="164" fontId="78" fillId="18" borderId="39" xfId="0" applyFont="true" applyBorder="true" applyAlignment="true" applyProtection="true">
      <alignment horizontal="center" vertical="center" textRotation="0" wrapText="fals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28" fillId="0" borderId="0" xfId="0" applyFont="true" applyBorder="false" applyAlignment="true" applyProtection="true">
      <alignment horizontal="center" vertical="bottom" textRotation="0" wrapText="false" indent="0" shrinkToFit="false"/>
      <protection locked="true" hidden="false"/>
    </xf>
    <xf numFmtId="164" fontId="84" fillId="0" borderId="0" xfId="0" applyFont="true" applyBorder="false" applyAlignment="true" applyProtection="true">
      <alignment horizontal="center" vertical="center" textRotation="0" wrapText="false" indent="0" shrinkToFit="false"/>
      <protection locked="true" hidden="false"/>
    </xf>
    <xf numFmtId="164" fontId="29" fillId="0" borderId="0" xfId="0" applyFont="true" applyBorder="false" applyAlignment="true" applyProtection="true">
      <alignment horizontal="center" vertical="bottom" textRotation="0" wrapText="false" indent="0" shrinkToFit="false"/>
      <protection locked="true" hidden="false"/>
    </xf>
    <xf numFmtId="164" fontId="85"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4" fontId="7" fillId="14" borderId="0" xfId="0" applyFont="true" applyBorder="false" applyAlignment="true" applyProtection="true">
      <alignment horizontal="center" vertical="bottom" textRotation="0" wrapText="false" indent="0" shrinkToFit="false"/>
      <protection locked="true" hidden="false"/>
    </xf>
    <xf numFmtId="164" fontId="86" fillId="14" borderId="0" xfId="0" applyFont="true" applyBorder="false" applyAlignment="true" applyProtection="true">
      <alignment horizontal="center" vertical="bottom" textRotation="0" wrapText="false" indent="0" shrinkToFit="false"/>
      <protection locked="true" hidden="false"/>
    </xf>
    <xf numFmtId="164" fontId="87" fillId="0" borderId="0" xfId="0" applyFont="true" applyBorder="false" applyAlignment="true" applyProtection="true">
      <alignment horizontal="center" vertical="bottom" textRotation="0" wrapText="false" indent="0" shrinkToFit="false"/>
      <protection locked="true" hidden="false"/>
    </xf>
    <xf numFmtId="164" fontId="88" fillId="29" borderId="0" xfId="20" applyFont="true" applyBorder="true" applyAlignment="true" applyProtection="true">
      <alignment horizontal="center" vertical="center" textRotation="0" wrapText="true" indent="0" shrinkToFit="false"/>
      <protection locked="true" hidden="false"/>
    </xf>
    <xf numFmtId="164" fontId="89" fillId="18" borderId="0" xfId="0" applyFont="true" applyBorder="false" applyAlignment="true" applyProtection="true">
      <alignment horizontal="center" vertical="bottom" textRotation="0" wrapText="false" indent="0" shrinkToFit="false"/>
      <protection locked="true" hidden="false"/>
    </xf>
    <xf numFmtId="164" fontId="90" fillId="32" borderId="34" xfId="0" applyFont="true" applyBorder="true" applyAlignment="true" applyProtection="true">
      <alignment horizontal="center" vertical="center" textRotation="0" wrapText="false" indent="0" shrinkToFit="false"/>
      <protection locked="true" hidden="false"/>
    </xf>
    <xf numFmtId="164" fontId="91" fillId="4" borderId="21" xfId="0" applyFont="true" applyBorder="true" applyAlignment="true" applyProtection="true">
      <alignment horizontal="center" vertical="center" textRotation="0" wrapText="true" indent="0" shrinkToFit="false"/>
      <protection locked="true" hidden="false"/>
    </xf>
    <xf numFmtId="164" fontId="91" fillId="19" borderId="21" xfId="0" applyFont="true" applyBorder="true" applyAlignment="true" applyProtection="true">
      <alignment horizontal="center" vertical="center" textRotation="0" wrapText="true" indent="0" shrinkToFit="false"/>
      <protection locked="true" hidden="false"/>
    </xf>
    <xf numFmtId="164" fontId="20" fillId="19" borderId="21" xfId="0" applyFont="true" applyBorder="true" applyAlignment="true" applyProtection="true">
      <alignment horizontal="center" vertical="bottom" textRotation="0" wrapText="false" indent="0" shrinkToFit="false"/>
      <protection locked="true" hidden="false"/>
    </xf>
    <xf numFmtId="169" fontId="4" fillId="0" borderId="21" xfId="19" applyFont="true" applyBorder="true" applyAlignment="true" applyProtection="true">
      <alignment horizontal="center" vertical="bottom" textRotation="0" wrapText="false" indent="0" shrinkToFit="false"/>
      <protection locked="true" hidden="false"/>
    </xf>
    <xf numFmtId="169" fontId="0" fillId="0" borderId="21" xfId="0" applyFont="false" applyBorder="true" applyAlignment="true" applyProtection="true">
      <alignment horizontal="center" vertical="bottom" textRotation="0" wrapText="false" indent="0" shrinkToFit="false"/>
      <protection locked="true" hidden="false"/>
    </xf>
    <xf numFmtId="169" fontId="54" fillId="0" borderId="21" xfId="19" applyFont="true" applyBorder="true" applyAlignment="true" applyProtection="true">
      <alignment horizontal="center" vertical="bottom" textRotation="0" wrapText="false" indent="0" shrinkToFit="false"/>
      <protection locked="true" hidden="false"/>
    </xf>
    <xf numFmtId="169" fontId="54" fillId="0" borderId="21" xfId="0" applyFont="true" applyBorder="true" applyAlignment="true" applyProtection="true">
      <alignment horizontal="center" vertical="bottom" textRotation="0" wrapText="false" indent="0" shrinkToFit="false"/>
      <protection locked="true" hidden="false"/>
    </xf>
    <xf numFmtId="164" fontId="92" fillId="0" borderId="0" xfId="20" applyFont="true" applyBorder="true" applyAlignment="true" applyProtection="true">
      <alignment horizontal="center" vertical="bottom" textRotation="0" wrapText="false" indent="0" shrinkToFit="false"/>
      <protection locked="true" hidden="false"/>
    </xf>
    <xf numFmtId="164" fontId="90" fillId="32" borderId="21" xfId="0" applyFont="true" applyBorder="true" applyAlignment="true" applyProtection="true">
      <alignment horizontal="center" vertical="center" textRotation="0" wrapText="false" indent="0" shrinkToFit="false"/>
      <protection locked="true" hidden="false"/>
    </xf>
    <xf numFmtId="164" fontId="91" fillId="19" borderId="21" xfId="0" applyFont="true" applyBorder="true" applyAlignment="true" applyProtection="true">
      <alignment horizontal="center" vertical="center" textRotation="0" wrapText="false" indent="0" shrinkToFit="false"/>
      <protection locked="true" hidden="false"/>
    </xf>
    <xf numFmtId="164" fontId="93" fillId="32" borderId="21" xfId="0" applyFont="true" applyBorder="true" applyAlignment="true" applyProtection="true">
      <alignment horizontal="center" vertical="bottom" textRotation="0" wrapText="false" indent="0" shrinkToFit="false"/>
      <protection locked="true" hidden="false"/>
    </xf>
    <xf numFmtId="164" fontId="20" fillId="4" borderId="21" xfId="0" applyFont="true" applyBorder="true" applyAlignment="true" applyProtection="true">
      <alignment horizontal="center" vertical="center" textRotation="0" wrapText="false" indent="0" shrinkToFit="false"/>
      <protection locked="true" hidden="false"/>
    </xf>
    <xf numFmtId="164" fontId="4" fillId="0" borderId="21" xfId="0" applyFont="true" applyBorder="true" applyAlignment="true" applyProtection="true">
      <alignment horizontal="left" vertical="center" textRotation="0" wrapText="false" indent="0" shrinkToFit="false"/>
      <protection locked="true" hidden="false"/>
    </xf>
    <xf numFmtId="164" fontId="94" fillId="0" borderId="0" xfId="0" applyFont="true" applyBorder="false" applyAlignment="true" applyProtection="true">
      <alignment horizontal="general" vertical="bottom" textRotation="0" wrapText="false" indent="0" shrinkToFit="false"/>
      <protection locked="true" hidden="false"/>
    </xf>
    <xf numFmtId="164" fontId="95" fillId="0" borderId="34" xfId="0" applyFont="true" applyBorder="true" applyAlignment="true" applyProtection="true">
      <alignment horizontal="center" vertical="center" textRotation="0" wrapText="false" indent="0" shrinkToFit="false"/>
      <protection locked="true" hidden="false"/>
    </xf>
    <xf numFmtId="164" fontId="7" fillId="29" borderId="0" xfId="20" applyFont="true" applyBorder="true" applyAlignment="true" applyProtection="true">
      <alignment horizontal="center" vertical="center" textRotation="0" wrapText="true" indent="0" shrinkToFit="false"/>
      <protection locked="true" hidden="false"/>
    </xf>
    <xf numFmtId="164" fontId="27" fillId="4" borderId="21" xfId="0" applyFont="true" applyBorder="true" applyAlignment="true" applyProtection="true">
      <alignment horizontal="center" vertical="center" textRotation="0" wrapText="false" indent="0" shrinkToFit="false"/>
      <protection locked="true" hidden="false"/>
    </xf>
    <xf numFmtId="164" fontId="27" fillId="4" borderId="21" xfId="0" applyFont="true" applyBorder="true" applyAlignment="true" applyProtection="true">
      <alignment horizontal="center" vertical="center" textRotation="0" wrapText="true" indent="0" shrinkToFit="false"/>
      <protection locked="true" hidden="false"/>
    </xf>
    <xf numFmtId="164" fontId="27" fillId="4" borderId="39" xfId="0" applyFont="true" applyBorder="true" applyAlignment="true" applyProtection="true">
      <alignment horizontal="center" vertical="center" textRotation="0" wrapText="true" indent="0" shrinkToFit="false"/>
      <protection locked="true" hidden="false"/>
    </xf>
    <xf numFmtId="164" fontId="38" fillId="6" borderId="39" xfId="0" applyFont="true" applyBorder="true" applyAlignment="true" applyProtection="true">
      <alignment horizontal="center" vertical="center" textRotation="0" wrapText="true" indent="0" shrinkToFit="false"/>
      <protection locked="true" hidden="false"/>
    </xf>
    <xf numFmtId="164" fontId="38" fillId="6" borderId="21" xfId="0" applyFont="true" applyBorder="true" applyAlignment="true" applyProtection="true">
      <alignment horizontal="center" vertical="center" textRotation="0" wrapText="true" indent="0" shrinkToFit="false"/>
      <protection locked="true" hidden="false"/>
    </xf>
    <xf numFmtId="164" fontId="63" fillId="0" borderId="21" xfId="0" applyFont="true" applyBorder="true" applyAlignment="true" applyProtection="true">
      <alignment horizontal="left" vertical="center" textRotation="0" wrapText="true" indent="0" shrinkToFit="false"/>
      <protection locked="true" hidden="false"/>
    </xf>
    <xf numFmtId="164" fontId="32" fillId="0" borderId="21" xfId="0" applyFont="true" applyBorder="true" applyAlignment="true" applyProtection="true">
      <alignment horizontal="left" vertical="center" textRotation="0" wrapText="true" indent="0" shrinkToFit="false"/>
      <protection locked="true" hidden="false"/>
    </xf>
    <xf numFmtId="164" fontId="96" fillId="0" borderId="21" xfId="0" applyFont="true" applyBorder="true" applyAlignment="true" applyProtection="true">
      <alignment horizontal="left" vertical="center" textRotation="0" wrapText="true" indent="0" shrinkToFit="false"/>
      <protection locked="true" hidden="false"/>
    </xf>
    <xf numFmtId="164" fontId="94" fillId="0" borderId="21" xfId="0" applyFont="true" applyBorder="true" applyAlignment="true" applyProtection="true">
      <alignment horizontal="center" vertical="center" textRotation="0" wrapText="true" indent="0" shrinkToFit="false"/>
      <protection locked="true" hidden="false"/>
    </xf>
    <xf numFmtId="164" fontId="94" fillId="0" borderId="22" xfId="0" applyFont="true" applyBorder="true" applyAlignment="true" applyProtection="true">
      <alignment horizontal="right" vertical="center" textRotation="0" wrapText="true" indent="0" shrinkToFit="false"/>
      <protection locked="true" hidden="false"/>
    </xf>
    <xf numFmtId="164" fontId="38" fillId="0" borderId="21" xfId="0" applyFont="true" applyBorder="true" applyAlignment="true" applyProtection="true">
      <alignment horizontal="center" vertical="bottom" textRotation="0" wrapText="false" indent="0" shrinkToFit="false"/>
      <protection locked="true" hidden="false"/>
    </xf>
    <xf numFmtId="164" fontId="64" fillId="0" borderId="23" xfId="0" applyFont="true" applyBorder="true" applyAlignment="true" applyProtection="true">
      <alignment horizontal="center" vertical="center" textRotation="0" wrapText="false" indent="0" shrinkToFit="false"/>
      <protection locked="true" hidden="false"/>
    </xf>
    <xf numFmtId="164" fontId="94" fillId="0" borderId="21" xfId="0" applyFont="true" applyBorder="true" applyAlignment="true" applyProtection="true">
      <alignment horizontal="center" vertical="center" textRotation="0" wrapText="false" indent="0" shrinkToFit="false"/>
      <protection locked="true" hidden="false"/>
    </xf>
    <xf numFmtId="164" fontId="94" fillId="0" borderId="0" xfId="0" applyFont="true" applyBorder="false" applyAlignment="true" applyProtection="true">
      <alignment horizontal="center" vertical="center" textRotation="0" wrapText="false" indent="0" shrinkToFit="false"/>
      <protection locked="true" hidden="false"/>
    </xf>
    <xf numFmtId="164" fontId="38" fillId="0" borderId="0" xfId="0" applyFont="true" applyBorder="false" applyAlignment="true" applyProtection="true">
      <alignment horizontal="general" vertical="bottom" textRotation="0" wrapText="false" indent="0" shrinkToFit="false"/>
      <protection locked="true" hidden="false"/>
    </xf>
    <xf numFmtId="164" fontId="34" fillId="0" borderId="38" xfId="0" applyFont="true" applyBorder="true" applyAlignment="true" applyProtection="true">
      <alignment horizontal="general" vertical="center" textRotation="0" wrapText="false" indent="0" shrinkToFit="false"/>
      <protection locked="true" hidden="false"/>
    </xf>
    <xf numFmtId="164" fontId="94" fillId="0" borderId="21" xfId="0" applyFont="true" applyBorder="true" applyAlignment="true" applyProtection="true">
      <alignment horizontal="right" vertical="center" textRotation="0" wrapText="true" indent="0" shrinkToFit="false"/>
      <protection locked="true" hidden="false"/>
    </xf>
    <xf numFmtId="164" fontId="34" fillId="0" borderId="0" xfId="0" applyFont="true" applyBorder="false" applyAlignment="true" applyProtection="true">
      <alignment horizontal="general" vertical="bottom" textRotation="0" wrapText="false" indent="0" shrinkToFit="false"/>
      <protection locked="true" hidden="false"/>
    </xf>
    <xf numFmtId="164" fontId="96" fillId="0" borderId="0" xfId="0" applyFont="true" applyBorder="false" applyAlignment="true" applyProtection="true">
      <alignment horizontal="general" vertical="bottom" textRotation="0" wrapText="false" indent="0" shrinkToFit="false"/>
      <protection locked="true" hidden="false"/>
    </xf>
    <xf numFmtId="164" fontId="94" fillId="0" borderId="21" xfId="0" applyFont="true" applyBorder="true" applyAlignment="true" applyProtection="true">
      <alignment horizontal="left" vertical="center" textRotation="0" wrapText="true" indent="0" shrinkToFit="false"/>
      <protection locked="true" hidden="false"/>
    </xf>
    <xf numFmtId="164" fontId="94" fillId="0" borderId="0" xfId="0" applyFont="true" applyBorder="false" applyAlignment="true" applyProtection="true">
      <alignment horizontal="general" vertical="center" textRotation="0" wrapText="false" indent="0" shrinkToFit="false"/>
      <protection locked="true" hidden="false"/>
    </xf>
    <xf numFmtId="164" fontId="32" fillId="6" borderId="36" xfId="0" applyFont="true" applyBorder="true" applyAlignment="true" applyProtection="true">
      <alignment horizontal="center" vertical="center" textRotation="0" wrapText="false" indent="0" shrinkToFit="false"/>
      <protection locked="true" hidden="false"/>
    </xf>
    <xf numFmtId="164" fontId="32" fillId="0" borderId="0" xfId="0" applyFont="true" applyBorder="false" applyAlignment="true" applyProtection="true">
      <alignment horizontal="general" vertical="center" textRotation="0" wrapText="false" indent="0" shrinkToFit="false"/>
      <protection locked="true" hidden="false"/>
    </xf>
    <xf numFmtId="164" fontId="97" fillId="0" borderId="36" xfId="0" applyFont="true" applyBorder="true" applyAlignment="true" applyProtection="true">
      <alignment horizontal="left" vertical="bottom" textRotation="0" wrapText="true" indent="0" shrinkToFit="false"/>
      <protection locked="true" hidden="false"/>
    </xf>
    <xf numFmtId="164" fontId="99" fillId="33" borderId="21" xfId="20" applyFont="true" applyBorder="true" applyAlignment="true" applyProtection="true">
      <alignment horizontal="center" vertical="center" textRotation="0" wrapText="false" indent="0" shrinkToFit="false"/>
      <protection locked="true" hidden="false"/>
    </xf>
    <xf numFmtId="164" fontId="58" fillId="4" borderId="21" xfId="0" applyFont="true" applyBorder="true" applyAlignment="true" applyProtection="true">
      <alignment horizontal="center" vertical="center" textRotation="90" wrapText="false" indent="0" shrinkToFit="false"/>
      <protection locked="true" hidden="false"/>
    </xf>
    <xf numFmtId="164" fontId="71" fillId="4" borderId="21" xfId="0" applyFont="true" applyBorder="true" applyAlignment="true" applyProtection="true">
      <alignment horizontal="center" vertical="center" textRotation="0" wrapText="false" indent="0" shrinkToFit="false"/>
      <protection locked="true" hidden="false"/>
    </xf>
    <xf numFmtId="164" fontId="71" fillId="6" borderId="21" xfId="0" applyFont="true" applyBorder="true" applyAlignment="true" applyProtection="true">
      <alignment horizontal="center" vertical="center" textRotation="0" wrapText="false" indent="0" shrinkToFit="false"/>
      <protection locked="true" hidden="false"/>
    </xf>
    <xf numFmtId="164" fontId="58" fillId="6" borderId="22" xfId="0" applyFont="true" applyBorder="true" applyAlignment="true" applyProtection="true">
      <alignment horizontal="center" vertical="center" textRotation="0" wrapText="false" indent="0" shrinkToFit="false"/>
      <protection locked="true" hidden="false"/>
    </xf>
    <xf numFmtId="164" fontId="58" fillId="0" borderId="0" xfId="0" applyFont="true" applyBorder="false" applyAlignment="true" applyProtection="true">
      <alignment horizontal="center" vertical="center" textRotation="0" wrapText="false" indent="0" shrinkToFit="false"/>
      <protection locked="true" hidden="false"/>
    </xf>
    <xf numFmtId="164" fontId="72" fillId="0" borderId="34" xfId="0" applyFont="true" applyBorder="true" applyAlignment="true" applyProtection="true">
      <alignment horizontal="general" vertical="bottom" textRotation="0" wrapText="false" indent="0" shrinkToFit="false"/>
      <protection locked="true" hidden="false"/>
    </xf>
    <xf numFmtId="164" fontId="71" fillId="19" borderId="21" xfId="0" applyFont="true" applyBorder="true" applyAlignment="true" applyProtection="true">
      <alignment horizontal="center" vertical="center" textRotation="0" wrapText="false" indent="0" shrinkToFit="false"/>
      <protection locked="true" hidden="false"/>
    </xf>
    <xf numFmtId="164" fontId="71" fillId="17" borderId="21" xfId="0" applyFont="true" applyBorder="true" applyAlignment="true" applyProtection="true">
      <alignment horizontal="center" vertical="center" textRotation="0" wrapText="true" indent="0" shrinkToFit="false"/>
      <protection locked="true" hidden="false"/>
    </xf>
    <xf numFmtId="164" fontId="27" fillId="19" borderId="21" xfId="0" applyFont="true" applyBorder="true" applyAlignment="true" applyProtection="true">
      <alignment horizontal="center" vertical="center" textRotation="0" wrapText="false" indent="0" shrinkToFit="false"/>
      <protection locked="true" hidden="false"/>
    </xf>
    <xf numFmtId="164" fontId="27" fillId="19" borderId="22" xfId="0" applyFont="true" applyBorder="true" applyAlignment="true" applyProtection="true">
      <alignment horizontal="center" vertical="center" textRotation="0" wrapText="false" indent="0" shrinkToFit="false"/>
      <protection locked="true" hidden="false"/>
    </xf>
    <xf numFmtId="164" fontId="71" fillId="4" borderId="21" xfId="0" applyFont="true" applyBorder="true" applyAlignment="true" applyProtection="true">
      <alignment horizontal="center" vertical="center" textRotation="0" wrapText="true" indent="0" shrinkToFit="false"/>
      <protection locked="true" hidden="false"/>
    </xf>
    <xf numFmtId="172" fontId="58" fillId="0" borderId="26" xfId="0" applyFont="true" applyBorder="true" applyAlignment="true" applyProtection="true">
      <alignment horizontal="center" vertical="center" textRotation="0" wrapText="false" indent="0" shrinkToFit="false"/>
      <protection locked="true" hidden="false"/>
    </xf>
    <xf numFmtId="164" fontId="72" fillId="0" borderId="21" xfId="0" applyFont="true" applyBorder="true" applyAlignment="true" applyProtection="true">
      <alignment horizontal="center" vertical="center" textRotation="0" wrapText="false" indent="0" shrinkToFit="false"/>
      <protection locked="true" hidden="false"/>
    </xf>
    <xf numFmtId="164" fontId="72" fillId="0" borderId="22" xfId="0" applyFont="true" applyBorder="true" applyAlignment="true" applyProtection="true">
      <alignment horizontal="center" vertical="center" textRotation="0" wrapText="false" indent="0" shrinkToFit="false"/>
      <protection locked="true" hidden="false"/>
    </xf>
    <xf numFmtId="164" fontId="58" fillId="17" borderId="21" xfId="0" applyFont="true" applyBorder="true" applyAlignment="true" applyProtection="true">
      <alignment horizontal="center" vertical="center" textRotation="0" wrapText="false" indent="0" shrinkToFit="false"/>
      <protection locked="true" hidden="false"/>
    </xf>
    <xf numFmtId="169" fontId="58" fillId="17" borderId="21" xfId="19" applyFont="true" applyBorder="true" applyAlignment="true" applyProtection="true">
      <alignment horizontal="center" vertical="center" textRotation="0" wrapText="false" indent="0" shrinkToFit="false"/>
      <protection locked="true" hidden="false"/>
    </xf>
    <xf numFmtId="164" fontId="58" fillId="0" borderId="26" xfId="0" applyFont="true" applyBorder="true" applyAlignment="true" applyProtection="true">
      <alignment horizontal="center" vertical="center" textRotation="0" wrapText="false" indent="0" shrinkToFit="false"/>
      <protection locked="true" hidden="false"/>
    </xf>
    <xf numFmtId="172" fontId="72" fillId="0" borderId="21" xfId="0" applyFont="true" applyBorder="true" applyAlignment="true" applyProtection="true">
      <alignment horizontal="center" vertical="center" textRotation="0" wrapText="true" indent="0" shrinkToFit="false"/>
      <protection locked="true" hidden="false"/>
    </xf>
    <xf numFmtId="164" fontId="0" fillId="34" borderId="0" xfId="0" applyFont="false" applyBorder="false" applyAlignment="true" applyProtection="true">
      <alignment horizontal="general" vertical="bottom" textRotation="0" wrapText="false" indent="0" shrinkToFit="false"/>
      <protection locked="true" hidden="false"/>
    </xf>
    <xf numFmtId="164" fontId="100" fillId="34" borderId="19" xfId="0" applyFont="true" applyBorder="true" applyAlignment="true" applyProtection="true">
      <alignment horizontal="right" vertical="center" textRotation="0" wrapText="true" indent="0" shrinkToFit="false"/>
      <protection locked="true" hidden="false"/>
    </xf>
    <xf numFmtId="164" fontId="100" fillId="34" borderId="11" xfId="0" applyFont="true" applyBorder="true" applyAlignment="true" applyProtection="true">
      <alignment horizontal="center" vertical="center" textRotation="0" wrapText="false" indent="0" shrinkToFit="false"/>
      <protection locked="true" hidden="false"/>
    </xf>
    <xf numFmtId="164" fontId="101" fillId="34" borderId="0" xfId="0" applyFont="true" applyBorder="false" applyAlignment="true" applyProtection="true">
      <alignment horizontal="center" vertical="center" textRotation="0" wrapText="false" indent="0" shrinkToFit="false"/>
      <protection locked="true" hidden="false"/>
    </xf>
    <xf numFmtId="164" fontId="101" fillId="34" borderId="21" xfId="0" applyFont="true" applyBorder="true" applyAlignment="true" applyProtection="true">
      <alignment horizontal="center" vertical="center" textRotation="0" wrapText="false" indent="0" shrinkToFit="false"/>
      <protection locked="true" hidden="false"/>
    </xf>
    <xf numFmtId="169" fontId="100" fillId="34" borderId="21" xfId="19" applyFont="true" applyBorder="true" applyAlignment="true" applyProtection="true">
      <alignment horizontal="center" vertical="center" textRotation="0" wrapText="false" indent="0" shrinkToFit="false"/>
      <protection locked="true" hidden="false"/>
    </xf>
    <xf numFmtId="164" fontId="72" fillId="0" borderId="0" xfId="0" applyFont="true" applyBorder="false" applyAlignment="true" applyProtection="true">
      <alignment horizontal="center" vertical="bottom" textRotation="0" wrapText="false" indent="0" shrinkToFit="false"/>
      <protection locked="true" hidden="false"/>
    </xf>
    <xf numFmtId="164" fontId="33" fillId="0" borderId="0" xfId="0" applyFont="true" applyBorder="false" applyAlignment="true" applyProtection="true">
      <alignment horizontal="general" vertical="bottom" textRotation="0" wrapText="false" indent="0" shrinkToFit="false"/>
      <protection locked="true" hidden="false"/>
    </xf>
    <xf numFmtId="164" fontId="63" fillId="6" borderId="36" xfId="0" applyFont="true" applyBorder="true" applyAlignment="true" applyProtection="true">
      <alignment horizontal="center" vertical="center" textRotation="0" wrapText="true" indent="0" shrinkToFit="false"/>
      <protection locked="true" hidden="false"/>
    </xf>
    <xf numFmtId="164" fontId="72" fillId="0" borderId="0" xfId="0" applyFont="true" applyBorder="false" applyAlignment="true" applyProtection="true">
      <alignment horizontal="general" vertical="center" textRotation="0" wrapText="false" indent="0" shrinkToFit="false"/>
      <protection locked="true" hidden="false"/>
    </xf>
    <xf numFmtId="164" fontId="102" fillId="18" borderId="0" xfId="0" applyFont="true" applyBorder="false" applyAlignment="true" applyProtection="true">
      <alignment horizontal="general" vertical="center" textRotation="0" wrapText="true" indent="0" shrinkToFit="false"/>
      <protection locked="true" hidden="false"/>
    </xf>
    <xf numFmtId="164" fontId="103" fillId="18" borderId="0" xfId="0" applyFont="true" applyBorder="false" applyAlignment="true" applyProtection="true">
      <alignment horizontal="general" vertical="center" textRotation="0" wrapText="true" indent="0" shrinkToFit="false"/>
      <protection locked="true" hidden="false"/>
    </xf>
    <xf numFmtId="164" fontId="102" fillId="18" borderId="21" xfId="0" applyFont="true" applyBorder="true" applyAlignment="true" applyProtection="true">
      <alignment horizontal="left" vertical="center" textRotation="0" wrapText="true" indent="0" shrinkToFit="false"/>
      <protection locked="true" hidden="false"/>
    </xf>
    <xf numFmtId="164" fontId="104" fillId="18" borderId="21" xfId="0" applyFont="true" applyBorder="true" applyAlignment="true" applyProtection="true">
      <alignment horizontal="left" vertical="center" textRotation="0" wrapText="true" indent="0" shrinkToFit="false"/>
      <protection locked="true" hidden="false"/>
    </xf>
    <xf numFmtId="164" fontId="72" fillId="18" borderId="0" xfId="0" applyFont="true" applyBorder="false" applyAlignment="true" applyProtection="true">
      <alignment horizontal="center" vertical="bottom" textRotation="0" wrapText="false" indent="0" shrinkToFit="false"/>
      <protection locked="true" hidden="false"/>
    </xf>
    <xf numFmtId="164" fontId="62" fillId="4" borderId="21" xfId="117" applyFont="true" applyBorder="true" applyAlignment="true" applyProtection="true">
      <alignment horizontal="center" vertical="center" textRotation="90" wrapText="false" indent="0" shrinkToFit="false"/>
      <protection locked="true" hidden="false"/>
    </xf>
    <xf numFmtId="164" fontId="106" fillId="4" borderId="21" xfId="117" applyFont="true" applyBorder="true" applyAlignment="true" applyProtection="true">
      <alignment horizontal="center" vertical="center" textRotation="0" wrapText="true" indent="0" shrinkToFit="false"/>
      <protection locked="true" hidden="false"/>
    </xf>
    <xf numFmtId="164" fontId="106" fillId="19" borderId="21" xfId="117" applyFont="true" applyBorder="true" applyAlignment="true" applyProtection="true">
      <alignment horizontal="center" vertical="center" textRotation="0" wrapText="true" indent="0" shrinkToFit="false"/>
      <protection locked="true" hidden="false"/>
    </xf>
    <xf numFmtId="164" fontId="106" fillId="8" borderId="21" xfId="117" applyFont="true" applyBorder="true" applyAlignment="true" applyProtection="true">
      <alignment horizontal="center" vertical="center" textRotation="0" wrapText="true" indent="0" shrinkToFit="false"/>
      <protection locked="true" hidden="false"/>
    </xf>
    <xf numFmtId="164" fontId="106" fillId="6" borderId="21" xfId="117" applyFont="true" applyBorder="true" applyAlignment="true" applyProtection="true">
      <alignment horizontal="center" vertical="center" textRotation="0" wrapText="true" indent="0" shrinkToFit="false"/>
      <protection locked="true" hidden="false"/>
    </xf>
    <xf numFmtId="164" fontId="53" fillId="4" borderId="21" xfId="0" applyFont="true" applyBorder="true" applyAlignment="true" applyProtection="true">
      <alignment horizontal="center" vertical="center" textRotation="0" wrapText="true" indent="0" shrinkToFit="false"/>
      <protection locked="true" hidden="false"/>
    </xf>
    <xf numFmtId="164" fontId="53" fillId="4" borderId="21" xfId="0" applyFont="true" applyBorder="true" applyAlignment="true" applyProtection="true">
      <alignment horizontal="center" vertical="center" textRotation="0" wrapText="false" indent="0" shrinkToFit="false"/>
      <protection locked="true" hidden="false"/>
    </xf>
    <xf numFmtId="164" fontId="107" fillId="18" borderId="21" xfId="0" applyFont="true" applyBorder="true" applyAlignment="true" applyProtection="true">
      <alignment horizontal="center" vertical="center" textRotation="0" wrapText="true" indent="0" shrinkToFit="false"/>
      <protection locked="true" hidden="false"/>
    </xf>
    <xf numFmtId="164" fontId="72" fillId="8" borderId="21" xfId="0" applyFont="true" applyBorder="true" applyAlignment="true" applyProtection="true">
      <alignment horizontal="center" vertical="center" textRotation="0" wrapText="false" indent="0" shrinkToFit="false"/>
      <protection locked="true" hidden="false"/>
    </xf>
    <xf numFmtId="164" fontId="64" fillId="0" borderId="21" xfId="0" applyFont="true" applyBorder="true" applyAlignment="true" applyProtection="true">
      <alignment horizontal="center" vertical="center" textRotation="0" wrapText="false" indent="0" shrinkToFit="false"/>
      <protection locked="true" hidden="false"/>
    </xf>
    <xf numFmtId="164" fontId="107" fillId="0" borderId="21" xfId="0" applyFont="true" applyBorder="true" applyAlignment="true" applyProtection="true">
      <alignment horizontal="general" vertical="bottom" textRotation="0" wrapText="false" indent="0" shrinkToFit="false"/>
      <protection locked="true" hidden="false"/>
    </xf>
    <xf numFmtId="164" fontId="64" fillId="0" borderId="0" xfId="0" applyFont="true" applyBorder="false" applyAlignment="true" applyProtection="true">
      <alignment horizontal="general" vertical="bottom" textRotation="0" wrapText="false" indent="0" shrinkToFit="false"/>
      <protection locked="true" hidden="false"/>
    </xf>
    <xf numFmtId="164" fontId="64" fillId="0" borderId="21" xfId="0" applyFont="true" applyBorder="true" applyAlignment="true" applyProtection="true">
      <alignment horizontal="general" vertical="bottom" textRotation="0" wrapText="false" indent="0" shrinkToFit="false"/>
      <protection locked="true" hidden="false"/>
    </xf>
    <xf numFmtId="164" fontId="108" fillId="0" borderId="21" xfId="0" applyFont="true" applyBorder="true" applyAlignment="true" applyProtection="true">
      <alignment horizontal="general" vertical="bottom" textRotation="0" wrapText="false" indent="0" shrinkToFit="false"/>
      <protection locked="true" hidden="false"/>
    </xf>
    <xf numFmtId="164" fontId="108" fillId="0" borderId="0" xfId="0" applyFont="true" applyBorder="false" applyAlignment="true" applyProtection="true">
      <alignment horizontal="general" vertical="bottom" textRotation="0" wrapText="false" indent="0" shrinkToFit="false"/>
      <protection locked="true" hidden="false"/>
    </xf>
    <xf numFmtId="164" fontId="64" fillId="18" borderId="21" xfId="0" applyFont="true" applyBorder="true" applyAlignment="true" applyProtection="true">
      <alignment horizontal="center" vertical="center" textRotation="0" wrapText="true" indent="0" shrinkToFit="false"/>
      <protection locked="true" hidden="false"/>
    </xf>
    <xf numFmtId="164" fontId="72" fillId="0" borderId="0" xfId="0" applyFont="true" applyBorder="false" applyAlignment="true" applyProtection="true">
      <alignment horizontal="center" vertical="center" textRotation="0" wrapText="false" indent="0" shrinkToFit="false"/>
      <protection locked="true" hidden="false"/>
    </xf>
    <xf numFmtId="164" fontId="109" fillId="6" borderId="21" xfId="0" applyFont="true" applyBorder="true" applyAlignment="true" applyProtection="true">
      <alignment horizontal="general" vertical="center" textRotation="0" wrapText="false" indent="0" shrinkToFit="false"/>
      <protection locked="true" hidden="false"/>
    </xf>
    <xf numFmtId="164" fontId="109" fillId="0" borderId="0" xfId="0" applyFont="true" applyBorder="false" applyAlignment="true" applyProtection="true">
      <alignment horizontal="general" vertical="center" textRotation="0" wrapText="false" indent="0" shrinkToFit="false"/>
      <protection locked="true" hidden="false"/>
    </xf>
    <xf numFmtId="164" fontId="29" fillId="0" borderId="0" xfId="0" applyFont="true" applyBorder="false" applyAlignment="true" applyProtection="true">
      <alignment horizontal="center" vertical="center" textRotation="0" wrapText="false" indent="0" shrinkToFit="false"/>
      <protection locked="true" hidden="false"/>
    </xf>
    <xf numFmtId="164" fontId="32" fillId="6" borderId="0" xfId="0" applyFont="true" applyBorder="false" applyAlignment="true" applyProtection="true">
      <alignment horizontal="center" vertical="center" textRotation="0" wrapText="false" indent="0" shrinkToFit="false"/>
      <protection locked="true" hidden="false"/>
    </xf>
    <xf numFmtId="164" fontId="110" fillId="0" borderId="36" xfId="0" applyFont="true" applyBorder="true" applyAlignment="true" applyProtection="true">
      <alignment horizontal="general" vertical="center" textRotation="0" wrapText="true" indent="0" shrinkToFit="false"/>
      <protection locked="true" hidden="false"/>
    </xf>
    <xf numFmtId="164" fontId="104" fillId="0" borderId="21" xfId="79" applyFont="true" applyBorder="true" applyAlignment="true" applyProtection="true">
      <alignment horizontal="left" vertical="top" textRotation="0" wrapText="true" indent="0" shrinkToFit="false"/>
      <protection locked="true" hidden="false"/>
    </xf>
    <xf numFmtId="164" fontId="104" fillId="0" borderId="0" xfId="79" applyFont="true" applyBorder="true" applyAlignment="true" applyProtection="true">
      <alignment horizontal="general" vertical="top" textRotation="0" wrapText="true" indent="0" shrinkToFit="false"/>
      <protection locked="true" hidden="false"/>
    </xf>
    <xf numFmtId="164" fontId="71" fillId="18" borderId="21" xfId="0" applyFont="true" applyBorder="true" applyAlignment="true" applyProtection="true">
      <alignment horizontal="center" vertical="center" textRotation="0" wrapText="false" indent="0" shrinkToFit="false"/>
      <protection locked="true" hidden="false"/>
    </xf>
    <xf numFmtId="164" fontId="62" fillId="6" borderId="21" xfId="0" applyFont="true" applyBorder="true" applyAlignment="true" applyProtection="true">
      <alignment horizontal="center" vertical="center" textRotation="0" wrapText="false" indent="0" shrinkToFit="false"/>
      <protection locked="true" hidden="false"/>
    </xf>
    <xf numFmtId="164" fontId="58" fillId="6" borderId="21" xfId="0" applyFont="true" applyBorder="true" applyAlignment="true" applyProtection="true">
      <alignment horizontal="center" vertical="center" textRotation="0" wrapText="false" indent="0" shrinkToFit="false"/>
      <protection locked="true" hidden="false"/>
    </xf>
    <xf numFmtId="164" fontId="62" fillId="6" borderId="21" xfId="0" applyFont="true" applyBorder="true" applyAlignment="true" applyProtection="true">
      <alignment horizontal="center" vertical="center" textRotation="0" wrapText="true" indent="0" shrinkToFit="false"/>
      <protection locked="true" hidden="false"/>
    </xf>
    <xf numFmtId="164" fontId="106" fillId="6" borderId="21" xfId="0" applyFont="true" applyBorder="true" applyAlignment="true" applyProtection="true">
      <alignment horizontal="center" vertical="center" textRotation="90" wrapText="true" indent="0" shrinkToFit="false"/>
      <protection locked="true" hidden="false"/>
    </xf>
    <xf numFmtId="164" fontId="72" fillId="0" borderId="33" xfId="0" applyFont="true" applyBorder="true" applyAlignment="true" applyProtection="true">
      <alignment horizontal="center" vertical="bottom" textRotation="0" wrapText="false" indent="0" shrinkToFit="false"/>
      <protection locked="true" hidden="false"/>
    </xf>
    <xf numFmtId="164" fontId="27" fillId="17" borderId="21" xfId="0" applyFont="true" applyBorder="true" applyAlignment="true" applyProtection="true">
      <alignment horizontal="center" vertical="center" textRotation="0" wrapText="true" indent="0" shrinkToFit="false"/>
      <protection locked="true" hidden="false"/>
    </xf>
    <xf numFmtId="164" fontId="27" fillId="18" borderId="21" xfId="0" applyFont="true" applyBorder="true" applyAlignment="true" applyProtection="true">
      <alignment horizontal="center" vertical="center" textRotation="0" wrapText="false" indent="0" shrinkToFit="false"/>
      <protection locked="true" hidden="false"/>
    </xf>
    <xf numFmtId="164" fontId="28" fillId="0" borderId="0" xfId="0" applyFont="true" applyBorder="false" applyAlignment="true" applyProtection="true">
      <alignment horizontal="general" vertical="center" textRotation="0" wrapText="false" indent="0" shrinkToFit="false"/>
      <protection locked="true" hidden="false"/>
    </xf>
    <xf numFmtId="164" fontId="72" fillId="4" borderId="21" xfId="0" applyFont="true" applyBorder="true" applyAlignment="true" applyProtection="true">
      <alignment horizontal="center" vertical="center" textRotation="0" wrapText="false" indent="0" shrinkToFit="false"/>
      <protection locked="true" hidden="false"/>
    </xf>
    <xf numFmtId="164" fontId="72" fillId="0" borderId="21" xfId="0" applyFont="true" applyBorder="true" applyAlignment="true" applyProtection="true">
      <alignment horizontal="left" vertical="center" textRotation="0" wrapText="true" indent="0" shrinkToFit="false"/>
      <protection locked="true" hidden="false"/>
    </xf>
    <xf numFmtId="164" fontId="72" fillId="0" borderId="21" xfId="0" applyFont="true" applyBorder="true" applyAlignment="true" applyProtection="true">
      <alignment horizontal="center" vertical="center" textRotation="0" wrapText="true" indent="0" shrinkToFit="false"/>
      <protection locked="true" hidden="false"/>
    </xf>
    <xf numFmtId="169" fontId="28" fillId="0" borderId="22" xfId="19" applyFont="true" applyBorder="true" applyAlignment="true" applyProtection="true">
      <alignment horizontal="center" vertical="center" textRotation="0" wrapText="false" indent="0" shrinkToFit="false"/>
      <protection locked="true" hidden="false"/>
    </xf>
    <xf numFmtId="169" fontId="28" fillId="17" borderId="21" xfId="19" applyFont="true" applyBorder="true" applyAlignment="true" applyProtection="true">
      <alignment horizontal="center" vertical="center" textRotation="0" wrapText="false" indent="0" shrinkToFit="false"/>
      <protection locked="true" hidden="false"/>
    </xf>
    <xf numFmtId="164" fontId="72" fillId="18" borderId="21" xfId="0" applyFont="true" applyBorder="true" applyAlignment="true" applyProtection="true">
      <alignment horizontal="center" vertical="center" textRotation="0" wrapText="false" indent="0" shrinkToFit="false"/>
      <protection locked="true" hidden="false"/>
    </xf>
    <xf numFmtId="164" fontId="29" fillId="18" borderId="21" xfId="0" applyFont="true" applyBorder="true" applyAlignment="true" applyProtection="true">
      <alignment horizontal="left" vertical="center" textRotation="0" wrapText="true" indent="0" shrinkToFit="false"/>
      <protection locked="true" hidden="false"/>
    </xf>
    <xf numFmtId="164" fontId="72" fillId="0" borderId="28" xfId="0" applyFont="true" applyBorder="true" applyAlignment="true" applyProtection="true">
      <alignment horizontal="center" vertical="center" textRotation="0" wrapText="false" indent="0" shrinkToFit="false"/>
      <protection locked="true" hidden="false"/>
    </xf>
    <xf numFmtId="164" fontId="72" fillId="0" borderId="28" xfId="0" applyFont="true" applyBorder="true" applyAlignment="true" applyProtection="true">
      <alignment horizontal="left" vertical="center" textRotation="0" wrapText="true" indent="0" shrinkToFit="false"/>
      <protection locked="true" hidden="false"/>
    </xf>
    <xf numFmtId="164" fontId="72" fillId="0" borderId="28" xfId="0" applyFont="true" applyBorder="true" applyAlignment="true" applyProtection="true">
      <alignment horizontal="center" vertical="center" textRotation="0" wrapText="true" indent="0" shrinkToFit="false"/>
      <protection locked="true" hidden="false"/>
    </xf>
    <xf numFmtId="164" fontId="72" fillId="0" borderId="40" xfId="0" applyFont="true" applyBorder="true" applyAlignment="true" applyProtection="true">
      <alignment horizontal="center" vertical="center" textRotation="0" wrapText="false" indent="0" shrinkToFit="false"/>
      <protection locked="true" hidden="false"/>
    </xf>
    <xf numFmtId="164" fontId="100" fillId="34" borderId="11" xfId="0" applyFont="true" applyBorder="true" applyAlignment="true" applyProtection="true">
      <alignment horizontal="right" vertical="center" textRotation="0" wrapText="true" indent="0" shrinkToFit="false"/>
      <protection locked="true" hidden="false"/>
    </xf>
    <xf numFmtId="173" fontId="100" fillId="34" borderId="21" xfId="0" applyFont="true" applyBorder="true" applyAlignment="true" applyProtection="true">
      <alignment horizontal="center" vertical="center" textRotation="0" wrapText="false" indent="0" shrinkToFit="false"/>
      <protection locked="true" hidden="false"/>
    </xf>
    <xf numFmtId="170" fontId="100" fillId="34" borderId="21" xfId="0" applyFont="true" applyBorder="true" applyAlignment="true" applyProtection="true">
      <alignment horizontal="center" vertical="center" textRotation="0" wrapText="false" indent="0" shrinkToFit="false"/>
      <protection locked="true" hidden="false"/>
    </xf>
    <xf numFmtId="164" fontId="0" fillId="0" borderId="17" xfId="0" applyFont="false" applyBorder="true" applyAlignment="true" applyProtection="true">
      <alignment horizontal="general" vertical="bottom" textRotation="0" wrapText="false" indent="0" shrinkToFit="false"/>
      <protection locked="true" hidden="false"/>
    </xf>
    <xf numFmtId="164" fontId="30" fillId="17" borderId="21" xfId="0" applyFont="true" applyBorder="true" applyAlignment="true" applyProtection="true">
      <alignment horizontal="center" vertical="center" textRotation="0" wrapText="true" indent="0" shrinkToFit="false"/>
      <protection locked="true" hidden="false"/>
    </xf>
    <xf numFmtId="164" fontId="111" fillId="0" borderId="0" xfId="0" applyFont="true" applyBorder="false" applyAlignment="true" applyProtection="true">
      <alignment horizontal="general" vertical="bottom" textRotation="0" wrapText="false" indent="0" shrinkToFit="false"/>
      <protection locked="true" hidden="false"/>
    </xf>
    <xf numFmtId="164" fontId="113" fillId="0" borderId="0" xfId="0" applyFont="true" applyBorder="false" applyAlignment="true" applyProtection="true">
      <alignment horizontal="general" vertical="center" textRotation="0" wrapText="false" indent="0" shrinkToFit="false"/>
      <protection locked="true" hidden="false"/>
    </xf>
    <xf numFmtId="164" fontId="44" fillId="18" borderId="0" xfId="0" applyFont="true" applyBorder="false" applyAlignment="true" applyProtection="true">
      <alignment horizontal="general" vertical="center" textRotation="0" wrapText="true" indent="0" shrinkToFit="false"/>
      <protection locked="true" hidden="false"/>
    </xf>
    <xf numFmtId="164" fontId="69" fillId="18" borderId="0" xfId="0" applyFont="true" applyBorder="false" applyAlignment="true" applyProtection="true">
      <alignment horizontal="general" vertical="center" textRotation="0" wrapText="true" indent="0" shrinkToFit="false"/>
      <protection locked="true" hidden="false"/>
    </xf>
    <xf numFmtId="164" fontId="44" fillId="18" borderId="22" xfId="0" applyFont="true" applyBorder="true" applyAlignment="true" applyProtection="true">
      <alignment horizontal="left" vertical="center" textRotation="0" wrapText="true" indent="0" shrinkToFit="false"/>
      <protection locked="true" hidden="false"/>
    </xf>
    <xf numFmtId="164" fontId="114" fillId="18" borderId="21" xfId="0" applyFont="true" applyBorder="true" applyAlignment="true" applyProtection="true">
      <alignment horizontal="left" vertical="center" textRotation="0" wrapText="true" indent="0" shrinkToFit="false"/>
      <protection locked="true" hidden="false"/>
    </xf>
    <xf numFmtId="164" fontId="113" fillId="0" borderId="0" xfId="0" applyFont="true" applyBorder="false" applyAlignment="true" applyProtection="true">
      <alignment horizontal="general" vertical="bottom" textRotation="0" wrapText="false" indent="0" shrinkToFit="false"/>
      <protection locked="true" hidden="false"/>
    </xf>
    <xf numFmtId="164" fontId="113" fillId="18" borderId="0" xfId="0" applyFont="true" applyBorder="false" applyAlignment="true" applyProtection="true">
      <alignment horizontal="center" vertical="bottom" textRotation="0" wrapText="false" indent="0" shrinkToFit="false"/>
      <protection locked="true" hidden="false"/>
    </xf>
    <xf numFmtId="164" fontId="68" fillId="4" borderId="21" xfId="117" applyFont="true" applyBorder="true" applyAlignment="true" applyProtection="true">
      <alignment horizontal="center" vertical="center" textRotation="90" wrapText="false" indent="0" shrinkToFit="false"/>
      <protection locked="true" hidden="false"/>
    </xf>
    <xf numFmtId="164" fontId="116" fillId="4" borderId="21" xfId="117" applyFont="true" applyBorder="true" applyAlignment="true" applyProtection="true">
      <alignment horizontal="center" vertical="center" textRotation="0" wrapText="true" indent="0" shrinkToFit="false"/>
      <protection locked="true" hidden="false"/>
    </xf>
    <xf numFmtId="164" fontId="116" fillId="19" borderId="21" xfId="117" applyFont="true" applyBorder="true" applyAlignment="true" applyProtection="true">
      <alignment horizontal="center" vertical="center" textRotation="0" wrapText="true" indent="0" shrinkToFit="false"/>
      <protection locked="true" hidden="false"/>
    </xf>
    <xf numFmtId="164" fontId="116" fillId="6" borderId="21" xfId="117" applyFont="true" applyBorder="true" applyAlignment="true" applyProtection="true">
      <alignment horizontal="center" vertical="center" textRotation="0" wrapText="true" indent="0" shrinkToFit="false"/>
      <protection locked="true" hidden="false"/>
    </xf>
    <xf numFmtId="164" fontId="117" fillId="0" borderId="0" xfId="0" applyFont="true" applyBorder="false" applyAlignment="true" applyProtection="true">
      <alignment horizontal="general" vertical="bottom" textRotation="0" wrapText="false" indent="0" shrinkToFit="false"/>
      <protection locked="true" hidden="false"/>
    </xf>
    <xf numFmtId="164" fontId="117" fillId="0" borderId="21" xfId="0" applyFont="true" applyBorder="true" applyAlignment="true" applyProtection="true">
      <alignment horizontal="center" vertical="bottom" textRotation="0" wrapText="false" indent="0" shrinkToFit="false"/>
      <protection locked="true" hidden="false"/>
    </xf>
    <xf numFmtId="164" fontId="118" fillId="4" borderId="21" xfId="0" applyFont="true" applyBorder="true" applyAlignment="true" applyProtection="true">
      <alignment horizontal="center" vertical="center" textRotation="0" wrapText="true" indent="0" shrinkToFit="false"/>
      <protection locked="true" hidden="false"/>
    </xf>
    <xf numFmtId="164" fontId="118" fillId="4" borderId="21" xfId="0" applyFont="true" applyBorder="true" applyAlignment="true" applyProtection="true">
      <alignment horizontal="center" vertical="center" textRotation="0" wrapText="false" indent="0" shrinkToFit="false"/>
      <protection locked="true" hidden="false"/>
    </xf>
    <xf numFmtId="164" fontId="42" fillId="18" borderId="21" xfId="0" applyFont="true" applyBorder="true" applyAlignment="true" applyProtection="true">
      <alignment horizontal="center" vertical="center" textRotation="0" wrapText="true" indent="0" shrinkToFit="false"/>
      <protection locked="true" hidden="false"/>
    </xf>
    <xf numFmtId="164" fontId="46" fillId="18" borderId="21" xfId="0" applyFont="true" applyBorder="true" applyAlignment="true" applyProtection="true">
      <alignment horizontal="center" vertical="center" textRotation="0" wrapText="true" indent="0" shrinkToFit="false"/>
      <protection locked="true" hidden="false"/>
    </xf>
    <xf numFmtId="164" fontId="14" fillId="31" borderId="21" xfId="0" applyFont="true" applyBorder="true" applyAlignment="true" applyProtection="true">
      <alignment horizontal="center" vertical="center" textRotation="0" wrapText="false" indent="0" shrinkToFit="false"/>
      <protection locked="true" hidden="false"/>
    </xf>
    <xf numFmtId="164" fontId="107" fillId="0" borderId="21" xfId="0" applyFont="true" applyBorder="true" applyAlignment="true" applyProtection="true">
      <alignment horizontal="center" vertical="center" textRotation="0" wrapText="false" indent="0" shrinkToFit="false"/>
      <protection locked="true" hidden="false"/>
    </xf>
    <xf numFmtId="164" fontId="107" fillId="0" borderId="28" xfId="0" applyFont="true" applyBorder="true" applyAlignment="true" applyProtection="true">
      <alignment horizontal="general" vertical="bottom" textRotation="0" wrapText="false" indent="0" shrinkToFit="false"/>
      <protection locked="true" hidden="false"/>
    </xf>
    <xf numFmtId="164" fontId="107" fillId="0" borderId="0" xfId="0" applyFont="true" applyBorder="false" applyAlignment="true" applyProtection="true">
      <alignment horizontal="general" vertical="bottom" textRotation="0" wrapText="false" indent="0" shrinkToFit="false"/>
      <protection locked="true" hidden="false"/>
    </xf>
    <xf numFmtId="164" fontId="119" fillId="0" borderId="0" xfId="0" applyFont="true" applyBorder="true" applyAlignment="true" applyProtection="true">
      <alignment horizontal="center" vertical="bottom" textRotation="0" wrapText="true" indent="0" shrinkToFit="false"/>
      <protection locked="true" hidden="false"/>
    </xf>
    <xf numFmtId="164" fontId="51" fillId="18" borderId="21" xfId="0" applyFont="true" applyBorder="true" applyAlignment="true" applyProtection="true">
      <alignment horizontal="center" vertical="center" textRotation="0" wrapText="true" indent="0" shrinkToFit="false"/>
      <protection locked="true" hidden="false"/>
    </xf>
    <xf numFmtId="164" fontId="107" fillId="0" borderId="26" xfId="0" applyFont="true" applyBorder="true" applyAlignment="true" applyProtection="true">
      <alignment horizontal="general" vertical="bottom" textRotation="0" wrapText="false" indent="0" shrinkToFit="false"/>
      <protection locked="true" hidden="false"/>
    </xf>
    <xf numFmtId="164" fontId="107" fillId="0" borderId="27" xfId="0" applyFont="true" applyBorder="true" applyAlignment="true" applyProtection="true">
      <alignment horizontal="general" vertical="bottom" textRotation="0" wrapText="false" indent="0" shrinkToFit="false"/>
      <protection locked="true" hidden="false"/>
    </xf>
    <xf numFmtId="164" fontId="118" fillId="0" borderId="21" xfId="0" applyFont="true" applyBorder="true" applyAlignment="true" applyProtection="true">
      <alignment horizontal="general" vertical="bottom" textRotation="0" wrapText="false" indent="0" shrinkToFit="false"/>
      <protection locked="true" hidden="false"/>
    </xf>
    <xf numFmtId="164" fontId="118" fillId="0" borderId="0" xfId="0" applyFont="true" applyBorder="false" applyAlignment="true" applyProtection="true">
      <alignment horizontal="general" vertical="bottom" textRotation="0" wrapText="false" indent="0" shrinkToFit="false"/>
      <protection locked="true" hidden="false"/>
    </xf>
    <xf numFmtId="164" fontId="107" fillId="0" borderId="22" xfId="0" applyFont="true" applyBorder="true" applyAlignment="true" applyProtection="true">
      <alignment horizontal="general" vertical="bottom" textRotation="0" wrapText="false" indent="0" shrinkToFit="false"/>
      <protection locked="true" hidden="false"/>
    </xf>
    <xf numFmtId="164" fontId="113" fillId="0" borderId="0" xfId="0" applyFont="true" applyBorder="false" applyAlignment="true" applyProtection="true">
      <alignment horizontal="center" vertical="bottom" textRotation="0" wrapText="false" indent="0" shrinkToFit="false"/>
      <protection locked="true" hidden="false"/>
    </xf>
    <xf numFmtId="164" fontId="113" fillId="0" borderId="0" xfId="0" applyFont="true" applyBorder="false" applyAlignment="true" applyProtection="true">
      <alignment horizontal="center" vertical="center" textRotation="0" wrapText="false" indent="0" shrinkToFit="false"/>
      <protection locked="true" hidden="false"/>
    </xf>
    <xf numFmtId="164" fontId="45" fillId="6" borderId="21" xfId="0" applyFont="true" applyBorder="true" applyAlignment="true" applyProtection="true">
      <alignment horizontal="general" vertical="center" textRotation="0" wrapText="false" indent="0" shrinkToFit="false"/>
      <protection locked="true" hidden="false"/>
    </xf>
    <xf numFmtId="164" fontId="38" fillId="0" borderId="0" xfId="0" applyFont="true" applyBorder="false" applyAlignment="true" applyProtection="true">
      <alignment horizontal="center" vertical="top" textRotation="0" wrapText="false" indent="0" shrinkToFit="false"/>
      <protection locked="true" hidden="false"/>
    </xf>
    <xf numFmtId="164" fontId="94" fillId="0" borderId="0" xfId="0" applyFont="true" applyBorder="false" applyAlignment="true" applyProtection="true">
      <alignment horizontal="center" vertical="bottom" textRotation="0" wrapText="false" indent="0" shrinkToFit="false"/>
      <protection locked="true" hidden="false"/>
    </xf>
    <xf numFmtId="164" fontId="75" fillId="0" borderId="0" xfId="20" applyFont="true" applyBorder="true" applyAlignment="true" applyProtection="true">
      <alignment horizontal="center" vertical="center" textRotation="0" wrapText="true" indent="0" shrinkToFit="false"/>
      <protection locked="true" hidden="false"/>
    </xf>
    <xf numFmtId="164" fontId="63" fillId="6" borderId="36" xfId="0" applyFont="true" applyBorder="true" applyAlignment="true" applyProtection="true">
      <alignment horizontal="center" vertical="center" textRotation="0" wrapText="false" indent="0" shrinkToFit="false"/>
      <protection locked="true" hidden="false"/>
    </xf>
    <xf numFmtId="164" fontId="75" fillId="29" borderId="36" xfId="20" applyFont="true" applyBorder="true" applyAlignment="true" applyProtection="true">
      <alignment horizontal="center" vertical="center" textRotation="0" wrapText="true" indent="0" shrinkToFit="false"/>
      <protection locked="true" hidden="false"/>
    </xf>
    <xf numFmtId="164" fontId="34" fillId="18" borderId="0" xfId="0" applyFont="true" applyBorder="false" applyAlignment="true" applyProtection="true">
      <alignment horizontal="center" vertical="bottom" textRotation="0" wrapText="false" indent="0" shrinkToFit="false"/>
      <protection locked="true" hidden="false"/>
    </xf>
    <xf numFmtId="164" fontId="102" fillId="18" borderId="36" xfId="0" applyFont="true" applyBorder="true" applyAlignment="true" applyProtection="true">
      <alignment horizontal="left" vertical="center" textRotation="0" wrapText="true" indent="0" shrinkToFit="false"/>
      <protection locked="true" hidden="false"/>
    </xf>
    <xf numFmtId="164" fontId="102" fillId="18" borderId="41" xfId="0" applyFont="true" applyBorder="true" applyAlignment="true" applyProtection="true">
      <alignment horizontal="left" vertical="center" textRotation="0" wrapText="true" indent="0" shrinkToFit="false"/>
      <protection locked="true" hidden="false"/>
    </xf>
    <xf numFmtId="164" fontId="104" fillId="18" borderId="36" xfId="0" applyFont="true" applyBorder="true" applyAlignment="true" applyProtection="true">
      <alignment horizontal="center" vertical="center" textRotation="0" wrapText="true" indent="0" shrinkToFit="false"/>
      <protection locked="true" hidden="false"/>
    </xf>
    <xf numFmtId="164" fontId="58" fillId="4" borderId="28" xfId="0" applyFont="true" applyBorder="true" applyAlignment="true" applyProtection="true">
      <alignment horizontal="center" vertical="center" textRotation="90" wrapText="true" indent="0" shrinkToFit="false"/>
      <protection locked="true" hidden="false"/>
    </xf>
    <xf numFmtId="164" fontId="32" fillId="4" borderId="40" xfId="0" applyFont="true" applyBorder="true" applyAlignment="true" applyProtection="true">
      <alignment horizontal="center" vertical="center" textRotation="0" wrapText="true" indent="0" shrinkToFit="false"/>
      <protection locked="true" hidden="false"/>
    </xf>
    <xf numFmtId="164" fontId="68" fillId="19" borderId="24" xfId="0" applyFont="true" applyBorder="true" applyAlignment="true" applyProtection="true">
      <alignment horizontal="center" vertical="center" textRotation="0" wrapText="true" indent="0" shrinkToFit="false"/>
      <protection locked="true" hidden="false"/>
    </xf>
    <xf numFmtId="164" fontId="68" fillId="19" borderId="25" xfId="0" applyFont="true" applyBorder="true" applyAlignment="true" applyProtection="true">
      <alignment horizontal="center" vertical="center" textRotation="0" wrapText="true" indent="0" shrinkToFit="false"/>
      <protection locked="true" hidden="false"/>
    </xf>
    <xf numFmtId="164" fontId="68" fillId="19" borderId="42" xfId="0" applyFont="true" applyBorder="true" applyAlignment="true" applyProtection="true">
      <alignment horizontal="center" vertical="center" textRotation="0" wrapText="true" indent="0" shrinkToFit="false"/>
      <protection locked="true" hidden="false"/>
    </xf>
    <xf numFmtId="164" fontId="27" fillId="6" borderId="21" xfId="0" applyFont="true" applyBorder="true" applyAlignment="true" applyProtection="true">
      <alignment horizontal="center" vertical="center" textRotation="0" wrapText="true" indent="0" shrinkToFit="false"/>
      <protection locked="true" hidden="false"/>
    </xf>
    <xf numFmtId="164" fontId="32" fillId="6" borderId="21" xfId="0" applyFont="true" applyBorder="true" applyAlignment="true" applyProtection="true">
      <alignment horizontal="center" vertical="center" textRotation="0" wrapText="true" indent="0" shrinkToFit="false"/>
      <protection locked="true" hidden="false"/>
    </xf>
    <xf numFmtId="164" fontId="121" fillId="18" borderId="0" xfId="0" applyFont="true" applyBorder="false" applyAlignment="true" applyProtection="true">
      <alignment horizontal="center" vertical="center" textRotation="0" wrapText="false" indent="0" shrinkToFit="false"/>
      <protection locked="true" hidden="false"/>
    </xf>
    <xf numFmtId="164" fontId="38" fillId="4" borderId="21" xfId="0" applyFont="true" applyBorder="true" applyAlignment="true" applyProtection="true">
      <alignment horizontal="center" vertical="center" textRotation="0" wrapText="false" indent="0" shrinkToFit="false"/>
      <protection locked="true" hidden="false"/>
    </xf>
    <xf numFmtId="164" fontId="38" fillId="4" borderId="22" xfId="0" applyFont="true" applyBorder="true" applyAlignment="true" applyProtection="true">
      <alignment horizontal="center" vertical="center" textRotation="0" wrapText="false" indent="0" shrinkToFit="false"/>
      <protection locked="true" hidden="false"/>
    </xf>
    <xf numFmtId="164" fontId="122" fillId="18" borderId="30" xfId="0" applyFont="true" applyBorder="true" applyAlignment="true" applyProtection="true">
      <alignment horizontal="center" vertical="center" textRotation="0" wrapText="false" indent="0" shrinkToFit="false"/>
      <protection locked="true" hidden="false"/>
    </xf>
    <xf numFmtId="164" fontId="122" fillId="18" borderId="21" xfId="0" applyFont="true" applyBorder="true" applyAlignment="true" applyProtection="true">
      <alignment horizontal="center" vertical="center" textRotation="0" wrapText="false" indent="0" shrinkToFit="false"/>
      <protection locked="true" hidden="false"/>
    </xf>
    <xf numFmtId="164" fontId="122" fillId="18" borderId="22" xfId="0" applyFont="true" applyBorder="true" applyAlignment="true" applyProtection="true">
      <alignment horizontal="center" vertical="center" textRotation="0" wrapText="false" indent="0" shrinkToFit="false"/>
      <protection locked="true" hidden="false"/>
    </xf>
    <xf numFmtId="164" fontId="94" fillId="0" borderId="21" xfId="0" applyFont="true" applyBorder="true" applyAlignment="true" applyProtection="true">
      <alignment horizontal="center" vertical="bottom" textRotation="0" wrapText="false" indent="0" shrinkToFit="false"/>
      <protection locked="true" hidden="false"/>
    </xf>
    <xf numFmtId="172" fontId="94" fillId="0" borderId="21" xfId="0" applyFont="true" applyBorder="true" applyAlignment="true" applyProtection="true">
      <alignment horizontal="center" vertical="bottom" textRotation="0" wrapText="false" indent="0" shrinkToFit="false"/>
      <protection locked="true" hidden="false"/>
    </xf>
    <xf numFmtId="164" fontId="94" fillId="0" borderId="28" xfId="0" applyFont="true" applyBorder="true" applyAlignment="true" applyProtection="true">
      <alignment horizontal="general" vertical="bottom" textRotation="0" wrapText="false" indent="0" shrinkToFit="false"/>
      <protection locked="true" hidden="false"/>
    </xf>
    <xf numFmtId="164" fontId="94" fillId="0" borderId="27" xfId="0" applyFont="true" applyBorder="true" applyAlignment="true" applyProtection="true">
      <alignment horizontal="general" vertical="bottom" textRotation="0" wrapText="false" indent="0" shrinkToFit="false"/>
      <protection locked="true" hidden="false"/>
    </xf>
    <xf numFmtId="164" fontId="94" fillId="0" borderId="26" xfId="0" applyFont="true" applyBorder="true" applyAlignment="true" applyProtection="true">
      <alignment horizontal="general" vertical="bottom" textRotation="0" wrapText="false" indent="0" shrinkToFit="false"/>
      <protection locked="true" hidden="false"/>
    </xf>
    <xf numFmtId="164" fontId="94" fillId="31" borderId="0" xfId="0" applyFont="true" applyBorder="false" applyAlignment="true" applyProtection="true">
      <alignment horizontal="general" vertical="bottom" textRotation="0" wrapText="false" indent="0" shrinkToFit="false"/>
      <protection locked="true" hidden="false"/>
    </xf>
    <xf numFmtId="164" fontId="65" fillId="18" borderId="22" xfId="0" applyFont="true" applyBorder="true" applyAlignment="true" applyProtection="true">
      <alignment horizontal="center" vertical="center" textRotation="0" wrapText="false" indent="0" shrinkToFit="false"/>
      <protection locked="true" hidden="false"/>
    </xf>
    <xf numFmtId="164" fontId="96" fillId="0" borderId="21" xfId="0" applyFont="true" applyBorder="true" applyAlignment="true" applyProtection="true">
      <alignment horizontal="center" vertical="bottom" textRotation="0" wrapText="false" indent="0" shrinkToFit="false"/>
      <protection locked="true" hidden="false"/>
    </xf>
    <xf numFmtId="172" fontId="96" fillId="0" borderId="21" xfId="0" applyFont="true" applyBorder="true" applyAlignment="true" applyProtection="true">
      <alignment horizontal="center" vertical="bottom" textRotation="0" wrapText="false" indent="0" shrinkToFit="false"/>
      <protection locked="true" hidden="false"/>
    </xf>
    <xf numFmtId="164" fontId="65" fillId="18" borderId="43" xfId="0" applyFont="true" applyBorder="true" applyAlignment="true" applyProtection="true">
      <alignment horizontal="center" vertical="center" textRotation="0" wrapText="false" indent="0" shrinkToFit="false"/>
      <protection locked="true" hidden="false"/>
    </xf>
    <xf numFmtId="164" fontId="32" fillId="6" borderId="23" xfId="0" applyFont="true" applyBorder="true" applyAlignment="true" applyProtection="true">
      <alignment horizontal="center" vertical="center" textRotation="0" wrapText="true" indent="0" shrinkToFit="false"/>
      <protection locked="true" hidden="false"/>
    </xf>
    <xf numFmtId="164" fontId="75" fillId="29" borderId="36" xfId="20" applyFont="true" applyBorder="true" applyAlignment="true" applyProtection="true">
      <alignment horizontal="general" vertical="center" textRotation="0" wrapText="true" indent="0" shrinkToFit="false"/>
      <protection locked="true" hidden="false"/>
    </xf>
    <xf numFmtId="164" fontId="123" fillId="0" borderId="0" xfId="0" applyFont="true" applyBorder="false" applyAlignment="true" applyProtection="true">
      <alignment horizontal="general" vertical="center" textRotation="0" wrapText="true" indent="0" shrinkToFit="false"/>
      <protection locked="true" hidden="false"/>
    </xf>
    <xf numFmtId="164" fontId="34" fillId="0" borderId="0" xfId="0" applyFont="true" applyBorder="false" applyAlignment="true" applyProtection="true">
      <alignment horizontal="general" vertical="center" textRotation="0" wrapText="false" indent="0" shrinkToFit="false"/>
      <protection locked="true" hidden="false"/>
    </xf>
    <xf numFmtId="164" fontId="102" fillId="18" borderId="37" xfId="0" applyFont="true" applyBorder="true" applyAlignment="true" applyProtection="true">
      <alignment horizontal="left" vertical="center" textRotation="0" wrapText="true" indent="0" shrinkToFit="false"/>
      <protection locked="true" hidden="false"/>
    </xf>
    <xf numFmtId="164" fontId="104" fillId="18" borderId="28" xfId="0" applyFont="true" applyBorder="true" applyAlignment="true" applyProtection="true">
      <alignment horizontal="left" vertical="center" textRotation="0" wrapText="true" indent="0" shrinkToFit="false"/>
      <protection locked="true" hidden="false"/>
    </xf>
    <xf numFmtId="164" fontId="58" fillId="4" borderId="21" xfId="0" applyFont="true" applyBorder="true" applyAlignment="true" applyProtection="true">
      <alignment horizontal="center" vertical="center" textRotation="90" wrapText="true" indent="0" shrinkToFit="false"/>
      <protection locked="true" hidden="false"/>
    </xf>
    <xf numFmtId="164" fontId="32" fillId="4" borderId="22" xfId="0" applyFont="true" applyBorder="true" applyAlignment="true" applyProtection="true">
      <alignment horizontal="center" vertical="center" textRotation="0" wrapText="true" indent="0" shrinkToFit="false"/>
      <protection locked="true" hidden="false"/>
    </xf>
    <xf numFmtId="164" fontId="27" fillId="7" borderId="44" xfId="0" applyFont="true" applyBorder="true" applyAlignment="true" applyProtection="true">
      <alignment horizontal="center" vertical="center" textRotation="0" wrapText="true" indent="0" shrinkToFit="false"/>
      <protection locked="true" hidden="false"/>
    </xf>
    <xf numFmtId="164" fontId="27" fillId="6" borderId="28" xfId="0" applyFont="true" applyBorder="true" applyAlignment="true" applyProtection="true">
      <alignment horizontal="center" vertical="center" textRotation="0" wrapText="true" indent="0" shrinkToFit="false"/>
      <protection locked="true" hidden="false"/>
    </xf>
    <xf numFmtId="164" fontId="52" fillId="4" borderId="21" xfId="0" applyFont="true" applyBorder="true" applyAlignment="true" applyProtection="true">
      <alignment horizontal="center" vertical="center" textRotation="0" wrapText="true" indent="0" shrinkToFit="false"/>
      <protection locked="true" hidden="false"/>
    </xf>
    <xf numFmtId="164" fontId="94" fillId="18" borderId="24" xfId="0" applyFont="true" applyBorder="true" applyAlignment="true" applyProtection="true">
      <alignment horizontal="center" vertical="center" textRotation="0" wrapText="false" indent="0" shrinkToFit="false"/>
      <protection locked="true" hidden="false"/>
    </xf>
    <xf numFmtId="164" fontId="94" fillId="0" borderId="45" xfId="0" applyFont="true" applyBorder="true" applyAlignment="true" applyProtection="true">
      <alignment horizontal="center" vertical="center" textRotation="0" wrapText="false" indent="0" shrinkToFit="false"/>
      <protection locked="true" hidden="false"/>
    </xf>
    <xf numFmtId="164" fontId="94" fillId="0" borderId="21" xfId="0" applyFont="true" applyBorder="true" applyAlignment="true" applyProtection="true">
      <alignment horizontal="left" vertical="center" textRotation="0" wrapText="false" indent="0" shrinkToFit="false"/>
      <protection locked="true" hidden="false"/>
    </xf>
    <xf numFmtId="172" fontId="94" fillId="0" borderId="21" xfId="0" applyFont="true" applyBorder="true" applyAlignment="true" applyProtection="true">
      <alignment horizontal="left" vertical="center" textRotation="0" wrapText="false" indent="0" shrinkToFit="false"/>
      <protection locked="true" hidden="false"/>
    </xf>
    <xf numFmtId="164" fontId="0" fillId="0" borderId="21" xfId="0" applyFont="false" applyBorder="true" applyAlignment="true" applyProtection="true">
      <alignment horizontal="center" vertical="bottom" textRotation="0" wrapText="false" indent="0" shrinkToFit="false"/>
      <protection locked="true" hidden="false"/>
    </xf>
    <xf numFmtId="164" fontId="94" fillId="18" borderId="30" xfId="0" applyFont="true" applyBorder="true" applyAlignment="true" applyProtection="true">
      <alignment horizontal="center" vertical="center" textRotation="0" wrapText="false" indent="0" shrinkToFit="false"/>
      <protection locked="true" hidden="false"/>
    </xf>
    <xf numFmtId="164" fontId="94" fillId="0" borderId="46" xfId="0" applyFont="true" applyBorder="true" applyAlignment="true" applyProtection="true">
      <alignment horizontal="center" vertical="center" textRotation="0" wrapText="false" indent="0" shrinkToFit="false"/>
      <protection locked="true" hidden="false"/>
    </xf>
    <xf numFmtId="164" fontId="38" fillId="18" borderId="21" xfId="0" applyFont="true" applyBorder="true" applyAlignment="true" applyProtection="true">
      <alignment horizontal="left" vertical="center" textRotation="0" wrapText="false" indent="0" shrinkToFit="false"/>
      <protection locked="true" hidden="false"/>
    </xf>
    <xf numFmtId="164" fontId="94" fillId="18" borderId="21" xfId="0" applyFont="true" applyBorder="true" applyAlignment="true" applyProtection="true">
      <alignment horizontal="left" vertical="center" textRotation="0" wrapText="true" indent="0" shrinkToFit="false"/>
      <protection locked="true" hidden="false"/>
    </xf>
    <xf numFmtId="164" fontId="38" fillId="18" borderId="21" xfId="0" applyFont="true" applyBorder="true" applyAlignment="true" applyProtection="true">
      <alignment horizontal="center" vertical="center" textRotation="0" wrapText="false" indent="0" shrinkToFit="false"/>
      <protection locked="true" hidden="false"/>
    </xf>
    <xf numFmtId="164" fontId="94" fillId="18" borderId="21" xfId="0" applyFont="true" applyBorder="true" applyAlignment="true" applyProtection="true">
      <alignment horizontal="center" vertical="center" textRotation="0" wrapText="true" indent="0" shrinkToFit="false"/>
      <protection locked="true" hidden="false"/>
    </xf>
    <xf numFmtId="164" fontId="94" fillId="0" borderId="30" xfId="0" applyFont="true" applyBorder="true" applyAlignment="true" applyProtection="true">
      <alignment horizontal="center" vertical="center" textRotation="0" wrapText="false" indent="0" shrinkToFit="false"/>
      <protection locked="true" hidden="false"/>
    </xf>
    <xf numFmtId="164" fontId="38" fillId="0" borderId="21" xfId="0" applyFont="true" applyBorder="true" applyAlignment="true" applyProtection="true">
      <alignment horizontal="left" vertical="center" textRotation="0" wrapText="false" indent="0" shrinkToFit="false"/>
      <protection locked="true" hidden="false"/>
    </xf>
    <xf numFmtId="172" fontId="94" fillId="0" borderId="21" xfId="0" applyFont="true" applyBorder="true" applyAlignment="true" applyProtection="true">
      <alignment horizontal="left" vertical="bottom" textRotation="0" wrapText="false" indent="0" shrinkToFit="false"/>
      <protection locked="true" hidden="false"/>
    </xf>
    <xf numFmtId="164" fontId="94" fillId="18" borderId="46" xfId="0" applyFont="true" applyBorder="true" applyAlignment="true" applyProtection="true">
      <alignment horizontal="center" vertical="center" textRotation="0" wrapText="false" indent="0" shrinkToFit="false"/>
      <protection locked="true" hidden="false"/>
    </xf>
    <xf numFmtId="172" fontId="94" fillId="18" borderId="21" xfId="0" applyFont="true" applyBorder="true" applyAlignment="true" applyProtection="true">
      <alignment horizontal="left" vertical="bottom" textRotation="0" wrapText="true" indent="0" shrinkToFit="false"/>
      <protection locked="true" hidden="false"/>
    </xf>
    <xf numFmtId="164" fontId="56" fillId="18" borderId="30" xfId="0" applyFont="true" applyBorder="true" applyAlignment="true" applyProtection="true">
      <alignment horizontal="center" vertical="center" textRotation="0" wrapText="false" indent="0" shrinkToFit="false"/>
      <protection locked="true" hidden="false"/>
    </xf>
    <xf numFmtId="164" fontId="56" fillId="18" borderId="46" xfId="0" applyFont="true" applyBorder="true" applyAlignment="true" applyProtection="true">
      <alignment horizontal="center" vertical="center" textRotation="0" wrapText="false" indent="0" shrinkToFit="false"/>
      <protection locked="true" hidden="false"/>
    </xf>
    <xf numFmtId="164" fontId="56" fillId="18" borderId="21" xfId="0" applyFont="true" applyBorder="true" applyAlignment="true" applyProtection="true">
      <alignment horizontal="center" vertical="bottom" textRotation="0" wrapText="true" indent="0" shrinkToFit="false"/>
      <protection locked="true" hidden="false"/>
    </xf>
    <xf numFmtId="164" fontId="94" fillId="18" borderId="21" xfId="0" applyFont="true" applyBorder="true" applyAlignment="true" applyProtection="true">
      <alignment horizontal="center" vertical="bottom" textRotation="0" wrapText="true" indent="0" shrinkToFit="false"/>
      <protection locked="true" hidden="false"/>
    </xf>
    <xf numFmtId="164" fontId="56" fillId="0" borderId="0" xfId="0" applyFont="true" applyBorder="false" applyAlignment="true" applyProtection="true">
      <alignment horizontal="general" vertical="bottom" textRotation="0" wrapText="false" indent="0" shrinkToFit="false"/>
      <protection locked="true" hidden="false"/>
    </xf>
    <xf numFmtId="164" fontId="94" fillId="18" borderId="31" xfId="0" applyFont="true" applyBorder="true" applyAlignment="true" applyProtection="true">
      <alignment horizontal="center" vertical="center" textRotation="0" wrapText="false" indent="0" shrinkToFit="false"/>
      <protection locked="true" hidden="false"/>
    </xf>
    <xf numFmtId="164" fontId="94" fillId="18" borderId="47" xfId="0" applyFont="true" applyBorder="true" applyAlignment="true" applyProtection="true">
      <alignment horizontal="center" vertical="center" textRotation="0" wrapText="false" indent="0" shrinkToFit="false"/>
      <protection locked="true" hidden="false"/>
    </xf>
    <xf numFmtId="164" fontId="94" fillId="0" borderId="21" xfId="0" applyFont="true" applyBorder="true" applyAlignment="true" applyProtection="true">
      <alignment horizontal="general" vertical="bottom" textRotation="0" wrapText="false" indent="0" shrinkToFit="false"/>
      <protection locked="true" hidden="false"/>
    </xf>
    <xf numFmtId="164" fontId="34" fillId="6" borderId="21" xfId="0" applyFont="true" applyBorder="true" applyAlignment="true" applyProtection="true">
      <alignment horizontal="center" vertical="bottom" textRotation="0" wrapText="false" indent="0" shrinkToFit="false"/>
      <protection locked="true" hidden="false"/>
    </xf>
    <xf numFmtId="164" fontId="63" fillId="6" borderId="22" xfId="0" applyFont="true" applyBorder="true" applyAlignment="true" applyProtection="true">
      <alignment horizontal="center" vertical="center" textRotation="0" wrapText="true" indent="0" shrinkToFit="false"/>
      <protection locked="true" hidden="false"/>
    </xf>
    <xf numFmtId="164" fontId="124" fillId="18" borderId="0" xfId="0" applyFont="true" applyBorder="false" applyAlignment="true" applyProtection="true">
      <alignment horizontal="general" vertical="center" textRotation="0" wrapText="true" indent="0" shrinkToFit="false"/>
      <protection locked="true" hidden="false"/>
    </xf>
    <xf numFmtId="164" fontId="58" fillId="4" borderId="22" xfId="0" applyFont="true" applyBorder="true" applyAlignment="true" applyProtection="true">
      <alignment horizontal="center" vertical="center" textRotation="90" wrapText="true" indent="0" shrinkToFit="false"/>
      <protection locked="true" hidden="false"/>
    </xf>
    <xf numFmtId="164" fontId="32" fillId="4" borderId="21" xfId="0" applyFont="true" applyBorder="true" applyAlignment="true" applyProtection="true">
      <alignment horizontal="center" vertical="center" textRotation="0" wrapText="true" indent="0" shrinkToFit="false"/>
      <protection locked="true" hidden="false"/>
    </xf>
    <xf numFmtId="164" fontId="27" fillId="19" borderId="21" xfId="0" applyFont="true" applyBorder="true" applyAlignment="true" applyProtection="true">
      <alignment horizontal="center" vertical="center" textRotation="0" wrapText="true" indent="0" shrinkToFit="false"/>
      <protection locked="true" hidden="false"/>
    </xf>
    <xf numFmtId="164" fontId="27" fillId="19" borderId="36" xfId="0" applyFont="true" applyBorder="true" applyAlignment="true" applyProtection="true">
      <alignment horizontal="center" vertical="center" textRotation="0" wrapText="true" indent="0" shrinkToFit="false"/>
      <protection locked="true" hidden="false"/>
    </xf>
    <xf numFmtId="164" fontId="52" fillId="4" borderId="22" xfId="0" applyFont="true" applyBorder="true" applyAlignment="true" applyProtection="true">
      <alignment horizontal="center" vertical="center" textRotation="0" wrapText="true" indent="0" shrinkToFit="false"/>
      <protection locked="true" hidden="false"/>
    </xf>
    <xf numFmtId="164" fontId="96" fillId="18" borderId="23" xfId="0" applyFont="true" applyBorder="true" applyAlignment="true" applyProtection="true">
      <alignment horizontal="center" vertical="center" textRotation="0" wrapText="false" indent="0" shrinkToFit="false"/>
      <protection locked="true" hidden="false"/>
    </xf>
    <xf numFmtId="164" fontId="96" fillId="18" borderId="21" xfId="0" applyFont="true" applyBorder="true" applyAlignment="true" applyProtection="true">
      <alignment horizontal="center" vertical="center" textRotation="0" wrapText="false" indent="0" shrinkToFit="false"/>
      <protection locked="true" hidden="false"/>
    </xf>
    <xf numFmtId="164" fontId="94" fillId="18" borderId="23" xfId="0" applyFont="true" applyBorder="true" applyAlignment="true" applyProtection="true">
      <alignment horizontal="center" vertical="center" textRotation="0" wrapText="false" indent="0" shrinkToFit="false"/>
      <protection locked="true" hidden="false"/>
    </xf>
    <xf numFmtId="164" fontId="94" fillId="18" borderId="21" xfId="0" applyFont="true" applyBorder="true" applyAlignment="true" applyProtection="true">
      <alignment horizontal="center" vertical="center" textRotation="0" wrapText="false" indent="0" shrinkToFit="false"/>
      <protection locked="true" hidden="false"/>
    </xf>
    <xf numFmtId="164" fontId="94" fillId="18" borderId="21" xfId="0" applyFont="true" applyBorder="true" applyAlignment="true" applyProtection="true">
      <alignment horizontal="center" vertical="bottom" textRotation="0" wrapText="false" indent="0" shrinkToFit="false"/>
      <protection locked="true" hidden="false"/>
    </xf>
    <xf numFmtId="164" fontId="56" fillId="18" borderId="23" xfId="0" applyFont="true" applyBorder="true" applyAlignment="true" applyProtection="true">
      <alignment horizontal="center" vertical="center" textRotation="0" wrapText="false" indent="0" shrinkToFit="false"/>
      <protection locked="true" hidden="false"/>
    </xf>
    <xf numFmtId="164" fontId="56" fillId="18" borderId="21" xfId="0" applyFont="true" applyBorder="true" applyAlignment="true" applyProtection="true">
      <alignment horizontal="center" vertical="bottom" textRotation="0" wrapText="false" indent="0" shrinkToFit="false"/>
      <protection locked="true" hidden="false"/>
    </xf>
    <xf numFmtId="164" fontId="56" fillId="18" borderId="21" xfId="0" applyFont="true" applyBorder="true" applyAlignment="true" applyProtection="true">
      <alignment horizontal="center" vertical="center" textRotation="0" wrapText="false" indent="0" shrinkToFit="false"/>
      <protection locked="true" hidden="false"/>
    </xf>
    <xf numFmtId="164" fontId="34" fillId="18" borderId="0" xfId="0" applyFont="true" applyBorder="false" applyAlignment="true" applyProtection="true">
      <alignment horizontal="center" vertical="center" textRotation="0" wrapText="false" indent="0" shrinkToFit="false"/>
      <protection locked="true" hidden="false"/>
    </xf>
    <xf numFmtId="164" fontId="94" fillId="0" borderId="0" xfId="0" applyFont="true" applyBorder="true" applyAlignment="true" applyProtection="true">
      <alignment horizontal="center" vertical="bottom" textRotation="0" wrapText="false" indent="0" shrinkToFit="false"/>
      <protection locked="true" hidden="false"/>
    </xf>
    <xf numFmtId="164" fontId="104" fillId="18" borderId="36" xfId="0" applyFont="true" applyBorder="true" applyAlignment="true" applyProtection="true">
      <alignment horizontal="left" vertical="center" textRotation="0" wrapText="true" indent="0" shrinkToFit="false"/>
      <protection locked="true" hidden="false"/>
    </xf>
    <xf numFmtId="164" fontId="27" fillId="19" borderId="40" xfId="0" applyFont="true" applyBorder="true" applyAlignment="true" applyProtection="true">
      <alignment horizontal="center" vertical="center" textRotation="0" wrapText="true" indent="0" shrinkToFit="false"/>
      <protection locked="true" hidden="false"/>
    </xf>
    <xf numFmtId="164" fontId="27" fillId="19" borderId="39" xfId="0" applyFont="true" applyBorder="true" applyAlignment="true" applyProtection="true">
      <alignment horizontal="center" vertical="center" textRotation="0" wrapText="true" indent="0" shrinkToFit="false"/>
      <protection locked="true" hidden="false"/>
    </xf>
    <xf numFmtId="164" fontId="30" fillId="19" borderId="21" xfId="0" applyFont="true" applyBorder="true" applyAlignment="true" applyProtection="true">
      <alignment horizontal="center" vertical="center" textRotation="0" wrapText="true" indent="0" shrinkToFit="false"/>
      <protection locked="true" hidden="false"/>
    </xf>
    <xf numFmtId="164" fontId="32" fillId="6" borderId="28" xfId="0" applyFont="true" applyBorder="true" applyAlignment="true" applyProtection="true">
      <alignment horizontal="center" vertical="center" textRotation="0" wrapText="true" indent="0" shrinkToFit="false"/>
      <protection locked="true" hidden="false"/>
    </xf>
    <xf numFmtId="164" fontId="94" fillId="0" borderId="21" xfId="0" applyFont="true" applyBorder="true" applyAlignment="true" applyProtection="true">
      <alignment horizontal="left" vertical="bottom" textRotation="0" wrapText="false" indent="0" shrinkToFit="false"/>
      <protection locked="true" hidden="false"/>
    </xf>
    <xf numFmtId="164" fontId="38" fillId="0" borderId="21" xfId="0" applyFont="true" applyBorder="true" applyAlignment="true" applyProtection="true">
      <alignment horizontal="left" vertical="bottom" textRotation="0" wrapText="false" indent="0" shrinkToFit="false"/>
      <protection locked="true" hidden="false"/>
    </xf>
    <xf numFmtId="164" fontId="94" fillId="0" borderId="22" xfId="0" applyFont="true" applyBorder="true" applyAlignment="true" applyProtection="true">
      <alignment horizontal="center" vertical="center" textRotation="0" wrapText="false" indent="0" shrinkToFit="false"/>
      <protection locked="true" hidden="false"/>
    </xf>
    <xf numFmtId="164" fontId="56" fillId="18" borderId="21" xfId="0" applyFont="true" applyBorder="true" applyAlignment="true" applyProtection="true">
      <alignment horizontal="left" vertical="bottom" textRotation="0" wrapText="true" indent="0" shrinkToFit="false"/>
      <protection locked="true" hidden="false"/>
    </xf>
    <xf numFmtId="164" fontId="52" fillId="0" borderId="21" xfId="0" applyFont="true" applyBorder="true" applyAlignment="true" applyProtection="true">
      <alignment horizontal="left" vertical="bottom" textRotation="0" wrapText="false" indent="0" shrinkToFit="false"/>
      <protection locked="true" hidden="false"/>
    </xf>
    <xf numFmtId="164" fontId="52" fillId="0" borderId="21" xfId="0" applyFont="true" applyBorder="true" applyAlignment="true" applyProtection="true">
      <alignment horizontal="center" vertical="bottom" textRotation="0" wrapText="false" indent="0" shrinkToFit="false"/>
      <protection locked="true" hidden="false"/>
    </xf>
    <xf numFmtId="164" fontId="66" fillId="0" borderId="0" xfId="0" applyFont="true" applyBorder="false" applyAlignment="true" applyProtection="true">
      <alignment horizontal="center" vertical="bottom" textRotation="0" wrapText="false" indent="0" shrinkToFit="false"/>
      <protection locked="true" hidden="false"/>
    </xf>
    <xf numFmtId="164" fontId="59" fillId="0" borderId="0" xfId="0" applyFont="true" applyBorder="false" applyAlignment="true" applyProtection="true">
      <alignment horizontal="center" vertical="center" textRotation="0" wrapText="false" indent="0" shrinkToFit="false"/>
      <protection locked="true" hidden="false"/>
    </xf>
    <xf numFmtId="164" fontId="30" fillId="0" borderId="41" xfId="0" applyFont="true" applyBorder="true" applyAlignment="true" applyProtection="true">
      <alignment horizontal="general" vertical="center" textRotation="0" wrapText="false" indent="0" shrinkToFit="false"/>
      <protection locked="true" hidden="false"/>
    </xf>
    <xf numFmtId="164" fontId="104" fillId="0" borderId="36" xfId="0" applyFont="true" applyBorder="true" applyAlignment="true" applyProtection="true">
      <alignment horizontal="left" vertical="center" textRotation="0" wrapText="true" indent="0" shrinkToFit="false"/>
      <protection locked="true" hidden="false"/>
    </xf>
    <xf numFmtId="164" fontId="30" fillId="0" borderId="0" xfId="0" applyFont="true" applyBorder="false" applyAlignment="true" applyProtection="true">
      <alignment horizontal="general" vertical="center" textRotation="0" wrapText="false" indent="0" shrinkToFit="false"/>
      <protection locked="true" hidden="false"/>
    </xf>
    <xf numFmtId="164" fontId="62" fillId="4" borderId="21" xfId="0" applyFont="true" applyBorder="true" applyAlignment="true" applyProtection="true">
      <alignment horizontal="center" vertical="center" textRotation="90" wrapText="true" indent="0" shrinkToFit="false"/>
      <protection locked="true" hidden="false"/>
    </xf>
    <xf numFmtId="164" fontId="30" fillId="4" borderId="21" xfId="0" applyFont="true" applyBorder="true" applyAlignment="true" applyProtection="true">
      <alignment horizontal="center" vertical="center" textRotation="0" wrapText="true" indent="0" shrinkToFit="false"/>
      <protection locked="true" hidden="false"/>
    </xf>
    <xf numFmtId="164" fontId="125" fillId="19" borderId="21" xfId="0" applyFont="true" applyBorder="true" applyAlignment="true" applyProtection="true">
      <alignment horizontal="center" vertical="center" textRotation="0" wrapText="false" indent="0" shrinkToFit="false"/>
      <protection locked="true" hidden="false"/>
    </xf>
    <xf numFmtId="164" fontId="30" fillId="31" borderId="21" xfId="0" applyFont="true" applyBorder="true" applyAlignment="true" applyProtection="true">
      <alignment horizontal="center" vertical="center" textRotation="90" wrapText="false" indent="0" shrinkToFit="false"/>
      <protection locked="true" hidden="false"/>
    </xf>
    <xf numFmtId="164" fontId="125" fillId="7" borderId="23" xfId="0" applyFont="true" applyBorder="true" applyAlignment="true" applyProtection="true">
      <alignment horizontal="center" vertical="center" textRotation="0" wrapText="false" indent="0" shrinkToFit="false"/>
      <protection locked="true" hidden="false"/>
    </xf>
    <xf numFmtId="164" fontId="125" fillId="7" borderId="21" xfId="0" applyFont="true" applyBorder="true" applyAlignment="true" applyProtection="true">
      <alignment horizontal="center" vertical="center" textRotation="0" wrapText="false" indent="0" shrinkToFit="false"/>
      <protection locked="true" hidden="false"/>
    </xf>
    <xf numFmtId="164" fontId="27" fillId="18" borderId="21" xfId="0" applyFont="true" applyBorder="true" applyAlignment="true" applyProtection="true">
      <alignment horizontal="center" vertical="center" textRotation="0" wrapText="true" indent="0" shrinkToFit="false"/>
      <protection locked="true" hidden="false"/>
    </xf>
    <xf numFmtId="164" fontId="62" fillId="19" borderId="27" xfId="0" applyFont="true" applyBorder="true" applyAlignment="true" applyProtection="true">
      <alignment horizontal="center" vertical="center" textRotation="0" wrapText="true" indent="0" shrinkToFit="false"/>
      <protection locked="true" hidden="false"/>
    </xf>
    <xf numFmtId="164" fontId="62" fillId="7" borderId="21" xfId="0" applyFont="true" applyBorder="true" applyAlignment="true" applyProtection="true">
      <alignment horizontal="center" vertical="center" textRotation="0" wrapText="true" indent="0" shrinkToFit="false"/>
      <protection locked="true" hidden="false"/>
    </xf>
    <xf numFmtId="164" fontId="62" fillId="19" borderId="48" xfId="0" applyFont="true" applyBorder="true" applyAlignment="true" applyProtection="true">
      <alignment horizontal="center" vertical="center" textRotation="0" wrapText="true" indent="0" shrinkToFit="false"/>
      <protection locked="true" hidden="false"/>
    </xf>
    <xf numFmtId="164" fontId="62" fillId="7" borderId="48" xfId="0" applyFont="true" applyBorder="true" applyAlignment="true" applyProtection="true">
      <alignment horizontal="center" vertical="center" textRotation="0" wrapText="true" indent="0" shrinkToFit="false"/>
      <protection locked="true" hidden="false"/>
    </xf>
    <xf numFmtId="164" fontId="30" fillId="4" borderId="23" xfId="0" applyFont="true" applyBorder="true" applyAlignment="true" applyProtection="true">
      <alignment horizontal="center" vertical="center" textRotation="0" wrapText="true" indent="0" shrinkToFit="false"/>
      <protection locked="true" hidden="false"/>
    </xf>
    <xf numFmtId="164" fontId="56" fillId="0" borderId="21" xfId="0" applyFont="true" applyBorder="true" applyAlignment="true" applyProtection="true">
      <alignment horizontal="center" vertical="center" textRotation="0" wrapText="false" indent="0" shrinkToFit="false"/>
      <protection locked="true" hidden="false"/>
    </xf>
    <xf numFmtId="164" fontId="52" fillId="31" borderId="21" xfId="0" applyFont="true" applyBorder="true" applyAlignment="true" applyProtection="true">
      <alignment horizontal="center" vertical="bottom" textRotation="0" wrapText="false" indent="0" shrinkToFit="false"/>
      <protection locked="true" hidden="false"/>
    </xf>
    <xf numFmtId="164" fontId="56" fillId="0" borderId="21" xfId="0" applyFont="true" applyBorder="true" applyAlignment="true" applyProtection="true">
      <alignment horizontal="left" vertical="bottom" textRotation="0" wrapText="false" indent="0" shrinkToFit="false"/>
      <protection locked="true" hidden="false"/>
    </xf>
    <xf numFmtId="172" fontId="56" fillId="0" borderId="21" xfId="0" applyFont="true" applyBorder="true" applyAlignment="true" applyProtection="true">
      <alignment horizontal="center" vertical="bottom" textRotation="0" wrapText="false" indent="0" shrinkToFit="false"/>
      <protection locked="true" hidden="false"/>
    </xf>
    <xf numFmtId="164" fontId="56" fillId="31" borderId="0" xfId="0" applyFont="true" applyBorder="false" applyAlignment="true" applyProtection="true">
      <alignment horizontal="center" vertical="bottom" textRotation="0" wrapText="false" indent="0" shrinkToFit="false"/>
      <protection locked="true" hidden="false"/>
    </xf>
    <xf numFmtId="164" fontId="56" fillId="18" borderId="21" xfId="0" applyFont="true" applyBorder="true" applyAlignment="true" applyProtection="true">
      <alignment horizontal="left" vertical="bottom" textRotation="0" wrapText="false" indent="0" shrinkToFit="false"/>
      <protection locked="true" hidden="false"/>
    </xf>
    <xf numFmtId="164" fontId="56" fillId="19" borderId="0" xfId="0" applyFont="true" applyBorder="false" applyAlignment="true" applyProtection="true">
      <alignment horizontal="center" vertical="bottom" textRotation="0" wrapText="false" indent="0" shrinkToFit="false"/>
      <protection locked="true" hidden="false"/>
    </xf>
    <xf numFmtId="164" fontId="20" fillId="0" borderId="0" xfId="0" applyFont="true" applyBorder="false" applyAlignment="true" applyProtection="true">
      <alignment horizontal="center" vertical="bottom" textRotation="0" wrapText="false" indent="0" shrinkToFit="false"/>
      <protection locked="true" hidden="false"/>
    </xf>
    <xf numFmtId="164" fontId="0" fillId="18" borderId="0" xfId="0" applyFont="false" applyBorder="false" applyAlignment="true" applyProtection="true">
      <alignment horizontal="left" vertical="bottom" textRotation="0" wrapText="false" indent="0" shrinkToFit="false"/>
      <protection locked="true" hidden="false"/>
    </xf>
    <xf numFmtId="164" fontId="20" fillId="18" borderId="0" xfId="0" applyFont="true" applyBorder="false" applyAlignment="true" applyProtection="true">
      <alignment horizontal="center" vertical="bottom" textRotation="0" wrapText="false" indent="0" shrinkToFit="false"/>
      <protection locked="true" hidden="false"/>
    </xf>
    <xf numFmtId="164" fontId="53" fillId="18" borderId="0" xfId="0" applyFont="true" applyBorder="false" applyAlignment="true" applyProtection="true">
      <alignment horizontal="center" vertical="bottom" textRotation="0" wrapText="false" indent="0" shrinkToFit="false"/>
      <protection locked="true" hidden="false"/>
    </xf>
    <xf numFmtId="164" fontId="66" fillId="19" borderId="0" xfId="0" applyFont="true" applyBorder="false" applyAlignment="true" applyProtection="true">
      <alignment horizontal="center" vertical="bottom" textRotation="0" wrapText="false" indent="0" shrinkToFit="false"/>
      <protection locked="true" hidden="false"/>
    </xf>
    <xf numFmtId="164" fontId="53" fillId="0" borderId="21" xfId="0" applyFont="true" applyBorder="true" applyAlignment="true" applyProtection="true">
      <alignment horizontal="center" vertical="bottom" textRotation="0" wrapText="false" indent="0" shrinkToFit="false"/>
      <protection locked="true" hidden="false"/>
    </xf>
    <xf numFmtId="164" fontId="51" fillId="0" borderId="0" xfId="0" applyFont="true" applyBorder="false" applyAlignment="true" applyProtection="true">
      <alignment horizontal="left" vertical="center" textRotation="0" wrapText="false" indent="0" shrinkToFit="false"/>
      <protection locked="true" hidden="false"/>
    </xf>
    <xf numFmtId="164" fontId="63" fillId="6" borderId="34" xfId="0" applyFont="true" applyBorder="true" applyAlignment="true" applyProtection="true">
      <alignment horizontal="center" vertical="center" textRotation="0" wrapText="false" indent="0" shrinkToFit="false"/>
      <protection locked="true" hidden="false"/>
    </xf>
    <xf numFmtId="164" fontId="56" fillId="0" borderId="0" xfId="0" applyFont="true" applyBorder="false" applyAlignment="true" applyProtection="true">
      <alignment horizontal="center" vertical="center" textRotation="0" wrapText="false" indent="0" shrinkToFit="false"/>
      <protection locked="true" hidden="false"/>
    </xf>
    <xf numFmtId="164" fontId="59" fillId="0" borderId="34" xfId="0" applyFont="true" applyBorder="true" applyAlignment="true" applyProtection="true">
      <alignment horizontal="general" vertical="center" textRotation="0" wrapText="true" indent="0" shrinkToFit="false"/>
      <protection locked="true" hidden="false"/>
    </xf>
    <xf numFmtId="164" fontId="59" fillId="0" borderId="34" xfId="0" applyFont="true" applyBorder="true" applyAlignment="true" applyProtection="true">
      <alignment horizontal="center" vertical="center" textRotation="0" wrapText="false" indent="0" shrinkToFit="false"/>
      <protection locked="true" hidden="false"/>
    </xf>
    <xf numFmtId="164" fontId="126" fillId="0" borderId="36" xfId="0" applyFont="true" applyBorder="true" applyAlignment="true" applyProtection="true">
      <alignment horizontal="left" vertical="top" textRotation="0" wrapText="false" indent="0" shrinkToFit="false"/>
      <protection locked="true" hidden="false"/>
    </xf>
    <xf numFmtId="164" fontId="128" fillId="0" borderId="36" xfId="0" applyFont="true" applyBorder="true" applyAlignment="true" applyProtection="true">
      <alignment horizontal="left" vertical="center" textRotation="0" wrapText="true" indent="0" shrinkToFit="false"/>
      <protection locked="true" hidden="false"/>
    </xf>
    <xf numFmtId="164" fontId="27" fillId="4" borderId="21" xfId="0" applyFont="true" applyBorder="true" applyAlignment="true" applyProtection="true">
      <alignment horizontal="center" vertical="center" textRotation="90" wrapText="true" indent="0" shrinkToFit="false"/>
      <protection locked="true" hidden="false"/>
    </xf>
    <xf numFmtId="164" fontId="32" fillId="35" borderId="22" xfId="0" applyFont="true" applyBorder="true" applyAlignment="true" applyProtection="true">
      <alignment horizontal="center" vertical="center" textRotation="0" wrapText="true" indent="0" shrinkToFit="false"/>
      <protection locked="true" hidden="false"/>
    </xf>
    <xf numFmtId="164" fontId="125" fillId="7" borderId="22" xfId="0" applyFont="true" applyBorder="true" applyAlignment="true" applyProtection="true">
      <alignment horizontal="center" vertical="center" textRotation="0" wrapText="false" indent="0" shrinkToFit="false"/>
      <protection locked="true" hidden="false"/>
    </xf>
    <xf numFmtId="164" fontId="125" fillId="19" borderId="22" xfId="0" applyFont="true" applyBorder="true" applyAlignment="true" applyProtection="true">
      <alignment horizontal="center" vertical="center" textRotation="0" wrapText="false" indent="0" shrinkToFit="false"/>
      <protection locked="true" hidden="false"/>
    </xf>
    <xf numFmtId="164" fontId="30" fillId="31" borderId="21" xfId="0" applyFont="true" applyBorder="true" applyAlignment="true" applyProtection="true">
      <alignment horizontal="center" vertical="center" textRotation="0" wrapText="true" indent="0" shrinkToFit="false"/>
      <protection locked="true" hidden="false"/>
    </xf>
    <xf numFmtId="164" fontId="30" fillId="36" borderId="21" xfId="0" applyFont="true" applyBorder="true" applyAlignment="true" applyProtection="true">
      <alignment horizontal="center" vertical="center" textRotation="90" wrapText="false" indent="0" shrinkToFit="false"/>
      <protection locked="true" hidden="false"/>
    </xf>
    <xf numFmtId="164" fontId="61" fillId="0" borderId="0" xfId="0" applyFont="true" applyBorder="false" applyAlignment="true" applyProtection="true">
      <alignment horizontal="general" vertical="center" textRotation="0" wrapText="false" indent="0" shrinkToFit="false"/>
      <protection locked="true" hidden="false"/>
    </xf>
    <xf numFmtId="164" fontId="62" fillId="19" borderId="22" xfId="0" applyFont="true" applyBorder="true" applyAlignment="true" applyProtection="true">
      <alignment horizontal="center" vertical="center" textRotation="0" wrapText="true" indent="0" shrinkToFit="false"/>
      <protection locked="true" hidden="false"/>
    </xf>
    <xf numFmtId="164" fontId="62" fillId="7" borderId="22" xfId="0" applyFont="true" applyBorder="true" applyAlignment="true" applyProtection="true">
      <alignment horizontal="center" vertical="center" textRotation="0" wrapText="true" indent="0" shrinkToFit="false"/>
      <protection locked="true" hidden="false"/>
    </xf>
    <xf numFmtId="164" fontId="42" fillId="0" borderId="0" xfId="0" applyFont="true" applyBorder="false" applyAlignment="true" applyProtection="true">
      <alignment horizontal="center" vertical="center" textRotation="0" wrapText="false" indent="0" shrinkToFit="false"/>
      <protection locked="true" hidden="false"/>
    </xf>
    <xf numFmtId="164" fontId="42" fillId="0" borderId="0" xfId="0" applyFont="true" applyBorder="false" applyAlignment="true" applyProtection="true">
      <alignment horizontal="general" vertical="center" textRotation="0" wrapText="false" indent="0" shrinkToFit="false"/>
      <protection locked="true" hidden="false"/>
    </xf>
    <xf numFmtId="164" fontId="38" fillId="4" borderId="21" xfId="0" applyFont="true" applyBorder="true" applyAlignment="true" applyProtection="true">
      <alignment horizontal="center" vertical="center" textRotation="0" wrapText="true" indent="0" shrinkToFit="false"/>
      <protection locked="true" hidden="false"/>
    </xf>
    <xf numFmtId="164" fontId="38" fillId="35" borderId="21" xfId="0" applyFont="true" applyBorder="true" applyAlignment="true" applyProtection="true">
      <alignment horizontal="center" vertical="center" textRotation="0" wrapText="true" indent="0" shrinkToFit="false"/>
      <protection locked="true" hidden="false"/>
    </xf>
    <xf numFmtId="170" fontId="51" fillId="36" borderId="21" xfId="0" applyFont="true" applyBorder="true" applyAlignment="true" applyProtection="true">
      <alignment horizontal="center" vertical="center" textRotation="0" wrapText="false" indent="0" shrinkToFit="false"/>
      <protection locked="true" hidden="false"/>
    </xf>
    <xf numFmtId="164" fontId="51" fillId="31" borderId="0" xfId="0" applyFont="true" applyBorder="false" applyAlignment="true" applyProtection="true">
      <alignment horizontal="center" vertical="center" textRotation="0" wrapText="false" indent="0" shrinkToFit="false"/>
      <protection locked="true" hidden="false"/>
    </xf>
    <xf numFmtId="164" fontId="51" fillId="18" borderId="0" xfId="0" applyFont="true" applyBorder="false" applyAlignment="true" applyProtection="true">
      <alignment horizontal="center" vertical="center" textRotation="0" wrapText="false" indent="0" shrinkToFit="false"/>
      <protection locked="true" hidden="false"/>
    </xf>
    <xf numFmtId="164" fontId="53" fillId="0" borderId="0" xfId="0" applyFont="true" applyBorder="false" applyAlignment="true" applyProtection="true">
      <alignment horizontal="left" vertical="center" textRotation="0" wrapText="false" indent="0" shrinkToFit="false"/>
      <protection locked="true" hidden="false"/>
    </xf>
    <xf numFmtId="164" fontId="64" fillId="0" borderId="0" xfId="0" applyFont="true" applyBorder="false" applyAlignment="true" applyProtection="true">
      <alignment horizontal="general" vertical="center" textRotation="0" wrapText="false" indent="0" shrinkToFit="false"/>
      <protection locked="true" hidden="false"/>
    </xf>
    <xf numFmtId="164" fontId="64" fillId="0" borderId="0" xfId="0" applyFont="true" applyBorder="false" applyAlignment="true" applyProtection="true">
      <alignment horizontal="center" vertical="center" textRotation="0" wrapText="false" indent="0" shrinkToFit="false"/>
      <protection locked="true" hidden="false"/>
    </xf>
    <xf numFmtId="164" fontId="64" fillId="0" borderId="0" xfId="0" applyFont="true" applyBorder="false" applyAlignment="true" applyProtection="true">
      <alignment horizontal="left" vertical="center" textRotation="0" wrapText="false" indent="0" shrinkToFit="false"/>
      <protection locked="true" hidden="false"/>
    </xf>
    <xf numFmtId="164" fontId="51" fillId="19" borderId="0" xfId="0" applyFont="true" applyBorder="false" applyAlignment="true" applyProtection="true">
      <alignment horizontal="center" vertical="center" textRotation="0" wrapText="false" indent="0" shrinkToFit="false"/>
      <protection locked="true" hidden="false"/>
    </xf>
    <xf numFmtId="164" fontId="126" fillId="0" borderId="36" xfId="0" applyFont="true" applyBorder="true" applyAlignment="true" applyProtection="true">
      <alignment horizontal="left" vertical="top" textRotation="0" wrapText="true" indent="0" shrinkToFit="false"/>
      <protection locked="true" hidden="false"/>
    </xf>
    <xf numFmtId="164" fontId="129" fillId="0" borderId="36" xfId="0" applyFont="true" applyBorder="true" applyAlignment="true" applyProtection="true">
      <alignment horizontal="left" vertical="center" textRotation="0" wrapText="true" indent="0" shrinkToFit="false"/>
      <protection locked="true" hidden="false"/>
    </xf>
    <xf numFmtId="164" fontId="32" fillId="35" borderId="21" xfId="0" applyFont="true" applyBorder="true" applyAlignment="true" applyProtection="true">
      <alignment horizontal="center" vertical="center" textRotation="0" wrapText="true" indent="0" shrinkToFit="false"/>
      <protection locked="true" hidden="false"/>
    </xf>
    <xf numFmtId="164" fontId="125" fillId="19" borderId="36" xfId="0" applyFont="true" applyBorder="true" applyAlignment="true" applyProtection="true">
      <alignment horizontal="center" vertical="center" textRotation="0" wrapText="false" indent="0" shrinkToFit="false"/>
      <protection locked="true" hidden="false"/>
    </xf>
    <xf numFmtId="164" fontId="30" fillId="31" borderId="22" xfId="0" applyFont="true" applyBorder="true" applyAlignment="true" applyProtection="true">
      <alignment horizontal="center" vertical="center" textRotation="90" wrapText="false" indent="0" shrinkToFit="false"/>
      <protection locked="true" hidden="false"/>
    </xf>
    <xf numFmtId="164" fontId="125" fillId="19" borderId="28" xfId="0" applyFont="true" applyBorder="true" applyAlignment="true" applyProtection="true">
      <alignment horizontal="center" vertical="center" textRotation="0" wrapText="true" indent="0" shrinkToFit="false"/>
      <protection locked="true" hidden="false"/>
    </xf>
    <xf numFmtId="164" fontId="130" fillId="31" borderId="21" xfId="0" applyFont="true" applyBorder="true" applyAlignment="true" applyProtection="true">
      <alignment horizontal="center" vertical="center" textRotation="90" wrapText="false" indent="0" shrinkToFit="false"/>
      <protection locked="true" hidden="false"/>
    </xf>
    <xf numFmtId="164" fontId="130" fillId="36" borderId="21" xfId="0" applyFont="true" applyBorder="true" applyAlignment="true" applyProtection="true">
      <alignment horizontal="center" vertical="center" textRotation="90" wrapText="false" indent="0" shrinkToFit="false"/>
      <protection locked="true" hidden="false"/>
    </xf>
    <xf numFmtId="164" fontId="62" fillId="19" borderId="49" xfId="0" applyFont="true" applyBorder="true" applyAlignment="true" applyProtection="true">
      <alignment horizontal="center" vertical="center" textRotation="0" wrapText="true" indent="0" shrinkToFit="false"/>
      <protection locked="true" hidden="false"/>
    </xf>
    <xf numFmtId="164" fontId="62" fillId="19" borderId="26" xfId="0" applyFont="true" applyBorder="true" applyAlignment="true" applyProtection="true">
      <alignment horizontal="center" vertical="center" textRotation="0" wrapText="true" indent="0" shrinkToFit="false"/>
      <protection locked="true" hidden="false"/>
    </xf>
    <xf numFmtId="164" fontId="131" fillId="0" borderId="21" xfId="0" applyFont="true" applyBorder="true" applyAlignment="true" applyProtection="true">
      <alignment horizontal="center" vertical="center" textRotation="0" wrapText="false" indent="0" shrinkToFit="false"/>
      <protection locked="true" hidden="false"/>
    </xf>
    <xf numFmtId="164" fontId="131" fillId="31" borderId="21" xfId="0" applyFont="true" applyBorder="true" applyAlignment="true" applyProtection="true">
      <alignment horizontal="center" vertical="center" textRotation="0" wrapText="false" indent="0" shrinkToFit="false"/>
      <protection locked="true" hidden="false"/>
    </xf>
    <xf numFmtId="164" fontId="131" fillId="36" borderId="21" xfId="0" applyFont="true" applyBorder="true" applyAlignment="true" applyProtection="true">
      <alignment horizontal="center" vertical="center" textRotation="0" wrapText="false" indent="0" shrinkToFit="false"/>
      <protection locked="true" hidden="false"/>
    </xf>
    <xf numFmtId="164" fontId="14" fillId="18" borderId="0" xfId="80" applyFont="true" applyBorder="false" applyAlignment="true" applyProtection="true">
      <alignment horizontal="general" vertical="bottom" textRotation="0" wrapText="false" indent="0" shrinkToFit="false"/>
      <protection locked="true" hidden="false"/>
    </xf>
    <xf numFmtId="164" fontId="132" fillId="0" borderId="0" xfId="80" applyFont="true" applyBorder="false" applyAlignment="true" applyProtection="true">
      <alignment horizontal="general" vertical="bottom" textRotation="0" wrapText="false" indent="0" shrinkToFit="false"/>
      <protection locked="true" hidden="false"/>
    </xf>
    <xf numFmtId="164" fontId="133" fillId="0" borderId="0" xfId="80" applyFont="true" applyBorder="false" applyAlignment="true" applyProtection="true">
      <alignment horizontal="general" vertical="bottom" textRotation="0" wrapText="false" indent="0" shrinkToFit="false"/>
      <protection locked="true" hidden="false"/>
    </xf>
    <xf numFmtId="164" fontId="75" fillId="29" borderId="35" xfId="20" applyFont="true" applyBorder="true" applyAlignment="true" applyProtection="true">
      <alignment horizontal="center" vertical="center" textRotation="0" wrapText="true" indent="0" shrinkToFit="false"/>
      <protection locked="true" hidden="false"/>
    </xf>
    <xf numFmtId="164" fontId="63" fillId="6" borderId="22" xfId="80" applyFont="true" applyBorder="true" applyAlignment="true" applyProtection="true">
      <alignment horizontal="center" vertical="center" textRotation="0" wrapText="true" indent="0" shrinkToFit="false"/>
      <protection locked="true" hidden="false"/>
    </xf>
    <xf numFmtId="164" fontId="31" fillId="0" borderId="0" xfId="80" applyFont="true" applyBorder="false" applyAlignment="true" applyProtection="true">
      <alignment horizontal="general" vertical="center" textRotation="0" wrapText="false" indent="0" shrinkToFit="false"/>
      <protection locked="true" hidden="false"/>
    </xf>
    <xf numFmtId="164" fontId="124" fillId="0" borderId="37" xfId="80" applyFont="true" applyBorder="true" applyAlignment="true" applyProtection="true">
      <alignment horizontal="left" vertical="center" textRotation="0" wrapText="true" indent="0" shrinkToFit="false"/>
      <protection locked="true" hidden="false"/>
    </xf>
    <xf numFmtId="164" fontId="102" fillId="0" borderId="22" xfId="80" applyFont="true" applyBorder="true" applyAlignment="true" applyProtection="true">
      <alignment horizontal="center" vertical="center" textRotation="0" wrapText="true" indent="0" shrinkToFit="false"/>
      <protection locked="true" hidden="false"/>
    </xf>
    <xf numFmtId="164" fontId="44" fillId="0" borderId="36" xfId="80" applyFont="true" applyBorder="true" applyAlignment="true" applyProtection="true">
      <alignment horizontal="center" vertical="center" textRotation="0" wrapText="true" indent="0" shrinkToFit="false"/>
      <protection locked="true" hidden="false"/>
    </xf>
    <xf numFmtId="164" fontId="58" fillId="4" borderId="21" xfId="0" applyFont="true" applyBorder="true" applyAlignment="true" applyProtection="true">
      <alignment horizontal="center" vertical="center" textRotation="0" wrapText="true" indent="0" shrinkToFit="false"/>
      <protection locked="true" hidden="false"/>
    </xf>
    <xf numFmtId="164" fontId="62" fillId="6" borderId="22" xfId="80" applyFont="true" applyBorder="true" applyAlignment="true" applyProtection="true">
      <alignment horizontal="center" vertical="center" textRotation="0" wrapText="true" indent="0" shrinkToFit="false"/>
      <protection locked="true" hidden="false"/>
    </xf>
    <xf numFmtId="164" fontId="68" fillId="19" borderId="21" xfId="80" applyFont="true" applyBorder="true" applyAlignment="true" applyProtection="true">
      <alignment horizontal="center" vertical="center" textRotation="0" wrapText="true" indent="0" shrinkToFit="false"/>
      <protection locked="true" hidden="false"/>
    </xf>
    <xf numFmtId="164" fontId="133" fillId="19" borderId="21" xfId="80" applyFont="true" applyBorder="true" applyAlignment="true" applyProtection="true">
      <alignment horizontal="center" vertical="center" textRotation="0" wrapText="false" indent="0" shrinkToFit="false"/>
      <protection locked="true" hidden="false"/>
    </xf>
    <xf numFmtId="164" fontId="133" fillId="18" borderId="0" xfId="80" applyFont="true" applyBorder="false" applyAlignment="true" applyProtection="true">
      <alignment horizontal="general" vertical="center" textRotation="0" wrapText="false" indent="0" shrinkToFit="false"/>
      <protection locked="true" hidden="false"/>
    </xf>
    <xf numFmtId="164" fontId="133" fillId="0" borderId="0" xfId="80" applyFont="true" applyBorder="false" applyAlignment="true" applyProtection="true">
      <alignment horizontal="center" vertical="bottom" textRotation="0" wrapText="false" indent="0" shrinkToFit="false"/>
      <protection locked="true" hidden="false"/>
    </xf>
    <xf numFmtId="164" fontId="134" fillId="4" borderId="21" xfId="20" applyFont="true" applyBorder="true" applyAlignment="true" applyProtection="true">
      <alignment horizontal="center" vertical="center" textRotation="0" wrapText="true" indent="0" shrinkToFit="false"/>
      <protection locked="true" hidden="false"/>
    </xf>
    <xf numFmtId="164" fontId="14" fillId="18" borderId="21" xfId="80" applyFont="true" applyBorder="true" applyAlignment="true" applyProtection="true">
      <alignment horizontal="center" vertical="center" textRotation="0" wrapText="true" indent="0" shrinkToFit="false"/>
      <protection locked="true" hidden="false"/>
    </xf>
    <xf numFmtId="164" fontId="106" fillId="0" borderId="0" xfId="80" applyFont="true" applyBorder="false" applyAlignment="true" applyProtection="true">
      <alignment horizontal="general" vertical="bottom" textRotation="0" wrapText="false" indent="0" shrinkToFit="false"/>
      <protection locked="true" hidden="false"/>
    </xf>
    <xf numFmtId="164" fontId="58" fillId="4" borderId="21" xfId="0" applyFont="true" applyBorder="true" applyAlignment="true" applyProtection="true">
      <alignment horizontal="center" vertical="center" textRotation="0" wrapText="false" indent="0" shrinkToFit="false"/>
      <protection locked="true" hidden="false"/>
    </xf>
    <xf numFmtId="164" fontId="68" fillId="19" borderId="21" xfId="0" applyFont="true" applyBorder="true" applyAlignment="true" applyProtection="true">
      <alignment horizontal="center" vertical="center" textRotation="0" wrapText="false" indent="0" shrinkToFit="false"/>
      <protection locked="true" hidden="false"/>
    </xf>
    <xf numFmtId="164" fontId="135" fillId="0" borderId="21" xfId="0" applyFont="true" applyBorder="true" applyAlignment="true" applyProtection="true">
      <alignment horizontal="center" vertical="center" textRotation="0" wrapText="false" indent="0" shrinkToFit="false"/>
      <protection locked="true" hidden="false"/>
    </xf>
    <xf numFmtId="164" fontId="136" fillId="0" borderId="0" xfId="80" applyFont="true" applyBorder="false" applyAlignment="true" applyProtection="true">
      <alignment horizontal="center" vertical="center" textRotation="0" wrapText="false" indent="0" shrinkToFit="false"/>
      <protection locked="true" hidden="false"/>
    </xf>
    <xf numFmtId="164" fontId="14" fillId="0" borderId="21" xfId="80" applyFont="true" applyBorder="true" applyAlignment="true" applyProtection="true">
      <alignment horizontal="center" vertical="center" textRotation="0" wrapText="false" indent="0" shrinkToFit="false"/>
      <protection locked="true" hidden="false"/>
    </xf>
    <xf numFmtId="164" fontId="14" fillId="18" borderId="21" xfId="80" applyFont="true" applyBorder="true" applyAlignment="true" applyProtection="true">
      <alignment horizontal="center" vertical="center" textRotation="0" wrapText="false" indent="0" shrinkToFit="false"/>
      <protection locked="true" hidden="false"/>
    </xf>
    <xf numFmtId="164" fontId="133" fillId="18" borderId="0" xfId="80" applyFont="true" applyBorder="false" applyAlignment="true" applyProtection="true">
      <alignment horizontal="general" vertical="bottom" textRotation="0" wrapText="false" indent="0" shrinkToFit="false"/>
      <protection locked="true" hidden="false"/>
    </xf>
    <xf numFmtId="164" fontId="132" fillId="0" borderId="0" xfId="80" applyFont="true" applyBorder="false" applyAlignment="true" applyProtection="true">
      <alignment horizontal="center" vertical="center" textRotation="0" wrapText="false" indent="0" shrinkToFit="false"/>
      <protection locked="true" hidden="false"/>
    </xf>
    <xf numFmtId="164" fontId="132" fillId="0" borderId="0" xfId="80" applyFont="true" applyBorder="false" applyAlignment="true" applyProtection="true">
      <alignment horizontal="general" vertical="center" textRotation="0" wrapText="false" indent="0" shrinkToFit="false"/>
      <protection locked="true" hidden="false"/>
    </xf>
    <xf numFmtId="164" fontId="14" fillId="18" borderId="0" xfId="80" applyFont="true" applyBorder="false" applyAlignment="true" applyProtection="true">
      <alignment horizontal="general" vertical="center" textRotation="0" wrapText="false" indent="0" shrinkToFit="false"/>
      <protection locked="true" hidden="false"/>
    </xf>
    <xf numFmtId="164" fontId="133" fillId="0" borderId="0" xfId="80" applyFont="true" applyBorder="false" applyAlignment="true" applyProtection="true">
      <alignment horizontal="general" vertical="center" textRotation="0" wrapText="false" indent="0" shrinkToFit="false"/>
      <protection locked="true" hidden="false"/>
    </xf>
    <xf numFmtId="164" fontId="137" fillId="0" borderId="0" xfId="0" applyFont="true" applyBorder="false" applyAlignment="true" applyProtection="true">
      <alignment horizontal="general" vertical="top" textRotation="0" wrapText="false" indent="0" shrinkToFit="false"/>
      <protection locked="true" hidden="false"/>
    </xf>
    <xf numFmtId="164" fontId="138" fillId="0" borderId="0" xfId="0" applyFont="true" applyBorder="false" applyAlignment="true" applyProtection="true">
      <alignment horizontal="general" vertical="bottom" textRotation="0" wrapText="false" indent="0" shrinkToFit="false"/>
      <protection locked="true" hidden="false"/>
    </xf>
    <xf numFmtId="164" fontId="113" fillId="0" borderId="0" xfId="80" applyFont="true" applyBorder="false" applyAlignment="true" applyProtection="true">
      <alignment horizontal="center" vertical="center" textRotation="0" wrapText="false" indent="0" shrinkToFit="false"/>
      <protection locked="true" hidden="false"/>
    </xf>
    <xf numFmtId="164" fontId="44" fillId="0" borderId="0" xfId="80" applyFont="true" applyBorder="false" applyAlignment="true" applyProtection="true">
      <alignment horizontal="general" vertical="center" textRotation="0" wrapText="false" indent="0" shrinkToFit="false"/>
      <protection locked="true" hidden="false"/>
    </xf>
    <xf numFmtId="164" fontId="113" fillId="0" borderId="0" xfId="80" applyFont="true" applyBorder="false" applyAlignment="true" applyProtection="true">
      <alignment horizontal="general" vertical="center" textRotation="0" wrapText="false" indent="0" shrinkToFit="false"/>
      <protection locked="true" hidden="false"/>
    </xf>
    <xf numFmtId="164" fontId="62" fillId="0" borderId="0" xfId="80" applyFont="true" applyBorder="false" applyAlignment="true" applyProtection="true">
      <alignment horizontal="general" vertical="center" textRotation="0" wrapText="false" indent="0" shrinkToFit="false"/>
      <protection locked="true" hidden="false"/>
    </xf>
    <xf numFmtId="164" fontId="14" fillId="0" borderId="0" xfId="80" applyFont="true" applyBorder="false" applyAlignment="true" applyProtection="true">
      <alignment horizontal="general" vertical="center" textRotation="0" wrapText="false" indent="0" shrinkToFit="false"/>
      <protection locked="true" hidden="false"/>
    </xf>
    <xf numFmtId="164" fontId="69" fillId="0" borderId="0" xfId="80" applyFont="true" applyBorder="false" applyAlignment="true" applyProtection="true">
      <alignment horizontal="center" vertical="center" textRotation="0" wrapText="false" indent="0" shrinkToFit="false"/>
      <protection locked="true" hidden="false"/>
    </xf>
    <xf numFmtId="164" fontId="113" fillId="0" borderId="0" xfId="80" applyFont="true" applyBorder="false" applyAlignment="true" applyProtection="true">
      <alignment horizontal="general" vertical="bottom" textRotation="0" wrapText="false" indent="0" shrinkToFit="false"/>
      <protection locked="true" hidden="false"/>
    </xf>
    <xf numFmtId="164" fontId="113" fillId="0" borderId="0" xfId="80" applyFont="true" applyBorder="false" applyAlignment="true" applyProtection="true">
      <alignment horizontal="center" vertical="bottom" textRotation="0" wrapText="false" indent="0" shrinkToFit="false"/>
      <protection locked="true" hidden="false"/>
    </xf>
    <xf numFmtId="164" fontId="18" fillId="0" borderId="0" xfId="0" applyFont="true" applyBorder="false" applyAlignment="true" applyProtection="true">
      <alignment horizontal="center" vertical="bottom" textRotation="0" wrapText="false" indent="0" shrinkToFit="false"/>
      <protection locked="true" hidden="false"/>
    </xf>
    <xf numFmtId="164" fontId="69" fillId="0" borderId="0" xfId="0" applyFont="true" applyBorder="false" applyAlignment="true" applyProtection="true">
      <alignment horizontal="general" vertical="bottom" textRotation="0" wrapText="false" indent="0" shrinkToFit="false"/>
      <protection locked="true" hidden="false"/>
    </xf>
    <xf numFmtId="164" fontId="14" fillId="0" borderId="0" xfId="80" applyFont="true" applyBorder="false" applyAlignment="true" applyProtection="true">
      <alignment horizontal="center" vertical="center" textRotation="0" wrapText="true" indent="0" shrinkToFit="false"/>
      <protection locked="true" hidden="false"/>
    </xf>
    <xf numFmtId="164" fontId="62" fillId="0" borderId="0" xfId="80" applyFont="true" applyBorder="false" applyAlignment="true" applyProtection="true">
      <alignment horizontal="center" vertical="center" textRotation="0" wrapText="true" indent="0" shrinkToFit="false"/>
      <protection locked="true" hidden="false"/>
    </xf>
    <xf numFmtId="164" fontId="28" fillId="0" borderId="0" xfId="0" applyFont="true" applyBorder="true" applyAlignment="true" applyProtection="true">
      <alignment horizontal="left" vertical="bottom" textRotation="0" wrapText="true" indent="0" shrinkToFit="false"/>
      <protection locked="true" hidden="false"/>
    </xf>
    <xf numFmtId="164" fontId="28" fillId="0" borderId="0" xfId="0" applyFont="true" applyBorder="false" applyAlignment="true" applyProtection="true">
      <alignment horizontal="left" vertical="bottom" textRotation="0" wrapText="true" indent="0" shrinkToFit="false"/>
      <protection locked="true" hidden="false"/>
    </xf>
    <xf numFmtId="164" fontId="31" fillId="0" borderId="0" xfId="80" applyFont="true" applyBorder="false" applyAlignment="true" applyProtection="true">
      <alignment horizontal="general" vertical="bottom" textRotation="0" wrapText="false" indent="0" shrinkToFit="false"/>
      <protection locked="true" hidden="false"/>
    </xf>
    <xf numFmtId="164" fontId="69" fillId="0" borderId="0" xfId="80" applyFont="true" applyBorder="false" applyAlignment="true" applyProtection="true">
      <alignment horizontal="center" vertical="bottom" textRotation="0" wrapText="false" indent="0" shrinkToFit="false"/>
      <protection locked="true" hidden="false"/>
    </xf>
    <xf numFmtId="164" fontId="133" fillId="0" borderId="0" xfId="80" applyFont="true" applyBorder="false" applyAlignment="true" applyProtection="true">
      <alignment horizontal="center" vertical="top" textRotation="0" wrapText="true" indent="0" shrinkToFit="false"/>
      <protection locked="true" hidden="false"/>
    </xf>
    <xf numFmtId="164" fontId="28" fillId="0" borderId="0" xfId="0" applyFont="true" applyBorder="false" applyAlignment="true" applyProtection="true">
      <alignment horizontal="left" vertical="top" textRotation="0" wrapText="false" indent="0" shrinkToFit="false"/>
      <protection locked="true" hidden="false"/>
    </xf>
    <xf numFmtId="164" fontId="139" fillId="0" borderId="0" xfId="0" applyFont="true" applyBorder="false" applyAlignment="true" applyProtection="true">
      <alignment horizontal="general" vertical="center" textRotation="0" wrapText="true" indent="0" shrinkToFit="false"/>
      <protection locked="true" hidden="false"/>
    </xf>
    <xf numFmtId="164" fontId="122" fillId="0" borderId="0" xfId="0" applyFont="true" applyBorder="false" applyAlignment="true" applyProtection="true">
      <alignment horizontal="general" vertical="center" textRotation="0" wrapText="true" indent="0" shrinkToFit="false"/>
      <protection locked="true" hidden="false"/>
    </xf>
    <xf numFmtId="164" fontId="137" fillId="0" borderId="41" xfId="0" applyFont="true" applyBorder="true" applyAlignment="true" applyProtection="true">
      <alignment horizontal="left" vertical="center" textRotation="0" wrapText="true" indent="0" shrinkToFit="false"/>
      <protection locked="true" hidden="false"/>
    </xf>
    <xf numFmtId="164" fontId="140" fillId="0" borderId="41" xfId="0" applyFont="true" applyBorder="true" applyAlignment="true" applyProtection="true">
      <alignment horizontal="left" vertical="center" textRotation="0" wrapText="true" indent="0" shrinkToFit="false"/>
      <protection locked="true" hidden="false"/>
    </xf>
    <xf numFmtId="164" fontId="142" fillId="0" borderId="0" xfId="0" applyFont="true" applyBorder="false" applyAlignment="true" applyProtection="true">
      <alignment horizontal="general" vertical="bottom" textRotation="0" wrapText="false" indent="0" shrinkToFit="false"/>
      <protection locked="true" hidden="false"/>
    </xf>
    <xf numFmtId="164" fontId="58" fillId="4" borderId="21" xfId="0" applyFont="true" applyBorder="true" applyAlignment="true" applyProtection="true">
      <alignment horizontal="center" vertical="center" textRotation="90" wrapText="false" indent="0" shrinkToFit="false" readingOrder="1"/>
      <protection locked="true" hidden="false"/>
    </xf>
    <xf numFmtId="164" fontId="32" fillId="4" borderId="21" xfId="117" applyFont="true" applyBorder="true" applyAlignment="true" applyProtection="true">
      <alignment horizontal="center" vertical="center" textRotation="0" wrapText="true" indent="0" shrinkToFit="false"/>
      <protection locked="true" hidden="false"/>
    </xf>
    <xf numFmtId="164" fontId="27" fillId="6" borderId="21" xfId="117" applyFont="true" applyBorder="true" applyAlignment="true" applyProtection="true">
      <alignment horizontal="center" vertical="center" textRotation="0" wrapText="true" indent="0" shrinkToFit="false"/>
      <protection locked="true" hidden="false"/>
    </xf>
    <xf numFmtId="164" fontId="27" fillId="7" borderId="21" xfId="0" applyFont="true" applyBorder="true" applyAlignment="true" applyProtection="true">
      <alignment horizontal="center" vertical="center" textRotation="0" wrapText="true" indent="0" shrinkToFit="false"/>
      <protection locked="true" hidden="false"/>
    </xf>
    <xf numFmtId="164" fontId="71" fillId="7" borderId="21" xfId="0" applyFont="true" applyBorder="true" applyAlignment="true" applyProtection="true">
      <alignment horizontal="center" vertical="center" textRotation="90" wrapText="true" indent="0" shrinkToFit="false"/>
      <protection locked="true" hidden="false"/>
    </xf>
    <xf numFmtId="164" fontId="28" fillId="0" borderId="21" xfId="0" applyFont="true" applyBorder="true" applyAlignment="true" applyProtection="true">
      <alignment horizontal="general" vertical="bottom" textRotation="0" wrapText="false" indent="0" shrinkToFit="false"/>
      <protection locked="true" hidden="false"/>
    </xf>
    <xf numFmtId="164" fontId="27" fillId="4" borderId="28" xfId="0" applyFont="true" applyBorder="true" applyAlignment="true" applyProtection="true">
      <alignment horizontal="center" vertical="center" textRotation="0" wrapText="false" indent="0" shrinkToFit="false" readingOrder="1"/>
      <protection locked="true" hidden="false"/>
    </xf>
    <xf numFmtId="164" fontId="27" fillId="0" borderId="21" xfId="117" applyFont="true" applyBorder="true" applyAlignment="true" applyProtection="true">
      <alignment horizontal="center" vertical="center" textRotation="0" wrapText="true" indent="0" shrinkToFit="false"/>
      <protection locked="true" hidden="false"/>
    </xf>
    <xf numFmtId="164" fontId="31" fillId="0" borderId="21" xfId="0" applyFont="true" applyBorder="true" applyAlignment="true" applyProtection="true">
      <alignment horizontal="center" vertical="center" textRotation="0" wrapText="true" indent="0" shrinkToFit="false"/>
      <protection locked="true" hidden="false"/>
    </xf>
    <xf numFmtId="164" fontId="31" fillId="0" borderId="21" xfId="0" applyFont="true" applyBorder="true" applyAlignment="true" applyProtection="true">
      <alignment horizontal="center" vertical="center" textRotation="0" wrapText="false" indent="0" shrinkToFit="false"/>
      <protection locked="true" hidden="false"/>
    </xf>
    <xf numFmtId="164" fontId="31" fillId="18" borderId="21" xfId="0" applyFont="true" applyBorder="true" applyAlignment="true" applyProtection="true">
      <alignment horizontal="center" vertical="center" textRotation="0" wrapText="false" indent="0" shrinkToFit="false"/>
      <protection locked="true" hidden="false"/>
    </xf>
    <xf numFmtId="164" fontId="30" fillId="0" borderId="21" xfId="0" applyFont="true" applyBorder="true" applyAlignment="true" applyProtection="true">
      <alignment horizontal="center" vertical="center" textRotation="0" wrapText="false" indent="0" shrinkToFit="false"/>
      <protection locked="true" hidden="false"/>
    </xf>
    <xf numFmtId="164" fontId="31" fillId="18" borderId="21" xfId="0" applyFont="true" applyBorder="true" applyAlignment="true" applyProtection="true">
      <alignment horizontal="center" vertical="center" textRotation="0" wrapText="true" indent="0" shrinkToFit="false"/>
      <protection locked="true" hidden="false"/>
    </xf>
    <xf numFmtId="164" fontId="105" fillId="0" borderId="0" xfId="0" applyFont="true" applyBorder="false" applyAlignment="true" applyProtection="true">
      <alignment horizontal="general" vertical="center" textRotation="0" wrapText="false" indent="0" shrinkToFit="false"/>
      <protection locked="true" hidden="false"/>
    </xf>
    <xf numFmtId="164" fontId="30" fillId="0" borderId="28" xfId="0" applyFont="true" applyBorder="true" applyAlignment="true" applyProtection="true">
      <alignment horizontal="center" vertical="center" textRotation="0" wrapText="false" indent="0" shrinkToFit="false"/>
      <protection locked="true" hidden="false"/>
    </xf>
    <xf numFmtId="164" fontId="31" fillId="18" borderId="28" xfId="0" applyFont="true" applyBorder="true" applyAlignment="true" applyProtection="true">
      <alignment horizontal="center" vertical="center" textRotation="0" wrapText="false" indent="0" shrinkToFit="false"/>
      <protection locked="true" hidden="false"/>
    </xf>
    <xf numFmtId="164" fontId="31" fillId="18" borderId="28" xfId="0" applyFont="true" applyBorder="true" applyAlignment="true" applyProtection="true">
      <alignment horizontal="center" vertical="center" textRotation="0" wrapText="true" indent="0" shrinkToFit="false"/>
      <protection locked="true" hidden="false"/>
    </xf>
    <xf numFmtId="164" fontId="30" fillId="17" borderId="21" xfId="0" applyFont="true" applyBorder="true" applyAlignment="true" applyProtection="true">
      <alignment horizontal="right" vertical="center" textRotation="0" wrapText="false" indent="0" shrinkToFit="false" readingOrder="1"/>
      <protection locked="true" hidden="false"/>
    </xf>
    <xf numFmtId="164" fontId="30" fillId="17" borderId="21" xfId="0" applyFont="true" applyBorder="true" applyAlignment="true" applyProtection="true">
      <alignment horizontal="center" vertical="center" textRotation="0" wrapText="false" indent="0" shrinkToFit="false"/>
      <protection locked="true" hidden="false"/>
    </xf>
    <xf numFmtId="164" fontId="31" fillId="17" borderId="21" xfId="0" applyFont="true" applyBorder="true" applyAlignment="true" applyProtection="true">
      <alignment horizontal="center" vertical="center" textRotation="0" wrapText="false" indent="0" shrinkToFit="false"/>
      <protection locked="true" hidden="false"/>
    </xf>
    <xf numFmtId="170" fontId="30" fillId="17" borderId="21" xfId="0" applyFont="true" applyBorder="true" applyAlignment="true" applyProtection="true">
      <alignment horizontal="center" vertical="center" textRotation="0" wrapText="false" indent="0" shrinkToFit="false"/>
      <protection locked="true" hidden="false"/>
    </xf>
    <xf numFmtId="164" fontId="104" fillId="0" borderId="0" xfId="0" applyFont="true" applyBorder="false" applyAlignment="true" applyProtection="true">
      <alignment horizontal="general" vertical="center" textRotation="0" wrapText="false" indent="0" shrinkToFit="false"/>
      <protection locked="true" hidden="false"/>
    </xf>
    <xf numFmtId="164" fontId="27" fillId="37" borderId="21" xfId="0" applyFont="true" applyBorder="true" applyAlignment="true" applyProtection="true">
      <alignment horizontal="center" vertical="bottom" textRotation="0" wrapText="true" indent="0" shrinkToFit="false"/>
      <protection locked="true" hidden="false"/>
    </xf>
    <xf numFmtId="164" fontId="28" fillId="0" borderId="21" xfId="0" applyFont="true" applyBorder="true" applyAlignment="true" applyProtection="true">
      <alignment horizontal="center" vertical="bottom" textRotation="0" wrapText="false" indent="0" shrinkToFit="false"/>
      <protection locked="true" hidden="false"/>
    </xf>
    <xf numFmtId="164" fontId="51" fillId="0" borderId="0" xfId="0" applyFont="true" applyBorder="false" applyAlignment="true" applyProtection="true">
      <alignment horizontal="center" vertical="bottom" textRotation="0" wrapText="true" indent="0" shrinkToFit="false"/>
      <protection locked="true" hidden="false"/>
    </xf>
    <xf numFmtId="164" fontId="53" fillId="0" borderId="0" xfId="0" applyFont="true" applyBorder="false" applyAlignment="true" applyProtection="true">
      <alignment horizontal="center" vertical="bottom" textRotation="0" wrapText="true" indent="0" shrinkToFit="false"/>
      <protection locked="true" hidden="false"/>
    </xf>
    <xf numFmtId="164" fontId="53" fillId="0" borderId="0" xfId="0" applyFont="true" applyBorder="false" applyAlignment="true" applyProtection="true">
      <alignment horizontal="center" vertical="center" textRotation="0" wrapText="true" indent="0" shrinkToFit="false"/>
      <protection locked="true" hidden="false"/>
    </xf>
    <xf numFmtId="164" fontId="143" fillId="29" borderId="0" xfId="20" applyFont="true" applyBorder="true" applyAlignment="true" applyProtection="true">
      <alignment horizontal="center" vertical="center" textRotation="0" wrapText="true" indent="0" shrinkToFit="false"/>
      <protection locked="true" hidden="false"/>
    </xf>
    <xf numFmtId="164" fontId="53" fillId="14" borderId="0" xfId="0" applyFont="true" applyBorder="false" applyAlignment="true" applyProtection="true">
      <alignment horizontal="right" vertical="center" textRotation="0" wrapText="true" indent="0" shrinkToFit="false"/>
      <protection locked="true" hidden="false"/>
    </xf>
    <xf numFmtId="164" fontId="53" fillId="14" borderId="0" xfId="0" applyFont="true" applyBorder="false" applyAlignment="true" applyProtection="true">
      <alignment horizontal="general" vertical="center" textRotation="0" wrapText="true" indent="0" shrinkToFit="false"/>
      <protection locked="true" hidden="false"/>
    </xf>
    <xf numFmtId="164" fontId="0" fillId="14" borderId="0" xfId="0" applyFont="false" applyBorder="false" applyAlignment="true" applyProtection="true">
      <alignment horizontal="general" vertical="center" textRotation="0" wrapText="true" indent="0" shrinkToFit="false"/>
      <protection locked="true" hidden="false"/>
    </xf>
    <xf numFmtId="164" fontId="144" fillId="14" borderId="0" xfId="0" applyFont="true" applyBorder="true" applyAlignment="true" applyProtection="true">
      <alignment horizontal="center" vertical="center" textRotation="0" wrapText="true" indent="0" shrinkToFit="false"/>
      <protection locked="true" hidden="false"/>
    </xf>
    <xf numFmtId="164" fontId="145" fillId="14" borderId="50" xfId="0" applyFont="true" applyBorder="true" applyAlignment="true" applyProtection="true">
      <alignment horizontal="center" vertical="center" textRotation="0" wrapText="true" indent="0" shrinkToFit="false"/>
      <protection locked="true" hidden="false"/>
    </xf>
    <xf numFmtId="164" fontId="53" fillId="18" borderId="14" xfId="0" applyFont="true" applyBorder="true" applyAlignment="true" applyProtection="true">
      <alignment horizontal="general" vertical="center" textRotation="0" wrapText="false" indent="0" shrinkToFit="false"/>
      <protection locked="true" hidden="false"/>
    </xf>
    <xf numFmtId="164" fontId="53" fillId="18" borderId="0" xfId="0" applyFont="true" applyBorder="false" applyAlignment="true" applyProtection="true">
      <alignment horizontal="general" vertical="center" textRotation="0" wrapText="false" indent="0" shrinkToFit="false"/>
      <protection locked="true" hidden="false"/>
    </xf>
    <xf numFmtId="164" fontId="53" fillId="18" borderId="0" xfId="0" applyFont="true" applyBorder="false" applyAlignment="true" applyProtection="true">
      <alignment horizontal="center" vertical="center" textRotation="0" wrapText="false" indent="0" shrinkToFit="false"/>
      <protection locked="true" hidden="false"/>
    </xf>
    <xf numFmtId="164" fontId="107" fillId="0" borderId="0" xfId="0" applyFont="true" applyBorder="false" applyAlignment="true" applyProtection="true">
      <alignment horizontal="center" vertical="center" textRotation="0" wrapText="false" indent="0" shrinkToFit="false"/>
      <protection locked="true" hidden="false"/>
    </xf>
    <xf numFmtId="164" fontId="110" fillId="0" borderId="51" xfId="0" applyFont="true" applyBorder="true" applyAlignment="true" applyProtection="true">
      <alignment horizontal="center" vertical="center" textRotation="0" wrapText="true" indent="0" shrinkToFit="false"/>
      <protection locked="true" hidden="false"/>
    </xf>
    <xf numFmtId="164" fontId="102" fillId="18" borderId="51" xfId="0" applyFont="true" applyBorder="true" applyAlignment="true" applyProtection="true">
      <alignment horizontal="general" vertical="center" textRotation="0" wrapText="true" indent="0" shrinkToFit="false"/>
      <protection locked="true" hidden="false"/>
    </xf>
    <xf numFmtId="164" fontId="0" fillId="0" borderId="51" xfId="0" applyFont="false" applyBorder="true" applyAlignment="true" applyProtection="true">
      <alignment horizontal="general" vertical="center" textRotation="0" wrapText="true" indent="0" shrinkToFit="false"/>
      <protection locked="true" hidden="false"/>
    </xf>
    <xf numFmtId="164" fontId="0" fillId="0" borderId="13" xfId="0" applyFont="false" applyBorder="true" applyAlignment="true" applyProtection="true">
      <alignment horizontal="general" vertical="center" textRotation="0" wrapText="true" indent="0" shrinkToFit="false"/>
      <protection locked="true" hidden="false"/>
    </xf>
    <xf numFmtId="164" fontId="0" fillId="0" borderId="14" xfId="0" applyFont="false" applyBorder="true" applyAlignment="true" applyProtection="true">
      <alignment horizontal="general" vertical="center" textRotation="0" wrapText="true" indent="0" shrinkToFit="false"/>
      <protection locked="true" hidden="false"/>
    </xf>
    <xf numFmtId="164" fontId="118" fillId="18" borderId="14" xfId="0" applyFont="true" applyBorder="true" applyAlignment="true" applyProtection="true">
      <alignment horizontal="general" vertical="center" textRotation="0" wrapText="false" indent="0" shrinkToFit="false"/>
      <protection locked="true" hidden="false"/>
    </xf>
    <xf numFmtId="164" fontId="118" fillId="18" borderId="0" xfId="0" applyFont="true" applyBorder="false" applyAlignment="true" applyProtection="true">
      <alignment horizontal="general" vertical="center" textRotation="0" wrapText="false" indent="0" shrinkToFit="false"/>
      <protection locked="true" hidden="false"/>
    </xf>
    <xf numFmtId="164" fontId="118" fillId="18" borderId="0" xfId="0" applyFont="true" applyBorder="false" applyAlignment="true" applyProtection="true">
      <alignment horizontal="center" vertical="center" textRotation="0" wrapText="false" indent="0" shrinkToFit="false"/>
      <protection locked="true" hidden="false"/>
    </xf>
    <xf numFmtId="164" fontId="118" fillId="0" borderId="0" xfId="0" applyFont="true" applyBorder="false" applyAlignment="true" applyProtection="true">
      <alignment horizontal="center" vertical="center" textRotation="0" wrapText="false" indent="0" shrinkToFit="false"/>
      <protection locked="true" hidden="false"/>
    </xf>
    <xf numFmtId="164" fontId="52" fillId="4" borderId="11" xfId="0" applyFont="true" applyBorder="true" applyAlignment="true" applyProtection="true">
      <alignment horizontal="center" vertical="center" textRotation="0" wrapText="true" indent="0" shrinkToFit="false"/>
      <protection locked="true" hidden="false"/>
    </xf>
    <xf numFmtId="164" fontId="52" fillId="4" borderId="11" xfId="0" applyFont="true" applyBorder="true" applyAlignment="true" applyProtection="true">
      <alignment horizontal="center" vertical="center" textRotation="90" wrapText="true" indent="0" shrinkToFit="false"/>
      <protection locked="true" hidden="false"/>
    </xf>
    <xf numFmtId="164" fontId="147" fillId="38" borderId="11" xfId="20" applyFont="true" applyBorder="true" applyAlignment="true" applyProtection="true">
      <alignment horizontal="center" vertical="center" textRotation="0" wrapText="true" indent="0" shrinkToFit="false"/>
      <protection locked="true" hidden="false"/>
    </xf>
    <xf numFmtId="164" fontId="53" fillId="7" borderId="20" xfId="0" applyFont="true" applyBorder="true" applyAlignment="true" applyProtection="true">
      <alignment horizontal="center" vertical="center" textRotation="0" wrapText="true" indent="0" shrinkToFit="false"/>
      <protection locked="true" hidden="false"/>
    </xf>
    <xf numFmtId="164" fontId="148" fillId="7" borderId="11" xfId="20" applyFont="true" applyBorder="true" applyAlignment="true" applyProtection="true">
      <alignment horizontal="center" vertical="center" textRotation="0" wrapText="true" indent="0" shrinkToFit="false"/>
      <protection locked="true" hidden="false"/>
    </xf>
    <xf numFmtId="164" fontId="149" fillId="39" borderId="12" xfId="20" applyFont="true" applyBorder="true" applyAlignment="true" applyProtection="true">
      <alignment horizontal="center" vertical="center" textRotation="0" wrapText="true" indent="0" shrinkToFit="false"/>
      <protection locked="true" hidden="false"/>
    </xf>
    <xf numFmtId="164" fontId="148" fillId="39" borderId="11" xfId="20" applyFont="true" applyBorder="true" applyAlignment="true" applyProtection="true">
      <alignment horizontal="center" vertical="center" textRotation="0" wrapText="true" indent="0" shrinkToFit="false"/>
      <protection locked="true" hidden="false"/>
    </xf>
    <xf numFmtId="164" fontId="149" fillId="39" borderId="20" xfId="20" applyFont="true" applyBorder="true" applyAlignment="true" applyProtection="true">
      <alignment horizontal="center" vertical="center" textRotation="0" wrapText="true" indent="0" shrinkToFit="false"/>
      <protection locked="true" hidden="false"/>
    </xf>
    <xf numFmtId="164" fontId="148" fillId="3" borderId="11" xfId="20" applyFont="true" applyBorder="true" applyAlignment="true" applyProtection="true">
      <alignment horizontal="center" vertical="center" textRotation="0" wrapText="true" indent="0" shrinkToFit="false"/>
      <protection locked="true" hidden="false"/>
    </xf>
    <xf numFmtId="164" fontId="147" fillId="19" borderId="11" xfId="20" applyFont="true" applyBorder="true" applyAlignment="true" applyProtection="true">
      <alignment horizontal="center" vertical="center" textRotation="0" wrapText="true" indent="0" shrinkToFit="false"/>
      <protection locked="true" hidden="false"/>
    </xf>
    <xf numFmtId="164" fontId="148" fillId="17" borderId="11" xfId="20" applyFont="true" applyBorder="true" applyAlignment="true" applyProtection="true">
      <alignment horizontal="center" vertical="center" textRotation="0" wrapText="true" indent="0" shrinkToFit="false"/>
      <protection locked="true" hidden="false"/>
    </xf>
    <xf numFmtId="164" fontId="52" fillId="18" borderId="14" xfId="0" applyFont="true" applyBorder="true" applyAlignment="true" applyProtection="true">
      <alignment horizontal="general" vertical="center" textRotation="0" wrapText="false" indent="0" shrinkToFit="false"/>
      <protection locked="true" hidden="false"/>
    </xf>
    <xf numFmtId="164" fontId="149" fillId="17" borderId="19" xfId="20" applyFont="true" applyBorder="true" applyAlignment="true" applyProtection="true">
      <alignment horizontal="center" vertical="center" textRotation="0" wrapText="true" indent="0" shrinkToFit="false"/>
      <protection locked="true" hidden="false"/>
    </xf>
    <xf numFmtId="164" fontId="52" fillId="18" borderId="0" xfId="0" applyFont="true" applyBorder="false" applyAlignment="true" applyProtection="true">
      <alignment horizontal="general" vertical="center" textRotation="0" wrapText="true" indent="0" shrinkToFit="false"/>
      <protection locked="true" hidden="false"/>
    </xf>
    <xf numFmtId="164" fontId="52" fillId="18" borderId="0" xfId="0" applyFont="true" applyBorder="false" applyAlignment="true" applyProtection="true">
      <alignment horizontal="general" vertical="bottom" textRotation="0" wrapText="false" indent="0" shrinkToFit="false"/>
      <protection locked="true" hidden="false"/>
    </xf>
    <xf numFmtId="164" fontId="53" fillId="6" borderId="11" xfId="0" applyFont="true" applyBorder="true" applyAlignment="true" applyProtection="true">
      <alignment horizontal="center" vertical="center" textRotation="0" wrapText="true" indent="0" shrinkToFit="false"/>
      <protection locked="true" hidden="false"/>
    </xf>
    <xf numFmtId="164" fontId="148" fillId="6" borderId="11" xfId="20" applyFont="true" applyBorder="true" applyAlignment="true" applyProtection="true">
      <alignment horizontal="center" vertical="center" textRotation="0" wrapText="true" indent="0" shrinkToFit="false"/>
      <protection locked="true" hidden="false"/>
    </xf>
    <xf numFmtId="164" fontId="53" fillId="8" borderId="11" xfId="0" applyFont="true" applyBorder="true" applyAlignment="true" applyProtection="true">
      <alignment horizontal="center" vertical="center" textRotation="0" wrapText="true" indent="0" shrinkToFit="false"/>
      <protection locked="true" hidden="false"/>
    </xf>
    <xf numFmtId="164" fontId="118" fillId="20" borderId="11" xfId="0" applyFont="true" applyBorder="true" applyAlignment="true" applyProtection="true">
      <alignment horizontal="center" vertical="center" textRotation="0" wrapText="true" indent="0" shrinkToFit="false"/>
      <protection locked="true" hidden="false"/>
    </xf>
    <xf numFmtId="164" fontId="53" fillId="7" borderId="11" xfId="0" applyFont="true" applyBorder="true" applyAlignment="true" applyProtection="true">
      <alignment horizontal="center" vertical="center" textRotation="0" wrapText="true" indent="0" shrinkToFit="false"/>
      <protection locked="true" hidden="false"/>
    </xf>
    <xf numFmtId="164" fontId="53" fillId="20" borderId="11" xfId="0" applyFont="true" applyBorder="true" applyAlignment="true" applyProtection="true">
      <alignment horizontal="center" vertical="center" textRotation="0" wrapText="true" indent="0" shrinkToFit="false"/>
      <protection locked="true" hidden="false"/>
    </xf>
    <xf numFmtId="164" fontId="53" fillId="39" borderId="11" xfId="0" applyFont="true" applyBorder="true" applyAlignment="true" applyProtection="true">
      <alignment horizontal="center" vertical="center" textRotation="0" wrapText="true" indent="0" shrinkToFit="false"/>
      <protection locked="true" hidden="false"/>
    </xf>
    <xf numFmtId="164" fontId="53" fillId="19" borderId="11" xfId="0" applyFont="true" applyBorder="true" applyAlignment="true" applyProtection="true">
      <alignment horizontal="center" vertical="center" textRotation="0" wrapText="true" indent="0" shrinkToFit="false"/>
      <protection locked="true" hidden="false"/>
    </xf>
    <xf numFmtId="164" fontId="53" fillId="39" borderId="12" xfId="0" applyFont="true" applyBorder="true" applyAlignment="true" applyProtection="true">
      <alignment horizontal="center" vertical="center" textRotation="0" wrapText="true" indent="0" shrinkToFit="false"/>
      <protection locked="true" hidden="false"/>
    </xf>
    <xf numFmtId="164" fontId="53" fillId="39" borderId="21" xfId="0" applyFont="true" applyBorder="true" applyAlignment="true" applyProtection="true">
      <alignment horizontal="center" vertical="center" textRotation="0" wrapText="true" indent="0" shrinkToFit="false"/>
      <protection locked="true" hidden="false"/>
    </xf>
    <xf numFmtId="164" fontId="53" fillId="40" borderId="15" xfId="0" applyFont="true" applyBorder="true" applyAlignment="true" applyProtection="true">
      <alignment horizontal="center" vertical="center" textRotation="0" wrapText="true" indent="0" shrinkToFit="false"/>
      <protection locked="true" hidden="false"/>
    </xf>
    <xf numFmtId="164" fontId="53" fillId="40" borderId="19" xfId="0" applyFont="true" applyBorder="true" applyAlignment="true" applyProtection="true">
      <alignment horizontal="center" vertical="center" textRotation="0" wrapText="true" indent="0" shrinkToFit="false"/>
      <protection locked="true" hidden="false"/>
    </xf>
    <xf numFmtId="164" fontId="53" fillId="3" borderId="11" xfId="0" applyFont="true" applyBorder="true" applyAlignment="true" applyProtection="true">
      <alignment horizontal="center" vertical="center" textRotation="0" wrapText="true" indent="0" shrinkToFit="false"/>
      <protection locked="true" hidden="false"/>
    </xf>
    <xf numFmtId="164" fontId="53" fillId="19" borderId="15" xfId="0" applyFont="true" applyBorder="true" applyAlignment="true" applyProtection="true">
      <alignment horizontal="center" vertical="center" textRotation="0" wrapText="true" indent="0" shrinkToFit="false"/>
      <protection locked="true" hidden="false"/>
    </xf>
    <xf numFmtId="164" fontId="53" fillId="0" borderId="11" xfId="0" applyFont="true" applyBorder="true" applyAlignment="true" applyProtection="true">
      <alignment horizontal="center" vertical="center" textRotation="0" wrapText="false" indent="0" shrinkToFit="false"/>
      <protection locked="true" hidden="false"/>
    </xf>
    <xf numFmtId="164" fontId="53" fillId="18" borderId="11" xfId="0" applyFont="true" applyBorder="true" applyAlignment="true" applyProtection="true">
      <alignment horizontal="center" vertical="center" textRotation="0" wrapText="true" indent="0" shrinkToFit="false"/>
      <protection locked="true" hidden="false"/>
    </xf>
    <xf numFmtId="164" fontId="53" fillId="18" borderId="52" xfId="0" applyFont="true" applyBorder="true" applyAlignment="true" applyProtection="true">
      <alignment horizontal="center" vertical="center" textRotation="0" wrapText="true" indent="0" shrinkToFit="false"/>
      <protection locked="true" hidden="false"/>
    </xf>
    <xf numFmtId="164" fontId="53" fillId="6" borderId="0" xfId="0" applyFont="true" applyBorder="false" applyAlignment="true" applyProtection="true">
      <alignment horizontal="center" vertical="center" textRotation="0" wrapText="true" indent="0" shrinkToFit="false"/>
      <protection locked="true" hidden="false"/>
    </xf>
    <xf numFmtId="164" fontId="53" fillId="4" borderId="11" xfId="0" applyFont="true" applyBorder="true" applyAlignment="true" applyProtection="true">
      <alignment horizontal="center" vertical="center" textRotation="0" wrapText="false" indent="0" shrinkToFit="false"/>
      <protection locked="true" hidden="false"/>
    </xf>
    <xf numFmtId="164" fontId="53" fillId="4" borderId="11" xfId="0" applyFont="true" applyBorder="true" applyAlignment="true" applyProtection="true">
      <alignment horizontal="center" vertical="center" textRotation="0" wrapText="true" indent="0" shrinkToFit="false"/>
      <protection locked="true" hidden="false"/>
    </xf>
    <xf numFmtId="169" fontId="53" fillId="6" borderId="11" xfId="19" applyFont="true" applyBorder="true" applyAlignment="true" applyProtection="true">
      <alignment horizontal="center" vertical="center" textRotation="0" wrapText="true" indent="0" shrinkToFit="false"/>
      <protection locked="true" hidden="false"/>
    </xf>
    <xf numFmtId="170" fontId="53" fillId="6" borderId="11" xfId="0" applyFont="true" applyBorder="true" applyAlignment="true" applyProtection="true">
      <alignment horizontal="center" vertical="center" textRotation="0" wrapText="true" indent="0" shrinkToFit="false"/>
      <protection locked="true" hidden="false"/>
    </xf>
    <xf numFmtId="170" fontId="53" fillId="7" borderId="11" xfId="0" applyFont="true" applyBorder="true" applyAlignment="true" applyProtection="true">
      <alignment horizontal="center" vertical="center" textRotation="0" wrapText="true" indent="0" shrinkToFit="false"/>
      <protection locked="true" hidden="false"/>
    </xf>
    <xf numFmtId="174" fontId="53" fillId="7" borderId="11" xfId="0" applyFont="true" applyBorder="true" applyAlignment="true" applyProtection="true">
      <alignment horizontal="center" vertical="center" textRotation="0" wrapText="true" indent="0" shrinkToFit="false"/>
      <protection locked="true" hidden="false"/>
    </xf>
    <xf numFmtId="170" fontId="53" fillId="39" borderId="11" xfId="0" applyFont="true" applyBorder="true" applyAlignment="true" applyProtection="true">
      <alignment horizontal="center" vertical="center" textRotation="0" wrapText="true" indent="0" shrinkToFit="false"/>
      <protection locked="true" hidden="false"/>
    </xf>
    <xf numFmtId="170" fontId="53" fillId="39" borderId="12" xfId="0" applyFont="true" applyBorder="true" applyAlignment="true" applyProtection="true">
      <alignment horizontal="center" vertical="center" textRotation="0" wrapText="true" indent="0" shrinkToFit="false"/>
      <protection locked="true" hidden="false"/>
    </xf>
    <xf numFmtId="170" fontId="53" fillId="39" borderId="21" xfId="0" applyFont="true" applyBorder="true" applyAlignment="true" applyProtection="true">
      <alignment horizontal="center" vertical="center" textRotation="0" wrapText="true" indent="0" shrinkToFit="false"/>
      <protection locked="true" hidden="false"/>
    </xf>
    <xf numFmtId="164" fontId="53" fillId="40" borderId="23" xfId="0" applyFont="true" applyBorder="true" applyAlignment="true" applyProtection="true">
      <alignment horizontal="center" vertical="center" textRotation="0" wrapText="false" indent="0" shrinkToFit="false"/>
      <protection locked="true" hidden="false"/>
    </xf>
    <xf numFmtId="164" fontId="53" fillId="40" borderId="21" xfId="0" applyFont="true" applyBorder="true" applyAlignment="true" applyProtection="true">
      <alignment horizontal="center" vertical="center" textRotation="0" wrapText="false" indent="0" shrinkToFit="false"/>
      <protection locked="true" hidden="false"/>
    </xf>
    <xf numFmtId="164" fontId="53" fillId="3" borderId="14" xfId="0" applyFont="true" applyBorder="true" applyAlignment="true" applyProtection="true">
      <alignment horizontal="center" vertical="center" textRotation="0" wrapText="true" indent="0" shrinkToFit="false"/>
      <protection locked="true" hidden="false"/>
    </xf>
    <xf numFmtId="170" fontId="53" fillId="19" borderId="23" xfId="0" applyFont="true" applyBorder="true" applyAlignment="true" applyProtection="true">
      <alignment horizontal="center" vertical="center" textRotation="0" wrapText="false" indent="0" shrinkToFit="false"/>
      <protection locked="true" hidden="false"/>
    </xf>
    <xf numFmtId="164" fontId="53" fillId="17" borderId="11" xfId="0" applyFont="true" applyBorder="true" applyAlignment="true" applyProtection="true">
      <alignment horizontal="center" vertical="center" textRotation="0" wrapText="false" indent="0" shrinkToFit="false"/>
      <protection locked="true" hidden="false"/>
    </xf>
    <xf numFmtId="164" fontId="53" fillId="0" borderId="13" xfId="0" applyFont="true" applyBorder="true" applyAlignment="true" applyProtection="true">
      <alignment horizontal="left" vertical="top" textRotation="0" wrapText="true" indent="0" shrinkToFit="false"/>
      <protection locked="true" hidden="false"/>
    </xf>
    <xf numFmtId="164" fontId="53" fillId="41" borderId="0" xfId="0" applyFont="true" applyBorder="false" applyAlignment="true" applyProtection="true">
      <alignment horizontal="left" vertical="center" textRotation="0" wrapText="false" indent="0" shrinkToFit="false"/>
      <protection locked="true" hidden="false"/>
    </xf>
    <xf numFmtId="173" fontId="53" fillId="41" borderId="0" xfId="0" applyFont="true" applyBorder="false" applyAlignment="true" applyProtection="true">
      <alignment horizontal="center" vertical="center" textRotation="0" wrapText="false" indent="0" shrinkToFit="false"/>
      <protection locked="true" hidden="false"/>
    </xf>
    <xf numFmtId="164" fontId="53" fillId="41" borderId="0" xfId="0" applyFont="true" applyBorder="false" applyAlignment="true" applyProtection="true">
      <alignment horizontal="center" vertical="center" textRotation="0" wrapText="false" indent="0" shrinkToFit="false"/>
      <protection locked="true" hidden="false"/>
    </xf>
    <xf numFmtId="164" fontId="51" fillId="4" borderId="11" xfId="0" applyFont="true" applyBorder="true" applyAlignment="true" applyProtection="true">
      <alignment horizontal="center" vertical="center" textRotation="0" wrapText="true" indent="0" shrinkToFit="false"/>
      <protection locked="true" hidden="false"/>
    </xf>
    <xf numFmtId="164" fontId="53" fillId="33" borderId="0" xfId="0" applyFont="true" applyBorder="false" applyAlignment="true" applyProtection="true">
      <alignment horizontal="left" vertical="center" textRotation="0" wrapText="false" indent="0" shrinkToFit="false"/>
      <protection locked="true" hidden="false"/>
    </xf>
    <xf numFmtId="173" fontId="53" fillId="33" borderId="0" xfId="0" applyFont="true" applyBorder="false" applyAlignment="true" applyProtection="true">
      <alignment horizontal="center" vertical="center" textRotation="0" wrapText="false" indent="0" shrinkToFit="false"/>
      <protection locked="true" hidden="false"/>
    </xf>
    <xf numFmtId="164" fontId="53" fillId="7" borderId="0" xfId="0" applyFont="true" applyBorder="false" applyAlignment="true" applyProtection="true">
      <alignment horizontal="left" vertical="center" textRotation="0" wrapText="false" indent="0" shrinkToFit="false"/>
      <protection locked="true" hidden="false"/>
    </xf>
    <xf numFmtId="173" fontId="53" fillId="7" borderId="0" xfId="0" applyFont="true" applyBorder="false" applyAlignment="true" applyProtection="true">
      <alignment horizontal="center" vertical="center" textRotation="0" wrapText="false" indent="0" shrinkToFit="false"/>
      <protection locked="true" hidden="false"/>
    </xf>
    <xf numFmtId="173" fontId="53" fillId="18" borderId="0" xfId="0" applyFont="true" applyBorder="false" applyAlignment="true" applyProtection="true">
      <alignment horizontal="center" vertical="center" textRotation="0" wrapText="false" indent="0" shrinkToFit="false"/>
      <protection locked="true" hidden="false"/>
    </xf>
    <xf numFmtId="164" fontId="53" fillId="18" borderId="0" xfId="0" applyFont="true" applyBorder="false" applyAlignment="true" applyProtection="true">
      <alignment horizontal="center" vertical="center" textRotation="0" wrapText="true" indent="0" shrinkToFit="false"/>
      <protection locked="true" hidden="false"/>
    </xf>
    <xf numFmtId="164" fontId="53" fillId="18" borderId="0" xfId="0" applyFont="true" applyBorder="false" applyAlignment="true" applyProtection="true">
      <alignment horizontal="left" vertical="center" textRotation="0" wrapText="false" indent="0" shrinkToFit="false"/>
      <protection locked="true" hidden="false"/>
    </xf>
    <xf numFmtId="164" fontId="51" fillId="4" borderId="11" xfId="0" applyFont="true" applyBorder="true" applyAlignment="true" applyProtection="true">
      <alignment horizontal="center" vertical="center" textRotation="0" wrapText="false" indent="0" shrinkToFit="false"/>
      <protection locked="true" hidden="false"/>
    </xf>
    <xf numFmtId="164" fontId="53" fillId="4" borderId="40" xfId="0" applyFont="true" applyBorder="true" applyAlignment="true" applyProtection="true">
      <alignment horizontal="center" vertical="center" textRotation="0" wrapText="true" indent="0" shrinkToFit="false"/>
      <protection locked="true" hidden="false"/>
    </xf>
    <xf numFmtId="170" fontId="53" fillId="8" borderId="28" xfId="0" applyFont="true" applyBorder="true" applyAlignment="true" applyProtection="true">
      <alignment horizontal="center" vertical="center" textRotation="0" wrapText="true" indent="0" shrinkToFit="false"/>
      <protection locked="true" hidden="false"/>
    </xf>
    <xf numFmtId="164" fontId="53" fillId="4" borderId="28" xfId="0" applyFont="true" applyBorder="true" applyAlignment="true" applyProtection="true">
      <alignment horizontal="center" vertical="center" textRotation="0" wrapText="false" indent="0" shrinkToFit="false"/>
      <protection locked="true" hidden="false"/>
    </xf>
    <xf numFmtId="170" fontId="53" fillId="8" borderId="39" xfId="0" applyFont="true" applyBorder="true" applyAlignment="true" applyProtection="true">
      <alignment horizontal="center" vertical="center" textRotation="0" wrapText="true" indent="0" shrinkToFit="false"/>
      <protection locked="true" hidden="false"/>
    </xf>
    <xf numFmtId="164" fontId="14" fillId="0" borderId="0" xfId="80" applyFont="true" applyBorder="false" applyAlignment="true" applyProtection="true">
      <alignment horizontal="center" vertical="bottom" textRotation="0" wrapText="false" indent="0" shrinkToFit="false"/>
      <protection locked="true" hidden="false"/>
    </xf>
    <xf numFmtId="164" fontId="14" fillId="0" borderId="0" xfId="80" applyFont="true" applyBorder="false" applyAlignment="true" applyProtection="true">
      <alignment horizontal="general" vertical="bottom" textRotation="0" wrapText="false" indent="0" shrinkToFit="false"/>
      <protection locked="true" hidden="false"/>
    </xf>
    <xf numFmtId="164" fontId="62" fillId="0" borderId="0" xfId="80" applyFont="true" applyBorder="false" applyAlignment="true" applyProtection="true">
      <alignment horizontal="center" vertical="bottom" textRotation="0" wrapText="false" indent="0" shrinkToFit="false"/>
      <protection locked="true" hidden="false"/>
    </xf>
    <xf numFmtId="164" fontId="62" fillId="0" borderId="0" xfId="80" applyFont="true" applyBorder="true" applyAlignment="true" applyProtection="true">
      <alignment horizontal="center" vertical="bottom" textRotation="0" wrapText="false" indent="0" shrinkToFit="false"/>
      <protection locked="true" hidden="false"/>
    </xf>
    <xf numFmtId="164" fontId="153" fillId="0" borderId="0" xfId="80" applyFont="true" applyBorder="true" applyAlignment="true" applyProtection="true">
      <alignment horizontal="center" vertical="bottom" textRotation="0" wrapText="false" indent="0" shrinkToFit="false"/>
      <protection locked="true" hidden="false"/>
    </xf>
    <xf numFmtId="164" fontId="132" fillId="0" borderId="0" xfId="80" applyFont="true" applyBorder="false" applyAlignment="true" applyProtection="true">
      <alignment horizontal="center" vertical="bottom" textRotation="0" wrapText="false" indent="0" shrinkToFit="false"/>
      <protection locked="true" hidden="false"/>
    </xf>
    <xf numFmtId="164" fontId="133" fillId="11" borderId="21" xfId="80" applyFont="true" applyBorder="true" applyAlignment="true" applyProtection="true">
      <alignment horizontal="center" vertical="center" textRotation="0" wrapText="true" indent="0" shrinkToFit="false"/>
      <protection locked="true" hidden="false"/>
    </xf>
    <xf numFmtId="164" fontId="132" fillId="18" borderId="21" xfId="80" applyFont="true" applyBorder="true" applyAlignment="true" applyProtection="true">
      <alignment horizontal="left" vertical="center" textRotation="0" wrapText="true" indent="0" shrinkToFit="false"/>
      <protection locked="true" hidden="false"/>
    </xf>
    <xf numFmtId="164" fontId="132" fillId="18" borderId="0" xfId="80" applyFont="true" applyBorder="false" applyAlignment="true" applyProtection="true">
      <alignment horizontal="general" vertical="center" textRotation="0" wrapText="true" indent="0" shrinkToFit="false"/>
      <protection locked="true" hidden="false"/>
    </xf>
    <xf numFmtId="164" fontId="155" fillId="18" borderId="34" xfId="80" applyFont="true" applyBorder="true" applyAlignment="true" applyProtection="true">
      <alignment horizontal="center" vertical="bottom" textRotation="0" wrapText="false" indent="0" shrinkToFit="false"/>
      <protection locked="true" hidden="false"/>
    </xf>
    <xf numFmtId="164" fontId="133" fillId="11" borderId="21" xfId="80" applyFont="true" applyBorder="true" applyAlignment="true" applyProtection="true">
      <alignment horizontal="center" vertical="bottom" textRotation="0" wrapText="false" indent="0" shrinkToFit="false"/>
      <protection locked="true" hidden="false"/>
    </xf>
    <xf numFmtId="164" fontId="153" fillId="18" borderId="21" xfId="80" applyFont="true" applyBorder="true" applyAlignment="true" applyProtection="true">
      <alignment horizontal="center" vertical="bottom" textRotation="0" wrapText="false" indent="0" shrinkToFit="false"/>
      <protection locked="true" hidden="false"/>
    </xf>
    <xf numFmtId="164" fontId="81" fillId="11" borderId="21" xfId="80" applyFont="true" applyBorder="true" applyAlignment="true" applyProtection="true">
      <alignment horizontal="center" vertical="bottom" textRotation="0" wrapText="false" indent="0" shrinkToFit="false"/>
      <protection locked="true" hidden="false"/>
    </xf>
    <xf numFmtId="164" fontId="81" fillId="11" borderId="21" xfId="80" applyFont="true" applyBorder="true" applyAlignment="true" applyProtection="true">
      <alignment horizontal="general" vertical="bottom" textRotation="0" wrapText="false" indent="0" shrinkToFit="false"/>
      <protection locked="true" hidden="false"/>
    </xf>
    <xf numFmtId="164" fontId="156" fillId="18" borderId="21" xfId="80" applyFont="true" applyBorder="true" applyAlignment="true" applyProtection="true">
      <alignment horizontal="center" vertical="bottom" textRotation="0" wrapText="false" indent="0" shrinkToFit="false"/>
      <protection locked="true" hidden="false"/>
    </xf>
    <xf numFmtId="164" fontId="156" fillId="18" borderId="21" xfId="80" applyFont="true" applyBorder="true" applyAlignment="true" applyProtection="true">
      <alignment horizontal="center" vertical="bottom" textRotation="0" wrapText="true" indent="0" shrinkToFit="false"/>
      <protection locked="true" hidden="false"/>
    </xf>
    <xf numFmtId="169" fontId="81" fillId="11" borderId="21" xfId="93" applyFont="true" applyBorder="true" applyAlignment="true" applyProtection="true">
      <alignment horizontal="center" vertical="bottom" textRotation="0" wrapText="false" indent="0" shrinkToFit="false"/>
      <protection locked="true" hidden="false"/>
    </xf>
    <xf numFmtId="164" fontId="106" fillId="0" borderId="0" xfId="80" applyFont="true" applyBorder="false" applyAlignment="true" applyProtection="true">
      <alignment horizontal="center" vertical="bottom" textRotation="0" wrapText="false" indent="0" shrinkToFit="false"/>
      <protection locked="true" hidden="false"/>
    </xf>
    <xf numFmtId="164" fontId="81" fillId="11" borderId="21" xfId="80" applyFont="true" applyBorder="true" applyAlignment="true" applyProtection="true">
      <alignment horizontal="center" vertical="bottom" textRotation="0" wrapText="true" indent="0" shrinkToFit="false"/>
      <protection locked="true" hidden="false"/>
    </xf>
    <xf numFmtId="164" fontId="106" fillId="11" borderId="21" xfId="80" applyFont="true" applyBorder="true" applyAlignment="true" applyProtection="true">
      <alignment horizontal="center" vertical="bottom" textRotation="0" wrapText="false" indent="0" shrinkToFit="false"/>
      <protection locked="true" hidden="false"/>
    </xf>
    <xf numFmtId="164" fontId="106" fillId="11" borderId="21" xfId="80" applyFont="true" applyBorder="true" applyAlignment="true" applyProtection="true">
      <alignment horizontal="general" vertical="bottom" textRotation="0" wrapText="false" indent="0" shrinkToFit="false"/>
      <protection locked="true" hidden="false"/>
    </xf>
    <xf numFmtId="164" fontId="157" fillId="18" borderId="21" xfId="80" applyFont="true" applyBorder="true" applyAlignment="true" applyProtection="true">
      <alignment horizontal="center" vertical="bottom" textRotation="0" wrapText="false" indent="0" shrinkToFit="false"/>
      <protection locked="true" hidden="false"/>
    </xf>
    <xf numFmtId="164" fontId="157" fillId="18" borderId="22" xfId="80" applyFont="true" applyBorder="true" applyAlignment="true" applyProtection="true">
      <alignment horizontal="center" vertical="bottom" textRotation="0" wrapText="false" indent="0" shrinkToFit="false"/>
      <protection locked="true" hidden="false"/>
    </xf>
    <xf numFmtId="164" fontId="81" fillId="0" borderId="0" xfId="80" applyFont="true" applyBorder="false" applyAlignment="true" applyProtection="true">
      <alignment horizontal="center" vertical="bottom" textRotation="0" wrapText="false" indent="0" shrinkToFit="false"/>
      <protection locked="true" hidden="false"/>
    </xf>
    <xf numFmtId="164" fontId="81" fillId="0" borderId="0" xfId="80" applyFont="true" applyBorder="false" applyAlignment="true" applyProtection="true">
      <alignment horizontal="general" vertical="bottom" textRotation="0" wrapText="false" indent="0" shrinkToFit="false"/>
      <protection locked="true" hidden="false"/>
    </xf>
    <xf numFmtId="169" fontId="81" fillId="0" borderId="0" xfId="93" applyFont="true" applyBorder="true" applyAlignment="true" applyProtection="true">
      <alignment horizontal="center" vertical="bottom" textRotation="0" wrapText="false" indent="0" shrinkToFit="false"/>
      <protection locked="true" hidden="false"/>
    </xf>
    <xf numFmtId="169" fontId="4" fillId="0" borderId="0" xfId="93" applyFont="true" applyBorder="true" applyAlignment="true" applyProtection="true">
      <alignment horizontal="center" vertical="bottom" textRotation="0" wrapText="false" indent="0" shrinkToFit="false"/>
      <protection locked="true" hidden="false"/>
    </xf>
    <xf numFmtId="164" fontId="133" fillId="11" borderId="21" xfId="80" applyFont="true" applyBorder="true" applyAlignment="true" applyProtection="true">
      <alignment horizontal="center" vertical="center" textRotation="0" wrapText="false" indent="0" shrinkToFit="false"/>
      <protection locked="true" hidden="false"/>
    </xf>
    <xf numFmtId="164" fontId="155" fillId="18" borderId="21" xfId="80" applyFont="true" applyBorder="true" applyAlignment="true" applyProtection="true">
      <alignment horizontal="center" vertical="center" textRotation="0" wrapText="false" indent="0" shrinkToFit="false"/>
      <protection locked="true" hidden="false"/>
    </xf>
    <xf numFmtId="164" fontId="155" fillId="18" borderId="21" xfId="80" applyFont="true" applyBorder="true" applyAlignment="true" applyProtection="true">
      <alignment horizontal="center" vertical="center" textRotation="0" wrapText="true" indent="0" shrinkToFit="false"/>
      <protection locked="true" hidden="false"/>
    </xf>
    <xf numFmtId="164" fontId="158" fillId="18" borderId="21" xfId="80" applyFont="true" applyBorder="true" applyAlignment="true" applyProtection="true">
      <alignment horizontal="center" vertical="bottom" textRotation="0" wrapText="false" indent="0" shrinkToFit="false"/>
      <protection locked="true" hidden="false"/>
    </xf>
    <xf numFmtId="164" fontId="159" fillId="18" borderId="21" xfId="80" applyFont="true" applyBorder="true" applyAlignment="true" applyProtection="true">
      <alignment horizontal="center" vertical="bottom" textRotation="0" wrapText="false" indent="0" shrinkToFit="false"/>
      <protection locked="true" hidden="false"/>
    </xf>
    <xf numFmtId="166" fontId="159" fillId="18" borderId="21" xfId="75" applyFont="true" applyBorder="true" applyAlignment="true" applyProtection="true">
      <alignment horizontal="center" vertical="bottom" textRotation="0" wrapText="false" indent="0" shrinkToFit="false"/>
      <protection locked="true" hidden="false"/>
    </xf>
    <xf numFmtId="166" fontId="106" fillId="11" borderId="21" xfId="75" applyFont="true" applyBorder="true" applyAlignment="true" applyProtection="true">
      <alignment horizontal="center" vertical="bottom" textRotation="0" wrapText="false" indent="0" shrinkToFit="false"/>
      <protection locked="true" hidden="false"/>
    </xf>
    <xf numFmtId="169" fontId="106" fillId="11" borderId="21" xfId="93" applyFont="true" applyBorder="true" applyAlignment="true" applyProtection="true">
      <alignment horizontal="center" vertical="bottom" textRotation="0" wrapText="false" indent="0" shrinkToFit="false"/>
      <protection locked="true" hidden="false"/>
    </xf>
    <xf numFmtId="164" fontId="14" fillId="18" borderId="0" xfId="80" applyFont="true" applyBorder="false" applyAlignment="true" applyProtection="true">
      <alignment horizontal="center" vertical="bottom" textRotation="0" wrapText="false" indent="0" shrinkToFit="false"/>
      <protection locked="true" hidden="false"/>
    </xf>
    <xf numFmtId="164" fontId="62" fillId="18" borderId="0" xfId="80" applyFont="true" applyBorder="false" applyAlignment="true" applyProtection="true">
      <alignment horizontal="center" vertical="bottom" textRotation="0" wrapText="false" indent="0" shrinkToFit="false"/>
      <protection locked="true" hidden="false"/>
    </xf>
    <xf numFmtId="164" fontId="132" fillId="18" borderId="23" xfId="80" applyFont="true" applyBorder="true" applyAlignment="true" applyProtection="true">
      <alignment horizontal="left" vertical="center" textRotation="0" wrapText="true" indent="0" shrinkToFit="false"/>
      <protection locked="true" hidden="false"/>
    </xf>
    <xf numFmtId="164" fontId="153" fillId="0" borderId="0" xfId="80" applyFont="true" applyBorder="true" applyAlignment="true" applyProtection="true">
      <alignment horizontal="left" vertical="center" textRotation="0" wrapText="true" indent="0" shrinkToFit="false"/>
      <protection locked="true" hidden="false"/>
    </xf>
    <xf numFmtId="164" fontId="154" fillId="0" borderId="0" xfId="80" applyFont="true" applyBorder="false" applyAlignment="true" applyProtection="true">
      <alignment horizontal="general" vertical="bottom" textRotation="0" wrapText="true" indent="0" shrinkToFit="false"/>
      <protection locked="true" hidden="false"/>
    </xf>
    <xf numFmtId="164" fontId="154" fillId="0" borderId="0" xfId="80" applyFont="true" applyBorder="true" applyAlignment="true" applyProtection="true">
      <alignment horizontal="left" vertical="center" textRotation="0" wrapText="true" indent="0" shrinkToFit="false"/>
      <protection locked="true" hidden="false"/>
    </xf>
    <xf numFmtId="164" fontId="154" fillId="0" borderId="0" xfId="80" applyFont="true" applyBorder="false" applyAlignment="true" applyProtection="true">
      <alignment horizontal="general" vertical="bottom" textRotation="0" wrapText="false" indent="0" shrinkToFit="false"/>
      <protection locked="true" hidden="false"/>
    </xf>
    <xf numFmtId="164" fontId="160" fillId="13" borderId="21" xfId="80" applyFont="true" applyBorder="true" applyAlignment="true" applyProtection="true">
      <alignment horizontal="center" vertical="center" textRotation="0" wrapText="false" indent="0" shrinkToFit="false"/>
      <protection locked="true" hidden="false"/>
    </xf>
    <xf numFmtId="164" fontId="154" fillId="0" borderId="0" xfId="80" applyFont="true" applyBorder="false" applyAlignment="true" applyProtection="true">
      <alignment horizontal="center" vertical="bottom" textRotation="0" wrapText="false" indent="0" shrinkToFit="false"/>
      <protection locked="true" hidden="false"/>
    </xf>
    <xf numFmtId="164" fontId="161" fillId="0" borderId="0" xfId="80" applyFont="true" applyBorder="false" applyAlignment="true" applyProtection="true">
      <alignment horizontal="center" vertical="bottom" textRotation="0" wrapText="false" indent="0" shrinkToFit="false"/>
      <protection locked="true" hidden="false"/>
    </xf>
    <xf numFmtId="164" fontId="161" fillId="0" borderId="0" xfId="80" applyFont="true" applyBorder="false" applyAlignment="true" applyProtection="true">
      <alignment horizontal="general" vertical="bottom" textRotation="0" wrapText="false" indent="0" shrinkToFit="false"/>
      <protection locked="true" hidden="false"/>
    </xf>
    <xf numFmtId="164" fontId="84" fillId="0" borderId="0" xfId="80" applyFont="true" applyBorder="false" applyAlignment="true" applyProtection="true">
      <alignment horizontal="center" vertical="bottom" textRotation="0" wrapText="false" indent="0" shrinkToFit="false"/>
      <protection locked="true" hidden="false"/>
    </xf>
    <xf numFmtId="164" fontId="100" fillId="0" borderId="0" xfId="80" applyFont="true" applyBorder="false" applyAlignment="true" applyProtection="true">
      <alignment horizontal="center" vertical="bottom" textRotation="0" wrapText="false" indent="0" shrinkToFit="false"/>
      <protection locked="true" hidden="false"/>
    </xf>
    <xf numFmtId="164" fontId="133" fillId="7" borderId="21" xfId="80" applyFont="true" applyBorder="true" applyAlignment="true" applyProtection="true">
      <alignment horizontal="center" vertical="center" textRotation="0" wrapText="false" indent="0" shrinkToFit="false"/>
      <protection locked="true" hidden="false"/>
    </xf>
    <xf numFmtId="164" fontId="153" fillId="18" borderId="21" xfId="80" applyFont="true" applyBorder="true" applyAlignment="true" applyProtection="true">
      <alignment horizontal="center" vertical="center" textRotation="0" wrapText="false" indent="0" shrinkToFit="false"/>
      <protection locked="true" hidden="false"/>
    </xf>
    <xf numFmtId="164" fontId="153" fillId="18" borderId="21" xfId="80" applyFont="true" applyBorder="true" applyAlignment="true" applyProtection="true">
      <alignment horizontal="center" vertical="center" textRotation="0" wrapText="true" indent="0" shrinkToFit="false"/>
      <protection locked="true" hidden="false"/>
    </xf>
    <xf numFmtId="164" fontId="133" fillId="0" borderId="0" xfId="80" applyFont="true" applyBorder="false" applyAlignment="true" applyProtection="true">
      <alignment horizontal="center" vertical="center" textRotation="0" wrapText="false" indent="0" shrinkToFit="false"/>
      <protection locked="true" hidden="false"/>
    </xf>
    <xf numFmtId="164" fontId="133" fillId="7" borderId="21" xfId="80" applyFont="true" applyBorder="true" applyAlignment="true" applyProtection="true">
      <alignment horizontal="center" vertical="center" textRotation="0" wrapText="true" indent="0" shrinkToFit="false"/>
      <protection locked="true" hidden="false"/>
    </xf>
    <xf numFmtId="164" fontId="132" fillId="7" borderId="21" xfId="80" applyFont="true" applyBorder="true" applyAlignment="true" applyProtection="true">
      <alignment horizontal="center" vertical="bottom" textRotation="0" wrapText="false" indent="0" shrinkToFit="false"/>
      <protection locked="true" hidden="false"/>
    </xf>
    <xf numFmtId="164" fontId="154" fillId="18" borderId="21" xfId="80" applyFont="true" applyBorder="true" applyAlignment="true" applyProtection="true">
      <alignment horizontal="center" vertical="bottom" textRotation="0" wrapText="false" indent="0" shrinkToFit="false"/>
      <protection locked="true" hidden="false"/>
    </xf>
    <xf numFmtId="164" fontId="154" fillId="18" borderId="21" xfId="80" applyFont="true" applyBorder="true" applyAlignment="true" applyProtection="true">
      <alignment horizontal="general" vertical="bottom" textRotation="0" wrapText="false" indent="0" shrinkToFit="false"/>
      <protection locked="true" hidden="false"/>
    </xf>
    <xf numFmtId="169" fontId="133" fillId="7" borderId="21" xfId="93" applyFont="true" applyBorder="true" applyAlignment="true" applyProtection="true">
      <alignment horizontal="center" vertical="center" textRotation="0" wrapText="false" indent="0" shrinkToFit="false"/>
      <protection locked="true" hidden="false"/>
    </xf>
    <xf numFmtId="164" fontId="162" fillId="18" borderId="21" xfId="80" applyFont="true" applyBorder="true" applyAlignment="true" applyProtection="true">
      <alignment horizontal="center" vertical="bottom" textRotation="0" wrapText="false" indent="0" shrinkToFit="false"/>
      <protection locked="true" hidden="false"/>
    </xf>
    <xf numFmtId="164" fontId="153" fillId="18" borderId="21" xfId="80" applyFont="true" applyBorder="true" applyAlignment="true" applyProtection="true">
      <alignment horizontal="general" vertical="bottom" textRotation="0" wrapText="false" indent="0" shrinkToFit="false"/>
      <protection locked="true" hidden="false"/>
    </xf>
    <xf numFmtId="164" fontId="155" fillId="18" borderId="21" xfId="80" applyFont="true" applyBorder="true" applyAlignment="true" applyProtection="true">
      <alignment horizontal="center" vertical="bottom" textRotation="0" wrapText="false" indent="0" shrinkToFit="false"/>
      <protection locked="true" hidden="false"/>
    </xf>
    <xf numFmtId="164" fontId="14" fillId="7" borderId="21" xfId="80" applyFont="true" applyBorder="true" applyAlignment="true" applyProtection="true">
      <alignment horizontal="center" vertical="bottom" textRotation="0" wrapText="false" indent="0" shrinkToFit="false"/>
      <protection locked="true" hidden="false"/>
    </xf>
    <xf numFmtId="164" fontId="136" fillId="18" borderId="21" xfId="80" applyFont="true" applyBorder="true" applyAlignment="true" applyProtection="true">
      <alignment horizontal="center" vertical="bottom" textRotation="0" wrapText="false" indent="0" shrinkToFit="false"/>
      <protection locked="true" hidden="false"/>
    </xf>
    <xf numFmtId="164" fontId="136" fillId="18" borderId="21" xfId="80" applyFont="true" applyBorder="true" applyAlignment="true" applyProtection="true">
      <alignment horizontal="general" vertical="bottom" textRotation="0" wrapText="false" indent="0" shrinkToFit="false"/>
      <protection locked="true" hidden="false"/>
    </xf>
    <xf numFmtId="164" fontId="48" fillId="0" borderId="0" xfId="80" applyFont="true" applyBorder="false" applyAlignment="true" applyProtection="true">
      <alignment horizontal="general" vertical="bottom" textRotation="0" wrapText="false" indent="0" shrinkToFit="false"/>
      <protection locked="true" hidden="false"/>
    </xf>
    <xf numFmtId="164" fontId="48" fillId="18" borderId="0" xfId="80" applyFont="true" applyBorder="false" applyAlignment="true" applyProtection="true">
      <alignment horizontal="general" vertical="bottom" textRotation="0" wrapText="false" indent="0" shrinkToFit="false"/>
      <protection locked="true" hidden="false"/>
    </xf>
    <xf numFmtId="164" fontId="163" fillId="0" borderId="0" xfId="80" applyFont="true" applyBorder="false" applyAlignment="true" applyProtection="true">
      <alignment horizontal="general" vertical="bottom" textRotation="0" wrapText="false" indent="0" shrinkToFit="false"/>
      <protection locked="true" hidden="false"/>
    </xf>
    <xf numFmtId="164" fontId="20" fillId="0" borderId="0" xfId="80" applyFont="true" applyBorder="false" applyAlignment="true" applyProtection="true">
      <alignment horizontal="general" vertical="bottom" textRotation="0" wrapText="false" indent="0" shrinkToFit="false"/>
      <protection locked="true" hidden="false"/>
    </xf>
    <xf numFmtId="164" fontId="4" fillId="0" borderId="0" xfId="80" applyFont="true" applyBorder="false" applyAlignment="true" applyProtection="true">
      <alignment horizontal="general" vertical="bottom" textRotation="0" wrapText="false" indent="0" shrinkToFit="false"/>
      <protection locked="true" hidden="false"/>
    </xf>
    <xf numFmtId="164" fontId="4" fillId="18" borderId="0" xfId="80" applyFont="true" applyBorder="false" applyAlignment="true" applyProtection="true">
      <alignment horizontal="general" vertical="bottom" textRotation="0" wrapText="false" indent="0" shrinkToFit="false"/>
      <protection locked="true" hidden="false"/>
    </xf>
    <xf numFmtId="164" fontId="164" fillId="0" borderId="0" xfId="80" applyFont="true" applyBorder="false" applyAlignment="true" applyProtection="true">
      <alignment horizontal="general" vertical="bottom" textRotation="0" wrapText="false" indent="0" shrinkToFit="false"/>
      <protection locked="true" hidden="false"/>
    </xf>
    <xf numFmtId="164" fontId="165" fillId="0" borderId="0" xfId="80" applyFont="true" applyBorder="false" applyAlignment="true" applyProtection="true">
      <alignment horizontal="general" vertical="bottom" textRotation="0" wrapText="false" indent="0" shrinkToFit="false"/>
      <protection locked="true" hidden="false"/>
    </xf>
    <xf numFmtId="164" fontId="66" fillId="0" borderId="0" xfId="80" applyFont="true" applyBorder="false" applyAlignment="true" applyProtection="true">
      <alignment horizontal="general" vertical="bottom" textRotation="0" wrapText="false" indent="0" shrinkToFit="false"/>
      <protection locked="true" hidden="false"/>
    </xf>
    <xf numFmtId="164" fontId="66" fillId="11" borderId="21" xfId="80" applyFont="true" applyBorder="true" applyAlignment="true" applyProtection="true">
      <alignment horizontal="center" vertical="center" textRotation="0" wrapText="false" indent="0" shrinkToFit="false"/>
      <protection locked="true" hidden="false"/>
    </xf>
    <xf numFmtId="164" fontId="66" fillId="15" borderId="0" xfId="80" applyFont="true" applyBorder="false" applyAlignment="true" applyProtection="true">
      <alignment horizontal="general" vertical="center" textRotation="0" wrapText="true" indent="0" shrinkToFit="false"/>
      <protection locked="true" hidden="false"/>
    </xf>
    <xf numFmtId="164" fontId="48" fillId="18" borderId="21" xfId="80" applyFont="true" applyBorder="true" applyAlignment="true" applyProtection="true">
      <alignment horizontal="left" vertical="center" textRotation="0" wrapText="true" indent="0" shrinkToFit="false"/>
      <protection locked="true" hidden="false"/>
    </xf>
    <xf numFmtId="164" fontId="66" fillId="18" borderId="0" xfId="80" applyFont="true" applyBorder="false" applyAlignment="true" applyProtection="true">
      <alignment horizontal="center" vertical="center" textRotation="0" wrapText="false" indent="0" shrinkToFit="false"/>
      <protection locked="true" hidden="false"/>
    </xf>
    <xf numFmtId="164" fontId="66" fillId="18" borderId="21" xfId="80" applyFont="true" applyBorder="true" applyAlignment="true" applyProtection="true">
      <alignment horizontal="left" vertical="center" textRotation="0" wrapText="true" indent="0" shrinkToFit="false"/>
      <protection locked="true" hidden="false"/>
    </xf>
    <xf numFmtId="164" fontId="66" fillId="8" borderId="0" xfId="80" applyFont="true" applyBorder="false" applyAlignment="true" applyProtection="true">
      <alignment horizontal="general" vertical="bottom" textRotation="0" wrapText="false" indent="0" shrinkToFit="false"/>
      <protection locked="true" hidden="false"/>
    </xf>
    <xf numFmtId="164" fontId="166" fillId="0" borderId="0" xfId="80" applyFont="true" applyBorder="false" applyAlignment="true" applyProtection="true">
      <alignment horizontal="center" vertical="center" textRotation="0" wrapText="false" indent="0" shrinkToFit="false"/>
      <protection locked="true" hidden="false"/>
    </xf>
    <xf numFmtId="164" fontId="166" fillId="18" borderId="0" xfId="80" applyFont="true" applyBorder="true" applyAlignment="true" applyProtection="true">
      <alignment horizontal="center" vertical="center" textRotation="0" wrapText="true" indent="0" shrinkToFit="false"/>
      <protection locked="true" hidden="false"/>
    </xf>
    <xf numFmtId="164" fontId="166" fillId="18" borderId="0" xfId="80" applyFont="true" applyBorder="false" applyAlignment="true" applyProtection="true">
      <alignment horizontal="left" vertical="center" textRotation="0" wrapText="true" indent="0" shrinkToFit="false"/>
      <protection locked="true" hidden="false"/>
    </xf>
    <xf numFmtId="164" fontId="166" fillId="18" borderId="0" xfId="80" applyFont="true" applyBorder="false" applyAlignment="true" applyProtection="true">
      <alignment horizontal="general" vertical="bottom" textRotation="0" wrapText="false" indent="0" shrinkToFit="false"/>
      <protection locked="true" hidden="false"/>
    </xf>
    <xf numFmtId="164" fontId="166" fillId="0" borderId="0" xfId="80" applyFont="true" applyBorder="false" applyAlignment="true" applyProtection="true">
      <alignment horizontal="general" vertical="bottom" textRotation="0" wrapText="false" indent="0" shrinkToFit="false"/>
      <protection locked="true" hidden="false"/>
    </xf>
    <xf numFmtId="164" fontId="54" fillId="0" borderId="0" xfId="80" applyFont="true" applyBorder="false" applyAlignment="true" applyProtection="true">
      <alignment horizontal="general" vertical="bottom" textRotation="0" wrapText="false" indent="0" shrinkToFit="false"/>
      <protection locked="true" hidden="false"/>
    </xf>
    <xf numFmtId="164" fontId="20" fillId="19" borderId="0" xfId="126" applyFont="true" applyBorder="true" applyAlignment="true" applyProtection="true">
      <alignment horizontal="center" vertical="center" textRotation="0" wrapText="false" indent="0" shrinkToFit="false"/>
      <protection locked="true" hidden="false"/>
    </xf>
    <xf numFmtId="164" fontId="20" fillId="18" borderId="0" xfId="126" applyFont="true" applyBorder="true" applyAlignment="true" applyProtection="true">
      <alignment horizontal="general" vertical="center" textRotation="0" wrapText="false" indent="0" shrinkToFit="false"/>
      <protection locked="true" hidden="false"/>
    </xf>
    <xf numFmtId="164" fontId="20" fillId="19" borderId="0" xfId="127" applyFont="true" applyBorder="true" applyAlignment="true" applyProtection="true">
      <alignment horizontal="center" vertical="center" textRotation="0" wrapText="true" indent="0" shrinkToFit="false"/>
      <protection locked="true" hidden="false"/>
    </xf>
    <xf numFmtId="164" fontId="16" fillId="19" borderId="0" xfId="128" applyFont="true" applyBorder="true" applyAlignment="true" applyProtection="true">
      <alignment horizontal="center" vertical="center" textRotation="0" wrapText="false" indent="0" shrinkToFit="false"/>
      <protection locked="true" hidden="false"/>
    </xf>
    <xf numFmtId="164" fontId="16" fillId="7" borderId="0" xfId="128" applyFont="true" applyBorder="true" applyAlignment="true" applyProtection="true">
      <alignment horizontal="center" vertical="center" textRotation="0" wrapText="true" indent="0" shrinkToFit="false"/>
      <protection locked="true" hidden="false"/>
    </xf>
    <xf numFmtId="164" fontId="16" fillId="8" borderId="0" xfId="129" applyFont="true" applyBorder="true" applyAlignment="true" applyProtection="true">
      <alignment horizontal="center" vertical="center" textRotation="0" wrapText="false" indent="0" shrinkToFit="false"/>
      <protection locked="true" hidden="false"/>
    </xf>
    <xf numFmtId="164" fontId="16" fillId="18" borderId="0" xfId="129" applyFont="true" applyBorder="true" applyAlignment="true" applyProtection="true">
      <alignment horizontal="center" vertical="center" textRotation="0" wrapText="false" indent="0" shrinkToFit="false"/>
      <protection locked="true" hidden="false"/>
    </xf>
    <xf numFmtId="164" fontId="4" fillId="0" borderId="0" xfId="80" applyFont="true" applyBorder="false" applyAlignment="true" applyProtection="true">
      <alignment horizontal="general" vertical="center" textRotation="0" wrapText="false" indent="0" shrinkToFit="false"/>
      <protection locked="true" hidden="false"/>
    </xf>
    <xf numFmtId="164" fontId="4" fillId="18" borderId="0" xfId="80" applyFont="true" applyBorder="false" applyAlignment="true" applyProtection="true">
      <alignment horizontal="general" vertical="center" textRotation="0" wrapText="false" indent="0" shrinkToFit="false"/>
      <protection locked="true" hidden="false"/>
    </xf>
    <xf numFmtId="164" fontId="20" fillId="18" borderId="0" xfId="80" applyFont="true" applyBorder="false" applyAlignment="true" applyProtection="true">
      <alignment horizontal="right" vertical="center" textRotation="90" wrapText="false" indent="0" shrinkToFit="false"/>
      <protection locked="true" hidden="false"/>
    </xf>
    <xf numFmtId="164" fontId="20" fillId="18" borderId="0" xfId="80" applyFont="true" applyBorder="false" applyAlignment="true" applyProtection="true">
      <alignment horizontal="general" vertical="center" textRotation="0" wrapText="false" indent="0" shrinkToFit="false"/>
      <protection locked="true" hidden="false"/>
    </xf>
    <xf numFmtId="164" fontId="20" fillId="18" borderId="0" xfId="80" applyFont="true" applyBorder="false" applyAlignment="true" applyProtection="true">
      <alignment horizontal="general" vertical="center" textRotation="0" wrapText="true" indent="0" shrinkToFit="false"/>
      <protection locked="true" hidden="false"/>
    </xf>
    <xf numFmtId="164" fontId="20" fillId="18" borderId="0" xfId="80" applyFont="true" applyBorder="false" applyAlignment="true" applyProtection="true">
      <alignment horizontal="center" vertical="center" textRotation="0" wrapText="true" indent="0" shrinkToFit="false"/>
      <protection locked="true" hidden="false"/>
    </xf>
    <xf numFmtId="164" fontId="20" fillId="18" borderId="0" xfId="80" applyFont="true" applyBorder="false" applyAlignment="true" applyProtection="true">
      <alignment horizontal="center" vertical="center" textRotation="0" wrapText="false" indent="0" shrinkToFit="false"/>
      <protection locked="true" hidden="false"/>
    </xf>
    <xf numFmtId="164" fontId="169" fillId="18" borderId="0" xfId="80" applyFont="true" applyBorder="false" applyAlignment="true" applyProtection="true">
      <alignment horizontal="general" vertical="center" textRotation="0" wrapText="true" indent="0" shrinkToFit="false"/>
      <protection locked="true" hidden="false"/>
    </xf>
    <xf numFmtId="164" fontId="54" fillId="18" borderId="0" xfId="80" applyFont="true" applyBorder="false" applyAlignment="true" applyProtection="true">
      <alignment horizontal="general" vertical="top" textRotation="0" wrapText="true" indent="0" shrinkToFit="false"/>
      <protection locked="true" hidden="false"/>
    </xf>
    <xf numFmtId="164" fontId="20" fillId="19" borderId="21" xfId="80" applyFont="true" applyBorder="true" applyAlignment="true" applyProtection="true">
      <alignment horizontal="center" vertical="center" textRotation="90" wrapText="true" indent="0" shrinkToFit="false"/>
      <protection locked="true" hidden="false"/>
    </xf>
    <xf numFmtId="164" fontId="170" fillId="19" borderId="21" xfId="80" applyFont="true" applyBorder="true" applyAlignment="true" applyProtection="true">
      <alignment horizontal="center" vertical="center" textRotation="0" wrapText="false" indent="0" shrinkToFit="false"/>
      <protection locked="true" hidden="false"/>
    </xf>
    <xf numFmtId="164" fontId="20" fillId="19" borderId="21" xfId="80" applyFont="true" applyBorder="true" applyAlignment="true" applyProtection="true">
      <alignment horizontal="center" vertical="center" textRotation="0" wrapText="false" indent="0" shrinkToFit="false"/>
      <protection locked="true" hidden="false"/>
    </xf>
    <xf numFmtId="164" fontId="70" fillId="18" borderId="0" xfId="80" applyFont="true" applyBorder="false" applyAlignment="true" applyProtection="true">
      <alignment horizontal="general" vertical="center" textRotation="0" wrapText="false" indent="0" shrinkToFit="false"/>
      <protection locked="true" hidden="false"/>
    </xf>
    <xf numFmtId="164" fontId="70" fillId="19" borderId="21" xfId="80" applyFont="true" applyBorder="true" applyAlignment="true" applyProtection="true">
      <alignment horizontal="center" vertical="center" textRotation="90" wrapText="true" indent="0" shrinkToFit="false"/>
      <protection locked="true" hidden="false"/>
    </xf>
    <xf numFmtId="164" fontId="91" fillId="19" borderId="21" xfId="80" applyFont="true" applyBorder="true" applyAlignment="true" applyProtection="true">
      <alignment horizontal="center" vertical="center" textRotation="90" wrapText="true" indent="0" shrinkToFit="false"/>
      <protection locked="true" hidden="false"/>
    </xf>
    <xf numFmtId="164" fontId="169" fillId="19" borderId="21" xfId="80" applyFont="true" applyBorder="true" applyAlignment="true" applyProtection="true">
      <alignment horizontal="center" vertical="center" textRotation="90" wrapText="true" indent="0" shrinkToFit="false"/>
      <protection locked="true" hidden="false"/>
    </xf>
    <xf numFmtId="164" fontId="91" fillId="7" borderId="21" xfId="80" applyFont="true" applyBorder="true" applyAlignment="true" applyProtection="true">
      <alignment horizontal="center" vertical="center" textRotation="90" wrapText="true" indent="0" shrinkToFit="false"/>
      <protection locked="true" hidden="false"/>
    </xf>
    <xf numFmtId="164" fontId="20" fillId="8" borderId="21" xfId="80" applyFont="true" applyBorder="true" applyAlignment="true" applyProtection="true">
      <alignment horizontal="center" vertical="center" textRotation="0" wrapText="false" indent="0" shrinkToFit="false"/>
      <protection locked="true" hidden="false"/>
    </xf>
    <xf numFmtId="164" fontId="20" fillId="19" borderId="21" xfId="80" applyFont="true" applyBorder="true" applyAlignment="true" applyProtection="true">
      <alignment horizontal="center" vertical="center" textRotation="0" wrapText="true" indent="0" shrinkToFit="false"/>
      <protection locked="true" hidden="false"/>
    </xf>
    <xf numFmtId="164" fontId="70" fillId="0" borderId="0" xfId="80" applyFont="true" applyBorder="false" applyAlignment="true" applyProtection="true">
      <alignment horizontal="general" vertical="center" textRotation="0" wrapText="false" indent="0" shrinkToFit="false"/>
      <protection locked="true" hidden="false"/>
    </xf>
    <xf numFmtId="164" fontId="54" fillId="18" borderId="0" xfId="80" applyFont="true" applyBorder="false" applyAlignment="true" applyProtection="true">
      <alignment horizontal="general" vertical="bottom" textRotation="0" wrapText="false" indent="0" shrinkToFit="false"/>
      <protection locked="true" hidden="false"/>
    </xf>
    <xf numFmtId="164" fontId="171" fillId="8" borderId="28" xfId="80" applyFont="true" applyBorder="true" applyAlignment="true" applyProtection="true">
      <alignment horizontal="center" vertical="center" textRotation="0" wrapText="true" indent="0" shrinkToFit="false"/>
      <protection locked="true" hidden="false"/>
    </xf>
    <xf numFmtId="164" fontId="171" fillId="8" borderId="28" xfId="80" applyFont="true" applyBorder="true" applyAlignment="true" applyProtection="true">
      <alignment horizontal="center" vertical="center" textRotation="0" wrapText="false" indent="0" shrinkToFit="false"/>
      <protection locked="true" hidden="false"/>
    </xf>
    <xf numFmtId="164" fontId="172" fillId="8" borderId="28" xfId="80" applyFont="true" applyBorder="true" applyAlignment="true" applyProtection="true">
      <alignment horizontal="center" vertical="center" textRotation="255" wrapText="true" indent="0" shrinkToFit="false"/>
      <protection locked="true" hidden="false"/>
    </xf>
    <xf numFmtId="164" fontId="171" fillId="8" borderId="21" xfId="80" applyFont="true" applyBorder="true" applyAlignment="true" applyProtection="true">
      <alignment horizontal="center" vertical="center" textRotation="0" wrapText="true" indent="0" shrinkToFit="false"/>
      <protection locked="true" hidden="false"/>
    </xf>
    <xf numFmtId="164" fontId="171" fillId="6" borderId="21" xfId="80" applyFont="true" applyBorder="true" applyAlignment="true" applyProtection="true">
      <alignment horizontal="center" vertical="center" textRotation="0" wrapText="true" indent="0" shrinkToFit="false"/>
      <protection locked="true" hidden="false"/>
    </xf>
    <xf numFmtId="164" fontId="171" fillId="19" borderId="21" xfId="80" applyFont="true" applyBorder="true" applyAlignment="true" applyProtection="true">
      <alignment horizontal="center" vertical="center" textRotation="0" wrapText="true" indent="0" shrinkToFit="false"/>
      <protection locked="true" hidden="false"/>
    </xf>
    <xf numFmtId="164" fontId="48" fillId="18" borderId="0" xfId="80" applyFont="true" applyBorder="false" applyAlignment="true" applyProtection="true">
      <alignment horizontal="center" vertical="center" textRotation="0" wrapText="true" indent="0" shrinkToFit="false"/>
      <protection locked="true" hidden="false"/>
    </xf>
    <xf numFmtId="164" fontId="54" fillId="19" borderId="21" xfId="80" applyFont="true" applyBorder="true" applyAlignment="true" applyProtection="true">
      <alignment horizontal="center" vertical="bottom" textRotation="0" wrapText="false" indent="0" shrinkToFit="false"/>
      <protection locked="true" hidden="false"/>
    </xf>
    <xf numFmtId="164" fontId="4" fillId="19" borderId="21" xfId="80" applyFont="true" applyBorder="true" applyAlignment="true" applyProtection="true">
      <alignment horizontal="general" vertical="center" textRotation="0" wrapText="false" indent="0" shrinkToFit="false"/>
      <protection locked="true" hidden="false"/>
    </xf>
    <xf numFmtId="164" fontId="48" fillId="19" borderId="21" xfId="80" applyFont="true" applyBorder="true" applyAlignment="true" applyProtection="true">
      <alignment horizontal="center" vertical="bottom" textRotation="0" wrapText="false" indent="0" shrinkToFit="false"/>
      <protection locked="true" hidden="false"/>
    </xf>
    <xf numFmtId="164" fontId="48" fillId="19" borderId="21" xfId="80" applyFont="true" applyBorder="true" applyAlignment="true" applyProtection="true">
      <alignment horizontal="general" vertical="bottom" textRotation="0" wrapText="false" indent="0" shrinkToFit="false"/>
      <protection locked="true" hidden="false"/>
    </xf>
    <xf numFmtId="164" fontId="4" fillId="18" borderId="26" xfId="80" applyFont="true" applyBorder="true" applyAlignment="true" applyProtection="true">
      <alignment horizontal="center" vertical="center" textRotation="0" wrapText="false" indent="0" shrinkToFit="false"/>
      <protection locked="true" hidden="false"/>
    </xf>
    <xf numFmtId="164" fontId="16" fillId="18" borderId="21" xfId="80" applyFont="true" applyBorder="true" applyAlignment="true" applyProtection="true">
      <alignment horizontal="center" vertical="center" textRotation="0" wrapText="false" indent="0" shrinkToFit="false"/>
      <protection locked="true" hidden="false"/>
    </xf>
    <xf numFmtId="164" fontId="4" fillId="18" borderId="21" xfId="80" applyFont="true" applyBorder="true" applyAlignment="true" applyProtection="true">
      <alignment horizontal="center" vertical="center" textRotation="0" wrapText="false" indent="0" shrinkToFit="false"/>
      <protection locked="true" hidden="false"/>
    </xf>
    <xf numFmtId="164" fontId="164" fillId="18" borderId="21" xfId="80" applyFont="true" applyBorder="true" applyAlignment="true" applyProtection="true">
      <alignment horizontal="center" vertical="center" textRotation="0" wrapText="false" indent="0" shrinkToFit="false"/>
      <protection locked="true" hidden="false"/>
    </xf>
    <xf numFmtId="164" fontId="173" fillId="18" borderId="21" xfId="80" applyFont="true" applyBorder="true" applyAlignment="true" applyProtection="true">
      <alignment horizontal="center" vertical="center" textRotation="0" wrapText="true" indent="0" shrinkToFit="false"/>
      <protection locked="true" hidden="false"/>
    </xf>
    <xf numFmtId="164" fontId="48" fillId="0" borderId="21" xfId="80" applyFont="true" applyBorder="true" applyAlignment="true" applyProtection="true">
      <alignment horizontal="general" vertical="bottom" textRotation="0" wrapText="false" indent="0" shrinkToFit="false"/>
      <protection locked="true" hidden="false"/>
    </xf>
    <xf numFmtId="164" fontId="4" fillId="18" borderId="0" xfId="80" applyFont="true" applyBorder="false" applyAlignment="true" applyProtection="true">
      <alignment horizontal="center" vertical="center" textRotation="0" wrapText="false" indent="0" shrinkToFit="false"/>
      <protection locked="true" hidden="false"/>
    </xf>
    <xf numFmtId="164" fontId="164" fillId="18" borderId="21" xfId="80" applyFont="true" applyBorder="true" applyAlignment="true" applyProtection="true">
      <alignment horizontal="general" vertical="center" textRotation="0" wrapText="false" indent="0" shrinkToFit="false"/>
      <protection locked="true" hidden="false"/>
    </xf>
    <xf numFmtId="164" fontId="4" fillId="18" borderId="21" xfId="80" applyFont="true" applyBorder="true" applyAlignment="true" applyProtection="true">
      <alignment horizontal="general" vertical="center" textRotation="0" wrapText="false" indent="0" shrinkToFit="false"/>
      <protection locked="true" hidden="false"/>
    </xf>
    <xf numFmtId="164" fontId="70" fillId="19" borderId="21" xfId="80" applyFont="true" applyBorder="true" applyAlignment="true" applyProtection="true">
      <alignment horizontal="center" vertical="center" textRotation="0" wrapText="false" indent="0" shrinkToFit="false"/>
      <protection locked="true" hidden="false"/>
    </xf>
    <xf numFmtId="164" fontId="70" fillId="19" borderId="21" xfId="80" applyFont="true" applyBorder="true" applyAlignment="true" applyProtection="true">
      <alignment horizontal="general" vertical="center" textRotation="0" wrapText="false" indent="0" shrinkToFit="false"/>
      <protection locked="true" hidden="false"/>
    </xf>
    <xf numFmtId="164" fontId="4" fillId="19" borderId="28" xfId="80" applyFont="true" applyBorder="true" applyAlignment="true" applyProtection="true">
      <alignment horizontal="general" vertical="center" textRotation="0" wrapText="false" indent="0" shrinkToFit="false"/>
      <protection locked="true" hidden="false"/>
    </xf>
    <xf numFmtId="164" fontId="4" fillId="19" borderId="28" xfId="80" applyFont="true" applyBorder="true" applyAlignment="true" applyProtection="true">
      <alignment horizontal="center" vertical="center" textRotation="0" wrapText="false" indent="0" shrinkToFit="false"/>
      <protection locked="true" hidden="false"/>
    </xf>
    <xf numFmtId="164" fontId="4" fillId="18" borderId="28" xfId="80" applyFont="true" applyBorder="true" applyAlignment="true" applyProtection="true">
      <alignment horizontal="center" vertical="center" textRotation="0" wrapText="false" indent="0" shrinkToFit="false"/>
      <protection locked="true" hidden="false"/>
    </xf>
    <xf numFmtId="164" fontId="16" fillId="18" borderId="28" xfId="80" applyFont="true" applyBorder="true" applyAlignment="true" applyProtection="true">
      <alignment horizontal="center" vertical="center" textRotation="0" wrapText="false" indent="0" shrinkToFit="false"/>
      <protection locked="true" hidden="false"/>
    </xf>
    <xf numFmtId="164" fontId="164" fillId="18" borderId="28" xfId="80" applyFont="true" applyBorder="true" applyAlignment="true" applyProtection="true">
      <alignment horizontal="general" vertical="center" textRotation="0" wrapText="false" indent="0" shrinkToFit="false"/>
      <protection locked="true" hidden="false"/>
    </xf>
    <xf numFmtId="164" fontId="4" fillId="18" borderId="28" xfId="80" applyFont="true" applyBorder="true" applyAlignment="true" applyProtection="true">
      <alignment horizontal="general" vertical="center" textRotation="0" wrapText="false" indent="0" shrinkToFit="false"/>
      <protection locked="true" hidden="false"/>
    </xf>
    <xf numFmtId="164" fontId="93" fillId="42" borderId="21" xfId="80" applyFont="true" applyBorder="true" applyAlignment="true" applyProtection="true">
      <alignment horizontal="general" vertical="center" textRotation="0" wrapText="false" indent="0" shrinkToFit="false"/>
      <protection locked="true" hidden="false"/>
    </xf>
    <xf numFmtId="164" fontId="93" fillId="42" borderId="21" xfId="80" applyFont="true" applyBorder="true" applyAlignment="true" applyProtection="true">
      <alignment horizontal="right" vertical="center" textRotation="0" wrapText="false" indent="0" shrinkToFit="false"/>
      <protection locked="true" hidden="false"/>
    </xf>
    <xf numFmtId="164" fontId="7" fillId="18" borderId="21" xfId="80" applyFont="true" applyBorder="true" applyAlignment="true" applyProtection="true">
      <alignment horizontal="general" vertical="center" textRotation="0" wrapText="false" indent="0" shrinkToFit="false"/>
      <protection locked="true" hidden="false"/>
    </xf>
    <xf numFmtId="164" fontId="93" fillId="42" borderId="21" xfId="80" applyFont="true" applyBorder="true" applyAlignment="true" applyProtection="true">
      <alignment horizontal="center" vertical="center" textRotation="0" wrapText="false" indent="0" shrinkToFit="false"/>
      <protection locked="true" hidden="false"/>
    </xf>
    <xf numFmtId="164" fontId="174" fillId="42" borderId="21" xfId="80" applyFont="true" applyBorder="true" applyAlignment="true" applyProtection="true">
      <alignment horizontal="general" vertical="center" textRotation="0" wrapText="false" indent="0" shrinkToFit="false"/>
      <protection locked="true" hidden="false"/>
    </xf>
    <xf numFmtId="164" fontId="175" fillId="42" borderId="21" xfId="80" applyFont="true" applyBorder="true" applyAlignment="true" applyProtection="true">
      <alignment horizontal="general" vertical="bottom" textRotation="0" wrapText="false" indent="0" shrinkToFit="false"/>
      <protection locked="true" hidden="false"/>
    </xf>
    <xf numFmtId="164" fontId="176" fillId="18" borderId="0" xfId="80" applyFont="true" applyBorder="false" applyAlignment="true" applyProtection="true">
      <alignment horizontal="center" vertical="center" textRotation="0" wrapText="false" indent="0" shrinkToFit="false"/>
      <protection locked="true" hidden="false"/>
    </xf>
    <xf numFmtId="164" fontId="66" fillId="0" borderId="0" xfId="80" applyFont="true" applyBorder="false" applyAlignment="true" applyProtection="true">
      <alignment horizontal="general" vertical="center" textRotation="0" wrapText="false" indent="0" shrinkToFit="false"/>
      <protection locked="true" hidden="false"/>
    </xf>
    <xf numFmtId="164" fontId="93" fillId="18" borderId="0" xfId="80" applyFont="true" applyBorder="false" applyAlignment="true" applyProtection="true">
      <alignment horizontal="general" vertical="center" textRotation="0" wrapText="false" indent="0" shrinkToFit="false"/>
      <protection locked="true" hidden="false"/>
    </xf>
    <xf numFmtId="164" fontId="93" fillId="18" borderId="0" xfId="80" applyFont="true" applyBorder="false" applyAlignment="true" applyProtection="true">
      <alignment horizontal="right" vertical="center" textRotation="0" wrapText="false" indent="0" shrinkToFit="false"/>
      <protection locked="true" hidden="false"/>
    </xf>
    <xf numFmtId="164" fontId="66" fillId="18" borderId="0" xfId="80" applyFont="true" applyBorder="false" applyAlignment="true" applyProtection="true">
      <alignment horizontal="general" vertical="center" textRotation="0" wrapText="false" indent="0" shrinkToFit="false"/>
      <protection locked="true" hidden="false"/>
    </xf>
    <xf numFmtId="164" fontId="93" fillId="18" borderId="0" xfId="80" applyFont="true" applyBorder="false" applyAlignment="true" applyProtection="true">
      <alignment horizontal="center" vertical="center" textRotation="0" wrapText="false" indent="0" shrinkToFit="false"/>
      <protection locked="true" hidden="false"/>
    </xf>
    <xf numFmtId="164" fontId="174" fillId="18" borderId="0" xfId="80" applyFont="true" applyBorder="false" applyAlignment="true" applyProtection="true">
      <alignment horizontal="general" vertical="center" textRotation="0" wrapText="false" indent="0" shrinkToFit="false"/>
      <protection locked="true" hidden="false"/>
    </xf>
    <xf numFmtId="164" fontId="177" fillId="18" borderId="0" xfId="80" applyFont="true" applyBorder="false" applyAlignment="true" applyProtection="true">
      <alignment horizontal="general" vertical="center" textRotation="0" wrapText="false" indent="0" shrinkToFit="false"/>
      <protection locked="true" hidden="false"/>
    </xf>
    <xf numFmtId="164" fontId="178" fillId="0" borderId="0" xfId="80" applyFont="true" applyBorder="false" applyAlignment="true" applyProtection="true">
      <alignment horizontal="general" vertical="bottom" textRotation="0" wrapText="false" indent="0" shrinkToFit="false"/>
      <protection locked="true" hidden="false"/>
    </xf>
    <xf numFmtId="164" fontId="179" fillId="18" borderId="0" xfId="128" applyFont="true" applyBorder="true" applyAlignment="true" applyProtection="true">
      <alignment horizontal="center" vertical="center" textRotation="0" wrapText="false" indent="0" shrinkToFit="false"/>
      <protection locked="true" hidden="false"/>
    </xf>
    <xf numFmtId="164" fontId="20" fillId="18" borderId="21" xfId="80" applyFont="true" applyBorder="true" applyAlignment="true" applyProtection="true">
      <alignment horizontal="center" vertical="center" textRotation="90" wrapText="true" indent="0" shrinkToFit="false"/>
      <protection locked="true" hidden="false"/>
    </xf>
    <xf numFmtId="164" fontId="20" fillId="18" borderId="21" xfId="80" applyFont="true" applyBorder="true" applyAlignment="true" applyProtection="true">
      <alignment horizontal="center" vertical="center" textRotation="0" wrapText="false" indent="0" shrinkToFit="false"/>
      <protection locked="true" hidden="false"/>
    </xf>
    <xf numFmtId="164" fontId="20" fillId="18" borderId="21" xfId="80" applyFont="true" applyBorder="true" applyAlignment="true" applyProtection="true">
      <alignment horizontal="center" vertical="center" textRotation="90" wrapText="false" indent="0" shrinkToFit="false"/>
      <protection locked="true" hidden="false"/>
    </xf>
    <xf numFmtId="164" fontId="70" fillId="18" borderId="21" xfId="80" applyFont="true" applyBorder="true" applyAlignment="true" applyProtection="true">
      <alignment horizontal="center" vertical="center" textRotation="90" wrapText="true" indent="0" shrinkToFit="false"/>
      <protection locked="true" hidden="false"/>
    </xf>
    <xf numFmtId="164" fontId="91" fillId="17" borderId="21" xfId="80" applyFont="true" applyBorder="true" applyAlignment="true" applyProtection="true">
      <alignment horizontal="center" vertical="center" textRotation="90" wrapText="true" indent="0" shrinkToFit="false"/>
      <protection locked="true" hidden="false"/>
    </xf>
    <xf numFmtId="164" fontId="48" fillId="18" borderId="21" xfId="80" applyFont="true" applyBorder="true" applyAlignment="true" applyProtection="true">
      <alignment horizontal="center" vertical="center" textRotation="90" wrapText="true" indent="0" shrinkToFit="false"/>
      <protection locked="true" hidden="false"/>
    </xf>
    <xf numFmtId="164" fontId="91" fillId="20" borderId="21" xfId="80" applyFont="true" applyBorder="true" applyAlignment="true" applyProtection="true">
      <alignment horizontal="center" vertical="center" textRotation="90" wrapText="true" indent="0" shrinkToFit="false"/>
      <protection locked="true" hidden="false"/>
    </xf>
    <xf numFmtId="164" fontId="20" fillId="18" borderId="26" xfId="80" applyFont="true" applyBorder="true" applyAlignment="true" applyProtection="true">
      <alignment horizontal="center" vertical="center" textRotation="0" wrapText="false" indent="0" shrinkToFit="false"/>
      <protection locked="true" hidden="false"/>
    </xf>
    <xf numFmtId="164" fontId="4" fillId="18" borderId="26" xfId="80" applyFont="true" applyBorder="true" applyAlignment="true" applyProtection="true">
      <alignment horizontal="general" vertical="center" textRotation="0" wrapText="false" indent="0" shrinkToFit="false"/>
      <protection locked="true" hidden="false"/>
    </xf>
    <xf numFmtId="164" fontId="180" fillId="18" borderId="21" xfId="80" applyFont="true" applyBorder="true" applyAlignment="true" applyProtection="true">
      <alignment horizontal="center" vertical="center" textRotation="0" wrapText="false" indent="0" shrinkToFit="false"/>
      <protection locked="true" hidden="false"/>
    </xf>
    <xf numFmtId="164" fontId="180" fillId="0" borderId="21" xfId="80" applyFont="true" applyBorder="true" applyAlignment="true" applyProtection="true">
      <alignment horizontal="general" vertical="bottom" textRotation="0" wrapText="false" indent="0" shrinkToFit="false"/>
      <protection locked="true" hidden="false"/>
    </xf>
    <xf numFmtId="164" fontId="16" fillId="7" borderId="21" xfId="80" applyFont="true" applyBorder="true" applyAlignment="true" applyProtection="true">
      <alignment horizontal="center" vertical="bottom" textRotation="0" wrapText="false" indent="0" shrinkToFit="false"/>
      <protection locked="true" hidden="false"/>
    </xf>
    <xf numFmtId="164" fontId="16" fillId="17" borderId="21" xfId="80" applyFont="true" applyBorder="true" applyAlignment="true" applyProtection="true">
      <alignment horizontal="center" vertical="center" textRotation="0" wrapText="false" indent="0" shrinkToFit="false"/>
      <protection locked="true" hidden="false"/>
    </xf>
    <xf numFmtId="164" fontId="16" fillId="20" borderId="21" xfId="80" applyFont="true" applyBorder="true" applyAlignment="true" applyProtection="true">
      <alignment horizontal="center" vertical="bottom" textRotation="0" wrapText="false" indent="0" shrinkToFit="false"/>
      <protection locked="true" hidden="false"/>
    </xf>
    <xf numFmtId="164" fontId="180" fillId="18" borderId="0" xfId="80" applyFont="true" applyBorder="false" applyAlignment="true" applyProtection="true">
      <alignment horizontal="general" vertical="bottom" textRotation="0" wrapText="false" indent="0" shrinkToFit="false"/>
      <protection locked="true" hidden="false"/>
    </xf>
    <xf numFmtId="164" fontId="20" fillId="18" borderId="28" xfId="80" applyFont="true" applyBorder="true" applyAlignment="true" applyProtection="true">
      <alignment horizontal="general" vertical="center" textRotation="0" wrapText="false" indent="0" shrinkToFit="false"/>
      <protection locked="true" hidden="false"/>
    </xf>
    <xf numFmtId="164" fontId="180" fillId="18" borderId="28" xfId="80" applyFont="true" applyBorder="true" applyAlignment="true" applyProtection="true">
      <alignment horizontal="center" vertical="center" textRotation="0" wrapText="false" indent="0" shrinkToFit="false"/>
      <protection locked="true" hidden="false"/>
    </xf>
    <xf numFmtId="164" fontId="180" fillId="0" borderId="28" xfId="80" applyFont="true" applyBorder="true" applyAlignment="true" applyProtection="true">
      <alignment horizontal="general" vertical="bottom" textRotation="0" wrapText="false" indent="0" shrinkToFit="false"/>
      <protection locked="true" hidden="false"/>
    </xf>
    <xf numFmtId="164" fontId="16" fillId="7" borderId="28" xfId="80" applyFont="true" applyBorder="true" applyAlignment="true" applyProtection="true">
      <alignment horizontal="center" vertical="bottom" textRotation="0" wrapText="false" indent="0" shrinkToFit="false"/>
      <protection locked="true" hidden="false"/>
    </xf>
    <xf numFmtId="164" fontId="16" fillId="17" borderId="28" xfId="80" applyFont="true" applyBorder="true" applyAlignment="true" applyProtection="true">
      <alignment horizontal="center" vertical="center" textRotation="0" wrapText="false" indent="0" shrinkToFit="false"/>
      <protection locked="true" hidden="false"/>
    </xf>
    <xf numFmtId="164" fontId="16" fillId="20" borderId="28" xfId="80" applyFont="true" applyBorder="true" applyAlignment="true" applyProtection="true">
      <alignment horizontal="center" vertical="bottom" textRotation="0" wrapText="false" indent="0" shrinkToFit="false"/>
      <protection locked="true" hidden="false"/>
    </xf>
    <xf numFmtId="164" fontId="93" fillId="14" borderId="21" xfId="80" applyFont="true" applyBorder="true" applyAlignment="true" applyProtection="true">
      <alignment horizontal="center" vertical="center" textRotation="0" wrapText="false" indent="0" shrinkToFit="false"/>
      <protection locked="true" hidden="false"/>
    </xf>
    <xf numFmtId="164" fontId="93" fillId="18" borderId="21" xfId="80" applyFont="true" applyBorder="true" applyAlignment="true" applyProtection="true">
      <alignment horizontal="center" vertical="bottom" textRotation="0" wrapText="false" indent="0" shrinkToFit="false"/>
      <protection locked="true" hidden="false"/>
    </xf>
    <xf numFmtId="164" fontId="180" fillId="18" borderId="0" xfId="80" applyFont="true" applyBorder="false" applyAlignment="true" applyProtection="true">
      <alignment horizontal="center" vertical="bottom" textRotation="0" wrapText="false" indent="0" shrinkToFit="false"/>
      <protection locked="true" hidden="false"/>
    </xf>
    <xf numFmtId="164" fontId="4" fillId="0" borderId="0" xfId="80" applyFont="true" applyBorder="false" applyAlignment="true" applyProtection="true">
      <alignment horizontal="center" vertical="bottom" textRotation="0" wrapText="false" indent="0" shrinkToFit="false"/>
      <protection locked="true" hidden="false"/>
    </xf>
    <xf numFmtId="164" fontId="164" fillId="0" borderId="0" xfId="80" applyFont="true" applyBorder="false" applyAlignment="true" applyProtection="true">
      <alignment horizontal="center" vertical="bottom" textRotation="0" wrapText="false" indent="0" shrinkToFit="false"/>
      <protection locked="true" hidden="false"/>
    </xf>
    <xf numFmtId="164" fontId="4" fillId="18" borderId="0" xfId="80" applyFont="true" applyBorder="false" applyAlignment="true" applyProtection="true">
      <alignment horizontal="center" vertical="bottom" textRotation="0" wrapText="false" indent="0" shrinkToFit="false"/>
      <protection locked="true" hidden="false"/>
    </xf>
    <xf numFmtId="164" fontId="181" fillId="17" borderId="0" xfId="80" applyFont="true" applyBorder="false" applyAlignment="true" applyProtection="true">
      <alignment horizontal="general" vertical="center" textRotation="0" wrapText="false" indent="0" shrinkToFit="false"/>
      <protection locked="true" hidden="false"/>
    </xf>
    <xf numFmtId="164" fontId="177" fillId="17" borderId="0" xfId="80" applyFont="true" applyBorder="false" applyAlignment="true" applyProtection="true">
      <alignment horizontal="center" vertical="center" textRotation="0" wrapText="false" indent="0" shrinkToFit="false"/>
      <protection locked="true" hidden="false"/>
    </xf>
    <xf numFmtId="164" fontId="181" fillId="18" borderId="0" xfId="80" applyFont="true" applyBorder="false" applyAlignment="true" applyProtection="true">
      <alignment horizontal="general" vertical="bottom" textRotation="0" wrapText="false" indent="0" shrinkToFit="false"/>
      <protection locked="true" hidden="false"/>
    </xf>
    <xf numFmtId="169" fontId="177" fillId="7" borderId="0" xfId="95" applyFont="true" applyBorder="true" applyAlignment="true" applyProtection="true">
      <alignment horizontal="general" vertical="bottom" textRotation="0" wrapText="false" indent="0" shrinkToFit="false"/>
      <protection locked="true" hidden="false"/>
    </xf>
    <xf numFmtId="164" fontId="177" fillId="18" borderId="0" xfId="80" applyFont="true" applyBorder="false" applyAlignment="true" applyProtection="true">
      <alignment horizontal="general" vertical="bottom" textRotation="0" wrapText="false" indent="0" shrinkToFit="false"/>
      <protection locked="true" hidden="false"/>
    </xf>
    <xf numFmtId="169" fontId="177" fillId="17" borderId="0" xfId="95" applyFont="true" applyBorder="true" applyAlignment="true" applyProtection="true">
      <alignment horizontal="general" vertical="bottom" textRotation="0" wrapText="false" indent="0" shrinkToFit="false"/>
      <protection locked="true" hidden="false"/>
    </xf>
    <xf numFmtId="169" fontId="177" fillId="20" borderId="0" xfId="95" applyFont="true" applyBorder="true" applyAlignment="true" applyProtection="true">
      <alignment horizontal="general" vertical="bottom" textRotation="0" wrapText="false" indent="0" shrinkToFit="false"/>
      <protection locked="true" hidden="false"/>
    </xf>
    <xf numFmtId="169" fontId="177" fillId="18" borderId="0" xfId="95" applyFont="true" applyBorder="true" applyAlignment="true" applyProtection="true">
      <alignment horizontal="general" vertical="bottom" textRotation="0" wrapText="false" indent="0" shrinkToFit="false"/>
      <protection locked="true" hidden="false"/>
    </xf>
    <xf numFmtId="164" fontId="181" fillId="0" borderId="0" xfId="80" applyFont="true" applyBorder="false" applyAlignment="true" applyProtection="true">
      <alignment horizontal="general" vertical="bottom" textRotation="0" wrapText="false" indent="0" shrinkToFit="false"/>
      <protection locked="true" hidden="false"/>
    </xf>
    <xf numFmtId="164" fontId="182" fillId="17" borderId="40" xfId="80" applyFont="true" applyBorder="true" applyAlignment="true" applyProtection="true">
      <alignment horizontal="general" vertical="bottom" textRotation="0" wrapText="false" indent="0" shrinkToFit="false"/>
      <protection locked="true" hidden="false"/>
    </xf>
    <xf numFmtId="164" fontId="182" fillId="17" borderId="41" xfId="80" applyFont="true" applyBorder="true" applyAlignment="true" applyProtection="true">
      <alignment horizontal="general" vertical="bottom" textRotation="0" wrapText="false" indent="0" shrinkToFit="false"/>
      <protection locked="true" hidden="false"/>
    </xf>
    <xf numFmtId="164" fontId="183" fillId="17" borderId="41" xfId="80" applyFont="true" applyBorder="true" applyAlignment="true" applyProtection="true">
      <alignment horizontal="general" vertical="bottom" textRotation="0" wrapText="false" indent="0" shrinkToFit="false"/>
      <protection locked="true" hidden="false"/>
    </xf>
    <xf numFmtId="164" fontId="183" fillId="17" borderId="39" xfId="80" applyFont="true" applyBorder="true" applyAlignment="true" applyProtection="true">
      <alignment horizontal="general" vertical="bottom" textRotation="0" wrapText="false" indent="0" shrinkToFit="false"/>
      <protection locked="true" hidden="false"/>
    </xf>
    <xf numFmtId="164" fontId="183" fillId="17" borderId="38" xfId="80" applyFont="true" applyBorder="true" applyAlignment="true" applyProtection="true">
      <alignment horizontal="general" vertical="bottom" textRotation="0" wrapText="false" indent="0" shrinkToFit="false"/>
      <protection locked="true" hidden="false"/>
    </xf>
    <xf numFmtId="164" fontId="182" fillId="17" borderId="21" xfId="80" applyFont="true" applyBorder="true" applyAlignment="true" applyProtection="true">
      <alignment horizontal="center" vertical="center" textRotation="0" wrapText="true" indent="0" shrinkToFit="false"/>
      <protection locked="true" hidden="false"/>
    </xf>
    <xf numFmtId="164" fontId="182" fillId="17" borderId="0" xfId="80" applyFont="true" applyBorder="false" applyAlignment="true" applyProtection="true">
      <alignment horizontal="center" vertical="bottom" textRotation="0" wrapText="false" indent="0" shrinkToFit="false"/>
      <protection locked="true" hidden="false"/>
    </xf>
    <xf numFmtId="164" fontId="183" fillId="17" borderId="0" xfId="80" applyFont="true" applyBorder="false" applyAlignment="true" applyProtection="true">
      <alignment horizontal="general" vertical="bottom" textRotation="0" wrapText="false" indent="0" shrinkToFit="false"/>
      <protection locked="true" hidden="false"/>
    </xf>
    <xf numFmtId="164" fontId="183" fillId="17" borderId="35" xfId="80" applyFont="true" applyBorder="true" applyAlignment="true" applyProtection="true">
      <alignment horizontal="general" vertical="bottom" textRotation="0" wrapText="false" indent="0" shrinkToFit="false"/>
      <protection locked="true" hidden="false"/>
    </xf>
    <xf numFmtId="164" fontId="85" fillId="0" borderId="0" xfId="80" applyFont="true" applyBorder="false" applyAlignment="true" applyProtection="true">
      <alignment horizontal="general" vertical="bottom" textRotation="0" wrapText="false" indent="0" shrinkToFit="false"/>
      <protection locked="true" hidden="false"/>
    </xf>
    <xf numFmtId="164" fontId="85" fillId="18" borderId="0" xfId="80" applyFont="true" applyBorder="false" applyAlignment="true" applyProtection="true">
      <alignment horizontal="general" vertical="bottom" textRotation="0" wrapText="false" indent="0" shrinkToFit="false"/>
      <protection locked="true" hidden="false"/>
    </xf>
    <xf numFmtId="164" fontId="183" fillId="17" borderId="0" xfId="80" applyFont="true" applyBorder="true" applyAlignment="true" applyProtection="true">
      <alignment horizontal="general" vertical="bottom" textRotation="0" wrapText="false" indent="0" shrinkToFit="false"/>
      <protection locked="true" hidden="false"/>
    </xf>
    <xf numFmtId="164" fontId="183" fillId="17" borderId="0" xfId="80" applyFont="true" applyBorder="true" applyAlignment="true" applyProtection="true">
      <alignment horizontal="general" vertical="bottom" textRotation="0" wrapText="true" indent="0" shrinkToFit="false"/>
      <protection locked="true" hidden="false"/>
    </xf>
    <xf numFmtId="164" fontId="183" fillId="17" borderId="33" xfId="80" applyFont="true" applyBorder="true" applyAlignment="true" applyProtection="true">
      <alignment horizontal="general" vertical="bottom" textRotation="0" wrapText="false" indent="0" shrinkToFit="false"/>
      <protection locked="true" hidden="false"/>
    </xf>
    <xf numFmtId="164" fontId="183" fillId="17" borderId="34" xfId="80" applyFont="true" applyBorder="true" applyAlignment="true" applyProtection="true">
      <alignment horizontal="general" vertical="bottom" textRotation="0" wrapText="false" indent="0" shrinkToFit="false"/>
      <protection locked="true" hidden="false"/>
    </xf>
    <xf numFmtId="164" fontId="182" fillId="17" borderId="34" xfId="80" applyFont="true" applyBorder="true" applyAlignment="true" applyProtection="true">
      <alignment horizontal="center" vertical="bottom" textRotation="0" wrapText="false" indent="0" shrinkToFit="false"/>
      <protection locked="true" hidden="false"/>
    </xf>
    <xf numFmtId="164" fontId="183" fillId="17" borderId="34" xfId="80" applyFont="true" applyBorder="true" applyAlignment="true" applyProtection="true">
      <alignment horizontal="general" vertical="bottom" textRotation="0" wrapText="true" indent="0" shrinkToFit="false"/>
      <protection locked="true" hidden="false"/>
    </xf>
    <xf numFmtId="164" fontId="183" fillId="17" borderId="37" xfId="80" applyFont="true" applyBorder="true" applyAlignment="true" applyProtection="true">
      <alignment horizontal="general" vertical="bottom" textRotation="0" wrapText="false" indent="0" shrinkToFit="false"/>
      <protection locked="true" hidden="false"/>
    </xf>
    <xf numFmtId="164" fontId="106" fillId="11" borderId="21" xfId="80" applyFont="true" applyBorder="true" applyAlignment="true" applyProtection="true">
      <alignment horizontal="center" vertical="center" textRotation="0" wrapText="true" indent="0" shrinkToFit="false"/>
      <protection locked="true" hidden="false"/>
    </xf>
    <xf numFmtId="164" fontId="81" fillId="18" borderId="21" xfId="80" applyFont="true" applyBorder="true" applyAlignment="true" applyProtection="true">
      <alignment horizontal="left" vertical="center" textRotation="0" wrapText="true" indent="0" shrinkToFit="false"/>
      <protection locked="true" hidden="false"/>
    </xf>
    <xf numFmtId="164" fontId="81" fillId="18" borderId="0" xfId="80" applyFont="true" applyBorder="false" applyAlignment="true" applyProtection="true">
      <alignment horizontal="general" vertical="center" textRotation="0" wrapText="false" indent="0" shrinkToFit="false"/>
      <protection locked="true" hidden="false"/>
    </xf>
    <xf numFmtId="164" fontId="73" fillId="0" borderId="0" xfId="80" applyFont="true" applyBorder="true" applyAlignment="true" applyProtection="true">
      <alignment horizontal="left" vertical="center" textRotation="0" wrapText="false" indent="0" shrinkToFit="false"/>
      <protection locked="true" hidden="false"/>
    </xf>
    <xf numFmtId="164" fontId="106" fillId="0" borderId="0" xfId="80" applyFont="true" applyBorder="false" applyAlignment="true" applyProtection="true">
      <alignment horizontal="general" vertical="center" textRotation="0" wrapText="false" indent="0" shrinkToFit="false"/>
      <protection locked="true" hidden="false"/>
    </xf>
    <xf numFmtId="164" fontId="106" fillId="0" borderId="0" xfId="80" applyFont="true" applyBorder="false" applyAlignment="true" applyProtection="true">
      <alignment horizontal="center" vertical="center" textRotation="0" wrapText="false" indent="0" shrinkToFit="false"/>
      <protection locked="true" hidden="false"/>
    </xf>
    <xf numFmtId="164" fontId="106" fillId="17" borderId="21" xfId="80" applyFont="true" applyBorder="true" applyAlignment="true" applyProtection="true">
      <alignment horizontal="center" vertical="center" textRotation="0" wrapText="true" indent="0" shrinkToFit="false"/>
      <protection locked="true" hidden="false"/>
    </xf>
    <xf numFmtId="164" fontId="62" fillId="0" borderId="0" xfId="80" applyFont="true" applyBorder="false" applyAlignment="true" applyProtection="true">
      <alignment horizontal="center" vertical="center" textRotation="0" wrapText="false" indent="0" shrinkToFit="false"/>
      <protection locked="true" hidden="false"/>
    </xf>
    <xf numFmtId="164" fontId="62" fillId="7" borderId="21" xfId="80" applyFont="true" applyBorder="true" applyAlignment="true" applyProtection="true">
      <alignment horizontal="center" vertical="center" textRotation="0" wrapText="false" indent="0" shrinkToFit="false"/>
      <protection locked="true" hidden="false"/>
    </xf>
    <xf numFmtId="164" fontId="62" fillId="7" borderId="22" xfId="80" applyFont="true" applyBorder="true" applyAlignment="true" applyProtection="true">
      <alignment horizontal="center" vertical="center" textRotation="0" wrapText="false" indent="0" shrinkToFit="false"/>
      <protection locked="true" hidden="false"/>
    </xf>
    <xf numFmtId="164" fontId="184" fillId="18" borderId="21" xfId="80" applyFont="true" applyBorder="true" applyAlignment="true" applyProtection="true">
      <alignment horizontal="center" vertical="center" textRotation="0" wrapText="false" indent="0" shrinkToFit="false"/>
      <protection locked="true" hidden="false"/>
    </xf>
    <xf numFmtId="164" fontId="62" fillId="7" borderId="21" xfId="80" applyFont="true" applyBorder="true" applyAlignment="true" applyProtection="true">
      <alignment horizontal="center" vertical="center" textRotation="0" wrapText="true" indent="0" shrinkToFit="false"/>
      <protection locked="true" hidden="false"/>
    </xf>
    <xf numFmtId="164" fontId="14" fillId="7" borderId="22" xfId="80" applyFont="true" applyBorder="true" applyAlignment="true" applyProtection="true">
      <alignment horizontal="center" vertical="center" textRotation="0" wrapText="false" indent="0" shrinkToFit="false"/>
      <protection locked="true" hidden="false"/>
    </xf>
    <xf numFmtId="166" fontId="136" fillId="18" borderId="21" xfId="75" applyFont="true" applyBorder="true" applyAlignment="true" applyProtection="true">
      <alignment horizontal="center" vertical="bottom" textRotation="0" wrapText="false" indent="0" shrinkToFit="false"/>
      <protection locked="true" hidden="false"/>
    </xf>
    <xf numFmtId="166" fontId="4" fillId="7" borderId="21" xfId="75" applyFont="true" applyBorder="true" applyAlignment="true" applyProtection="true">
      <alignment horizontal="general" vertical="bottom" textRotation="0" wrapText="false" indent="0" shrinkToFit="false"/>
      <protection locked="true" hidden="false"/>
    </xf>
    <xf numFmtId="166" fontId="4" fillId="7" borderId="21" xfId="75" applyFont="true" applyBorder="true" applyAlignment="true" applyProtection="true">
      <alignment horizontal="center" vertical="bottom" textRotation="0" wrapText="false" indent="0" shrinkToFit="false"/>
      <protection locked="true" hidden="false"/>
    </xf>
    <xf numFmtId="169" fontId="136" fillId="18" borderId="21" xfId="93" applyFont="true" applyBorder="true" applyAlignment="true" applyProtection="true">
      <alignment horizontal="center" vertical="bottom" textRotation="0" wrapText="false" indent="0" shrinkToFit="false"/>
      <protection locked="true" hidden="false"/>
    </xf>
    <xf numFmtId="169" fontId="4" fillId="7" borderId="21" xfId="93" applyFont="true" applyBorder="true" applyAlignment="true" applyProtection="true">
      <alignment horizontal="center" vertical="bottom" textRotation="0" wrapText="false" indent="0" shrinkToFit="false"/>
      <protection locked="true" hidden="false"/>
    </xf>
    <xf numFmtId="164" fontId="62" fillId="7" borderId="21" xfId="80" applyFont="true" applyBorder="true" applyAlignment="true" applyProtection="true">
      <alignment horizontal="center" vertical="bottom" textRotation="0" wrapText="false" indent="0" shrinkToFit="false"/>
      <protection locked="true" hidden="false"/>
    </xf>
    <xf numFmtId="164" fontId="62" fillId="7" borderId="22" xfId="80" applyFont="true" applyBorder="true" applyAlignment="true" applyProtection="true">
      <alignment horizontal="center" vertical="bottom" textRotation="0" wrapText="false" indent="0" shrinkToFit="false"/>
      <protection locked="true" hidden="false"/>
    </xf>
    <xf numFmtId="164" fontId="184" fillId="18" borderId="21" xfId="80" applyFont="true" applyBorder="true" applyAlignment="true" applyProtection="true">
      <alignment horizontal="center" vertical="bottom" textRotation="0" wrapText="false" indent="0" shrinkToFit="false"/>
      <protection locked="true" hidden="false"/>
    </xf>
    <xf numFmtId="169" fontId="184" fillId="18" borderId="21" xfId="93" applyFont="true" applyBorder="true" applyAlignment="true" applyProtection="true">
      <alignment horizontal="center" vertical="bottom" textRotation="0" wrapText="false" indent="0" shrinkToFit="false"/>
      <protection locked="true" hidden="false"/>
    </xf>
    <xf numFmtId="169" fontId="62" fillId="7" borderId="21" xfId="93" applyFont="true" applyBorder="true" applyAlignment="true" applyProtection="true">
      <alignment horizontal="center" vertical="bottom" textRotation="0" wrapText="false" indent="0" shrinkToFit="false"/>
      <protection locked="true" hidden="false"/>
    </xf>
    <xf numFmtId="164" fontId="136" fillId="0" borderId="0" xfId="80" applyFont="true" applyBorder="false" applyAlignment="true" applyProtection="true">
      <alignment horizontal="center" vertical="bottom" textRotation="0" wrapText="false" indent="0" shrinkToFit="false"/>
      <protection locked="true" hidden="false"/>
    </xf>
    <xf numFmtId="164" fontId="136" fillId="0" borderId="0" xfId="80" applyFont="true" applyBorder="false" applyAlignment="true" applyProtection="true">
      <alignment horizontal="general" vertical="bottom" textRotation="0" wrapText="false" indent="0" shrinkToFit="false"/>
      <protection locked="true" hidden="false"/>
    </xf>
    <xf numFmtId="164" fontId="81" fillId="0" borderId="21" xfId="80" applyFont="true" applyBorder="true" applyAlignment="true" applyProtection="true">
      <alignment horizontal="left" vertical="center" textRotation="0" wrapText="true" indent="0" shrinkToFit="false"/>
      <protection locked="true" hidden="false"/>
    </xf>
    <xf numFmtId="164" fontId="81" fillId="0" borderId="0" xfId="80" applyFont="true" applyBorder="false" applyAlignment="true" applyProtection="true">
      <alignment horizontal="general" vertical="center" textRotation="0" wrapText="true" indent="0" shrinkToFit="false"/>
      <protection locked="true" hidden="false"/>
    </xf>
    <xf numFmtId="164" fontId="62" fillId="17" borderId="21" xfId="80" applyFont="true" applyBorder="true" applyAlignment="true" applyProtection="true">
      <alignment horizontal="center" vertical="center" textRotation="0" wrapText="true" indent="0" shrinkToFit="false"/>
      <protection locked="true" hidden="false"/>
    </xf>
    <xf numFmtId="164" fontId="136" fillId="0" borderId="38" xfId="80" applyFont="true" applyBorder="true" applyAlignment="true" applyProtection="true">
      <alignment horizontal="center" vertical="center" textRotation="0" wrapText="true" indent="0" shrinkToFit="false"/>
      <protection locked="true" hidden="false"/>
    </xf>
    <xf numFmtId="164" fontId="81" fillId="0" borderId="0" xfId="80" applyFont="true" applyBorder="false" applyAlignment="true" applyProtection="true">
      <alignment horizontal="center" vertical="center" textRotation="0" wrapText="false" indent="0" shrinkToFit="false"/>
      <protection locked="true" hidden="false"/>
    </xf>
    <xf numFmtId="164" fontId="106" fillId="7" borderId="21" xfId="80" applyFont="true" applyBorder="true" applyAlignment="true" applyProtection="true">
      <alignment horizontal="center" vertical="center" textRotation="0" wrapText="false" indent="0" shrinkToFit="false"/>
      <protection locked="true" hidden="false"/>
    </xf>
    <xf numFmtId="164" fontId="157" fillId="18" borderId="21" xfId="80" applyFont="true" applyBorder="true" applyAlignment="true" applyProtection="true">
      <alignment horizontal="center" vertical="center" textRotation="0" wrapText="false" indent="0" shrinkToFit="false"/>
      <protection locked="true" hidden="false"/>
    </xf>
    <xf numFmtId="164" fontId="157" fillId="18" borderId="22" xfId="80" applyFont="true" applyBorder="true" applyAlignment="true" applyProtection="true">
      <alignment horizontal="center" vertical="center" textRotation="0" wrapText="true" indent="0" shrinkToFit="false"/>
      <protection locked="true" hidden="false"/>
    </xf>
    <xf numFmtId="164" fontId="157" fillId="18" borderId="21" xfId="80" applyFont="true" applyBorder="true" applyAlignment="true" applyProtection="true">
      <alignment horizontal="center" vertical="center" textRotation="0" wrapText="true" indent="0" shrinkToFit="false"/>
      <protection locked="true" hidden="false"/>
    </xf>
    <xf numFmtId="164" fontId="81" fillId="18" borderId="21" xfId="80" applyFont="true" applyBorder="true" applyAlignment="true" applyProtection="true">
      <alignment horizontal="center" vertical="center" textRotation="0" wrapText="false" indent="0" shrinkToFit="false"/>
      <protection locked="true" hidden="false"/>
    </xf>
    <xf numFmtId="166" fontId="4" fillId="0" borderId="21" xfId="75" applyFont="true" applyBorder="true" applyAlignment="true" applyProtection="true">
      <alignment horizontal="general" vertical="bottom" textRotation="0" wrapText="false" indent="0" shrinkToFit="false"/>
      <protection locked="true" hidden="false"/>
    </xf>
    <xf numFmtId="164" fontId="14" fillId="0" borderId="21" xfId="80" applyFont="true" applyBorder="true" applyAlignment="true" applyProtection="true">
      <alignment horizontal="general" vertical="bottom" textRotation="0" wrapText="false" indent="0" shrinkToFit="false"/>
      <protection locked="true" hidden="false"/>
    </xf>
    <xf numFmtId="164" fontId="136" fillId="18" borderId="0" xfId="80" applyFont="true" applyBorder="false" applyAlignment="true" applyProtection="true">
      <alignment horizontal="general" vertical="bottom" textRotation="0" wrapText="false" indent="0" shrinkToFit="false"/>
      <protection locked="true" hidden="false"/>
    </xf>
    <xf numFmtId="164" fontId="30" fillId="18" borderId="0" xfId="80" applyFont="true" applyBorder="false" applyAlignment="true" applyProtection="true">
      <alignment horizontal="center" vertical="center" textRotation="0" wrapText="true" indent="0" shrinkToFit="false"/>
      <protection locked="true" hidden="false"/>
    </xf>
    <xf numFmtId="164" fontId="31" fillId="18" borderId="0" xfId="80" applyFont="true" applyBorder="false" applyAlignment="true" applyProtection="true">
      <alignment horizontal="left" vertical="center" textRotation="0" wrapText="true" indent="0" shrinkToFit="false"/>
      <protection locked="true" hidden="false"/>
    </xf>
    <xf numFmtId="164" fontId="31" fillId="18" borderId="0" xfId="80" applyFont="true" applyBorder="false" applyAlignment="true" applyProtection="true">
      <alignment horizontal="center" vertical="center" textRotation="0" wrapText="true" indent="0" shrinkToFit="false"/>
      <protection locked="true" hidden="false"/>
    </xf>
    <xf numFmtId="164" fontId="184" fillId="0" borderId="0" xfId="80" applyFont="true" applyBorder="true" applyAlignment="true" applyProtection="true">
      <alignment horizontal="left" vertical="center" textRotation="0" wrapText="false" indent="0" shrinkToFit="false"/>
      <protection locked="true" hidden="false"/>
    </xf>
    <xf numFmtId="164" fontId="184" fillId="18" borderId="21" xfId="80" applyFont="true" applyBorder="true" applyAlignment="true" applyProtection="true">
      <alignment horizontal="center" vertical="center" textRotation="0" wrapText="true" indent="0" shrinkToFit="false"/>
      <protection locked="true" hidden="false"/>
    </xf>
    <xf numFmtId="164" fontId="14" fillId="0" borderId="21" xfId="80" applyFont="true" applyBorder="true" applyAlignment="true" applyProtection="true">
      <alignment horizontal="center" vertical="bottom" textRotation="0" wrapText="false" indent="0" shrinkToFit="false"/>
      <protection locked="true" hidden="false"/>
    </xf>
    <xf numFmtId="164" fontId="62" fillId="0" borderId="0" xfId="80" applyFont="true" applyBorder="false" applyAlignment="true" applyProtection="true">
      <alignment horizontal="general" vertical="bottom" textRotation="0" wrapText="false" indent="0" shrinkToFit="false"/>
      <protection locked="true" hidden="false"/>
    </xf>
    <xf numFmtId="164" fontId="62" fillId="16" borderId="21" xfId="80" applyFont="true" applyBorder="true" applyAlignment="true" applyProtection="true">
      <alignment horizontal="center" vertical="bottom" textRotation="0" wrapText="false" indent="0" shrinkToFit="false"/>
      <protection locked="true" hidden="false"/>
    </xf>
    <xf numFmtId="164" fontId="62" fillId="16" borderId="21" xfId="80" applyFont="true" applyBorder="true" applyAlignment="true" applyProtection="true">
      <alignment horizontal="general" vertical="bottom" textRotation="0" wrapText="false" indent="0" shrinkToFit="false"/>
      <protection locked="true" hidden="false"/>
    </xf>
    <xf numFmtId="164" fontId="184" fillId="16" borderId="21" xfId="80" applyFont="true" applyBorder="true" applyAlignment="true" applyProtection="true">
      <alignment horizontal="center" vertical="bottom" textRotation="0" wrapText="false" indent="0" shrinkToFit="false"/>
      <protection locked="true" hidden="false"/>
    </xf>
    <xf numFmtId="169" fontId="62" fillId="16" borderId="21" xfId="93" applyFont="true" applyBorder="true" applyAlignment="true" applyProtection="true">
      <alignment horizontal="center" vertical="bottom" textRotation="0" wrapText="false" indent="0" shrinkToFit="false"/>
      <protection locked="true" hidden="false"/>
    </xf>
    <xf numFmtId="164" fontId="40" fillId="30" borderId="0" xfId="0" applyFont="true" applyBorder="true" applyAlignment="true" applyProtection="true">
      <alignment horizontal="center" vertical="center" textRotation="0" wrapText="true" indent="0" shrinkToFit="false"/>
      <protection locked="true" hidden="false"/>
    </xf>
    <xf numFmtId="164" fontId="20" fillId="30" borderId="21" xfId="0" applyFont="true" applyBorder="true" applyAlignment="true" applyProtection="true">
      <alignment horizontal="center" vertical="bottom" textRotation="0" wrapText="false" indent="0" shrinkToFit="false"/>
      <protection locked="true" hidden="false"/>
    </xf>
    <xf numFmtId="164" fontId="0" fillId="0" borderId="21" xfId="0" applyFont="false" applyBorder="true" applyAlignment="true" applyProtection="true">
      <alignment horizontal="center" vertical="center" textRotation="0" wrapText="false" indent="0" shrinkToFit="false"/>
      <protection locked="true" hidden="false"/>
    </xf>
    <xf numFmtId="164" fontId="20" fillId="0" borderId="21" xfId="0" applyFont="true" applyBorder="true" applyAlignment="true" applyProtection="true">
      <alignment horizontal="center" vertical="center" textRotation="0" wrapText="false" indent="0" shrinkToFit="false"/>
      <protection locked="true" hidden="false"/>
    </xf>
    <xf numFmtId="164" fontId="20" fillId="0" borderId="21" xfId="0" applyFont="true" applyBorder="true" applyAlignment="true" applyProtection="true">
      <alignment horizontal="general" vertical="top" textRotation="0" wrapText="true" indent="0" shrinkToFit="false"/>
      <protection locked="true" hidden="false"/>
    </xf>
    <xf numFmtId="164" fontId="0" fillId="0" borderId="21" xfId="0" applyFont="true" applyBorder="true" applyAlignment="true" applyProtection="true">
      <alignment horizontal="left" vertical="top" textRotation="0" wrapText="true" indent="0" shrinkToFit="false"/>
      <protection locked="true" hidden="false"/>
    </xf>
    <xf numFmtId="164" fontId="0" fillId="0" borderId="21" xfId="0" applyFont="true" applyBorder="true" applyAlignment="true" applyProtection="true">
      <alignment horizontal="general" vertical="top" textRotation="0" wrapText="true" indent="0" shrinkToFit="false"/>
      <protection locked="true" hidden="false"/>
    </xf>
    <xf numFmtId="164" fontId="18" fillId="0" borderId="21" xfId="0" applyFont="true" applyBorder="tru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0" fillId="0" borderId="21" xfId="0" applyFont="true" applyBorder="true" applyAlignment="true" applyProtection="true">
      <alignment horizontal="general" vertical="bottom" textRotation="0" wrapText="true" indent="0" shrinkToFit="false"/>
      <protection locked="true" hidden="false"/>
    </xf>
    <xf numFmtId="164" fontId="0" fillId="0" borderId="27" xfId="0" applyFont="true" applyBorder="true" applyAlignment="true" applyProtection="true">
      <alignment horizontal="general" vertical="top" textRotation="0" wrapText="true" indent="0" shrinkToFit="false"/>
      <protection locked="true" hidden="false"/>
    </xf>
    <xf numFmtId="164" fontId="0" fillId="0" borderId="21" xfId="0" applyFont="false" applyBorder="true" applyAlignment="true" applyProtection="true">
      <alignment horizontal="general" vertical="top" textRotation="0" wrapText="false" indent="0" shrinkToFit="false"/>
      <protection locked="true" hidden="false"/>
    </xf>
    <xf numFmtId="164" fontId="20" fillId="0" borderId="21" xfId="0" applyFont="true" applyBorder="true" applyAlignment="true" applyProtection="true">
      <alignment horizontal="center" vertical="center" textRotation="0" wrapText="true" indent="0" shrinkToFit="false"/>
      <protection locked="true" hidden="false"/>
    </xf>
    <xf numFmtId="164" fontId="0" fillId="0" borderId="21" xfId="0" applyFont="true" applyBorder="true" applyAlignment="true" applyProtection="true">
      <alignment horizontal="general" vertical="center" textRotation="0" wrapText="true" indent="0" shrinkToFit="false"/>
      <protection locked="true" hidden="false"/>
    </xf>
    <xf numFmtId="164" fontId="0" fillId="0" borderId="21" xfId="0" applyFont="false" applyBorder="true" applyAlignment="true" applyProtection="true">
      <alignment horizontal="general" vertical="bottom" textRotation="0" wrapText="false" indent="0" shrinkToFit="false"/>
      <protection locked="true" hidden="false"/>
    </xf>
    <xf numFmtId="164" fontId="20" fillId="0" borderId="21" xfId="0" applyFont="true" applyBorder="true" applyAlignment="true" applyProtection="true">
      <alignment horizontal="general" vertical="bottom" textRotation="0" wrapText="true" indent="0" shrinkToFit="false"/>
      <protection locked="true" hidden="false"/>
    </xf>
  </cellXfs>
  <cellStyles count="116">
    <cellStyle name="Normal" xfId="0" builtinId="0"/>
    <cellStyle name="Comma" xfId="15" builtinId="3"/>
    <cellStyle name="Comma [0]" xfId="16" builtinId="6"/>
    <cellStyle name="Currency" xfId="17" builtinId="4"/>
    <cellStyle name="Currency [0]" xfId="18" builtinId="7"/>
    <cellStyle name="Percent" xfId="19" builtinId="5"/>
    <cellStyle name="20% - Énfasis1 2" xfId="21"/>
    <cellStyle name="20% - Énfasis1 3" xfId="22"/>
    <cellStyle name="20% - Énfasis2 2" xfId="23"/>
    <cellStyle name="20% - Énfasis2 3" xfId="24"/>
    <cellStyle name="20% - Énfasis3 2" xfId="25"/>
    <cellStyle name="20% - Énfasis3 3" xfId="26"/>
    <cellStyle name="20% - Énfasis4 2" xfId="27"/>
    <cellStyle name="20% - Énfasis4 3" xfId="28"/>
    <cellStyle name="20% - Énfasis5 2" xfId="29"/>
    <cellStyle name="20% - Énfasis5 3" xfId="30"/>
    <cellStyle name="20% - Énfasis6 2" xfId="31"/>
    <cellStyle name="20% - Énfasis6 3" xfId="32"/>
    <cellStyle name="40% - Énfasis1 2" xfId="33"/>
    <cellStyle name="40% - Énfasis1 3" xfId="34"/>
    <cellStyle name="40% - Énfasis2 2" xfId="35"/>
    <cellStyle name="40% - Énfasis2 3" xfId="36"/>
    <cellStyle name="40% - Énfasis3 2" xfId="37"/>
    <cellStyle name="40% - Énfasis3 3" xfId="38"/>
    <cellStyle name="40% - Énfasis4 2" xfId="39"/>
    <cellStyle name="40% - Énfasis4 3" xfId="40"/>
    <cellStyle name="40% - Énfasis5 2" xfId="41"/>
    <cellStyle name="40% - Énfasis5 3" xfId="42"/>
    <cellStyle name="40% - Énfasis6 2" xfId="43"/>
    <cellStyle name="40% - Énfasis6 2 2" xfId="44"/>
    <cellStyle name="40% - Énfasis6 2_12.02.20Heramientas CAPS" xfId="45"/>
    <cellStyle name="40% - Énfasis6 3" xfId="46"/>
    <cellStyle name="60% - Énfasis1 2" xfId="47"/>
    <cellStyle name="60% - Énfasis1 3" xfId="48"/>
    <cellStyle name="60% - Énfasis2 2" xfId="49"/>
    <cellStyle name="60% - Énfasis2 3" xfId="50"/>
    <cellStyle name="60% - Énfasis3 2" xfId="51"/>
    <cellStyle name="60% - Énfasis3 3" xfId="52"/>
    <cellStyle name="60% - Énfasis4 2" xfId="53"/>
    <cellStyle name="60% - Énfasis4 3" xfId="54"/>
    <cellStyle name="60% - Énfasis5 2" xfId="55"/>
    <cellStyle name="60% - Énfasis5 3" xfId="56"/>
    <cellStyle name="60% - Énfasis6 2" xfId="57"/>
    <cellStyle name="60% - Énfasis6 3" xfId="58"/>
    <cellStyle name="Buena 2" xfId="59"/>
    <cellStyle name="Buena 3" xfId="60"/>
    <cellStyle name="Celda de comprobación 2" xfId="61"/>
    <cellStyle name="Celda de comprobación 3" xfId="62"/>
    <cellStyle name="Celda vinculada 2" xfId="63"/>
    <cellStyle name="Celda vinculada 3" xfId="64"/>
    <cellStyle name="Cálculo 2" xfId="65"/>
    <cellStyle name="Cálculo 3" xfId="66"/>
    <cellStyle name="Encabezado 4 2" xfId="67"/>
    <cellStyle name="Encabezado 4 3" xfId="68"/>
    <cellStyle name="Entrada 2" xfId="69"/>
    <cellStyle name="Entrada 3" xfId="70"/>
    <cellStyle name="Estilo 1" xfId="71"/>
    <cellStyle name="Euro" xfId="72"/>
    <cellStyle name="Incorrecto 2" xfId="73"/>
    <cellStyle name="Incorrecto 3" xfId="74"/>
    <cellStyle name="Millares 2" xfId="75"/>
    <cellStyle name="Millares 2 2" xfId="76"/>
    <cellStyle name="Moneda 2" xfId="77"/>
    <cellStyle name="Neutral 2" xfId="78"/>
    <cellStyle name="Neutral 3" xfId="79"/>
    <cellStyle name="Normal 2" xfId="80"/>
    <cellStyle name="Normal 2 2" xfId="81"/>
    <cellStyle name="Normal 2 2 2" xfId="82"/>
    <cellStyle name="Normal 2 2_12.02.20Heramientas CAPS" xfId="83"/>
    <cellStyle name="Normal 3" xfId="84"/>
    <cellStyle name="Normal 3 2" xfId="85"/>
    <cellStyle name="Normal 4" xfId="86"/>
    <cellStyle name="Normal 4 2" xfId="87"/>
    <cellStyle name="Normal 4_12.02.20Heramientas CAPS" xfId="88"/>
    <cellStyle name="Normal 5" xfId="89"/>
    <cellStyle name="Normal 6" xfId="90"/>
    <cellStyle name="Notas 2" xfId="91"/>
    <cellStyle name="Notas 3" xfId="92"/>
    <cellStyle name="Porcentaje 2" xfId="93"/>
    <cellStyle name="Porcentual 2" xfId="94"/>
    <cellStyle name="Porcentual 3" xfId="95"/>
    <cellStyle name="Salida 2" xfId="96"/>
    <cellStyle name="Salida 3" xfId="97"/>
    <cellStyle name="Salida 4" xfId="98"/>
    <cellStyle name="Texto de advertencia 2" xfId="99"/>
    <cellStyle name="Texto de advertencia 3" xfId="100"/>
    <cellStyle name="Texto explicativo 2" xfId="101"/>
    <cellStyle name="Texto explicativo 3" xfId="102"/>
    <cellStyle name="Total 2" xfId="103"/>
    <cellStyle name="Total 3" xfId="104"/>
    <cellStyle name="Título 1 2" xfId="105"/>
    <cellStyle name="Título 1 3" xfId="106"/>
    <cellStyle name="Título 2 2" xfId="107"/>
    <cellStyle name="Título 2 3" xfId="108"/>
    <cellStyle name="Título 3 2" xfId="109"/>
    <cellStyle name="Título 3 3" xfId="110"/>
    <cellStyle name="Título 4" xfId="111"/>
    <cellStyle name="Título 5" xfId="112"/>
    <cellStyle name="Énfasis1 2" xfId="113"/>
    <cellStyle name="Énfasis1 3" xfId="114"/>
    <cellStyle name="Énfasis2 2" xfId="115"/>
    <cellStyle name="Énfasis2 3" xfId="116"/>
    <cellStyle name="Énfasis3 2" xfId="117"/>
    <cellStyle name="Énfasis3 3" xfId="118"/>
    <cellStyle name="Énfasis4 2" xfId="119"/>
    <cellStyle name="Énfasis4 3" xfId="120"/>
    <cellStyle name="Énfasis5 2" xfId="121"/>
    <cellStyle name="Énfasis5 3" xfId="122"/>
    <cellStyle name="Énfasis6 2" xfId="123"/>
    <cellStyle name="Énfasis6 3" xfId="124"/>
    <cellStyle name="*unknown*" xfId="20" builtinId="8"/>
    <cellStyle name="Excel Built-in Followed Hyperlink" xfId="125"/>
    <cellStyle name="Excel Built-in 40% - Accent6" xfId="126"/>
    <cellStyle name="Excel Built-in Accent4" xfId="127"/>
    <cellStyle name="Excel Built-in Output" xfId="128"/>
    <cellStyle name="Excel Built-in Accent3" xfId="129"/>
  </cellStyles>
  <dxfs count="61">
    <dxf>
      <fill>
        <patternFill patternType="solid">
          <fgColor rgb="FF9ACDFF"/>
          <bgColor rgb="FF000000"/>
        </patternFill>
      </fill>
    </dxf>
    <dxf>
      <fill>
        <patternFill patternType="solid">
          <fgColor rgb="FFFFFFFF"/>
          <bgColor rgb="FF000000"/>
        </patternFill>
      </fill>
    </dxf>
    <dxf>
      <fill>
        <patternFill patternType="solid">
          <fgColor rgb="FF000000"/>
          <bgColor rgb="FF000000"/>
        </patternFill>
      </fill>
    </dxf>
    <dxf>
      <fill>
        <patternFill patternType="solid">
          <bgColor rgb="FF000000"/>
        </patternFill>
      </fill>
    </dxf>
    <dxf>
      <fill>
        <patternFill patternType="solid">
          <fgColor rgb="FF003399"/>
          <bgColor rgb="FF000000"/>
        </patternFill>
      </fill>
    </dxf>
    <dxf>
      <fill>
        <patternFill patternType="solid">
          <fgColor rgb="FF2C3F71"/>
          <bgColor rgb="FF000000"/>
        </patternFill>
      </fill>
    </dxf>
    <dxf>
      <fill>
        <patternFill patternType="solid">
          <fgColor rgb="FF333399"/>
          <bgColor rgb="FF000000"/>
        </patternFill>
      </fill>
    </dxf>
    <dxf>
      <fill>
        <patternFill patternType="solid">
          <fgColor rgb="FFFF9900"/>
          <bgColor rgb="FF000000"/>
        </patternFill>
      </fill>
    </dxf>
    <dxf>
      <fill>
        <patternFill patternType="solid">
          <fgColor rgb="FF008080"/>
          <bgColor rgb="FF000000"/>
        </patternFill>
      </fill>
    </dxf>
    <dxf>
      <fill>
        <patternFill patternType="solid">
          <fgColor rgb="FF993366"/>
          <bgColor rgb="FF000000"/>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ill>
        <patternFill>
          <bgColor theme="0" tint="-0.15"/>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s>
  <colors>
    <indexedColors>
      <rgbColor rgb="FF000000"/>
      <rgbColor rgb="FFFFFFFF"/>
      <rgbColor rgb="FFFF0000"/>
      <rgbColor rgb="FF00FF00"/>
      <rgbColor rgb="FF0000FF"/>
      <rgbColor rgb="FFFFFF00"/>
      <rgbColor rgb="FFFBD0E4"/>
      <rgbColor rgb="FF94F0E4"/>
      <rgbColor rgb="FFAE0002"/>
      <rgbColor rgb="FF007B00"/>
      <rgbColor rgb="FF000080"/>
      <rgbColor rgb="FFFEB80A"/>
      <rgbColor rgb="FF800080"/>
      <rgbColor rgb="FF008080"/>
      <rgbColor rgb="FFC0C0C0"/>
      <rgbColor rgb="FF797988"/>
      <rgbColor rgb="FF61B6FF"/>
      <rgbColor rgb="FF993366"/>
      <rgbColor rgb="FFFFFFCC"/>
      <rgbColor rgb="FFCCFFFF"/>
      <rgbColor rgb="FFC6EFCE"/>
      <rgbColor rgb="FFFF8080"/>
      <rgbColor rgb="FF0066CC"/>
      <rgbColor rgb="FFCCCCFF"/>
      <rgbColor rgb="FFFFEB9C"/>
      <rgbColor rgb="FFD9D9D9"/>
      <rgbColor rgb="FFFFC000"/>
      <rgbColor rgb="FF99FF66"/>
      <rgbColor rgb="FFCCEDB1"/>
      <rgbColor rgb="FFFFE39D"/>
      <rgbColor rgb="FF148677"/>
      <rgbColor rgb="FF006AC9"/>
      <rgbColor rgb="FF007EEB"/>
      <rgbColor rgb="FFC5F3FF"/>
      <rgbColor rgb="FFCCFFCC"/>
      <rgbColor rgb="FFFFFF99"/>
      <rgbColor rgb="FF9BCDFF"/>
      <rgbColor rgb="FFFF99CC"/>
      <rgbColor rgb="FFCC99FF"/>
      <rgbColor rgb="FFFFCC99"/>
      <rgbColor rgb="FF3366FF"/>
      <rgbColor rgb="FF26CBCE"/>
      <rgbColor rgb="FF97CC02"/>
      <rgbColor rgb="FFFFCC00"/>
      <rgbColor rgb="FFFF9900"/>
      <rgbColor rgb="FFFF6600"/>
      <rgbColor rgb="FF313492"/>
      <rgbColor rgb="FF969696"/>
      <rgbColor rgb="FF003366"/>
      <rgbColor rgb="FF339966"/>
      <rgbColor rgb="FF014070"/>
      <rgbColor rgb="FF3F3F3F"/>
      <rgbColor rgb="FF9A4000"/>
      <rgbColor rgb="FFFFC7CE"/>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externalLink" Target="externalLinks/externalLink1.xml"/><Relationship Id="rId30" Type="http://schemas.openxmlformats.org/officeDocument/2006/relationships/externalLink" Target="externalLinks/externalLink2.xml"/><Relationship Id="rId31" Type="http://schemas.openxmlformats.org/officeDocument/2006/relationships/externalLink" Target="externalLinks/externalLink3.xml"/><Relationship Id="rId32" Type="http://schemas.openxmlformats.org/officeDocument/2006/relationships/externalLink" Target="externalLinks/externalLink4.xml"/><Relationship Id="rId33"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lang="es-ES" sz="1300" b="0" u="none" strike="noStrike">
                <a:uFillTx/>
                <a:latin typeface="Arial"/>
              </a:defRPr>
            </a:pPr>
            <a:r>
              <a:rPr lang="es-ES" sz="1800" b="1" u="none" strike="noStrike">
                <a:solidFill>
                  <a:srgbClr val="000000"/>
                </a:solidFill>
                <a:uFillTx/>
                <a:latin typeface="Calibri"/>
                <a:ea typeface="Calibri"/>
              </a:rPr>
              <a:t>Índice de Sostenibilidad MABE </a:t>
            </a:r>
          </a:p>
        </c:rich>
      </c:tx>
      <c:overlay val="0"/>
      <c:spPr>
        <a:noFill/>
        <a:ln w="25560">
          <a:noFill/>
        </a:ln>
      </c:spPr>
    </c:title>
    <c:autoTitleDeleted val="0"/>
    <c:view3D>
      <c:rotX val="30"/>
      <c:rotY val="0"/>
      <c:rAngAx val="0"/>
      <c:perspective val="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7FD13B"/>
            </a:solidFill>
            <a:ln w="0">
              <a:noFill/>
            </a:ln>
          </c:spPr>
          <c:explosion val="25"/>
          <c:dPt>
            <c:idx val="0"/>
            <c:explosion val="25"/>
            <c:spPr>
              <a:solidFill>
                <a:srgbClr val="7FD13B"/>
              </a:solidFill>
              <a:ln w="0">
                <a:noFill/>
              </a:ln>
            </c:spPr>
          </c:dPt>
          <c:dPt>
            <c:idx val="1"/>
            <c:explosion val="25"/>
            <c:spPr>
              <a:solidFill>
                <a:srgbClr val="EA157A"/>
              </a:solidFill>
              <a:ln w="0">
                <a:noFill/>
              </a:ln>
            </c:spPr>
          </c:dPt>
          <c:dPt>
            <c:idx val="2"/>
            <c:explosion val="25"/>
            <c:spPr>
              <a:solidFill>
                <a:srgbClr val="FEB80A"/>
              </a:solidFill>
              <a:ln w="0">
                <a:noFill/>
              </a:ln>
            </c:spPr>
          </c:dPt>
          <c:dLbls>
            <c:dLbl>
              <c:idx val="0"/>
              <c:txPr>
                <a:bodyPr wrap="square"/>
                <a:lstStyle/>
                <a:p>
                  <a:pPr>
                    <a:defRPr lang="es-ES" sz="1000" b="0" u="none" strike="noStrike">
                      <a:solidFill>
                        <a:srgbClr val="000000"/>
                      </a:solidFill>
                      <a:uFillTx/>
                      <a:latin typeface="Calibri"/>
                    </a:defRPr>
                  </a:pPr>
                </a:p>
              </c:txPr>
              <c:dLblPos val="bestFit"/>
              <c:showLegendKey val="0"/>
              <c:showVal val="0"/>
              <c:showCatName val="0"/>
              <c:showSerName val="0"/>
              <c:showPercent val="1"/>
              <c:separator>
</c:separator>
            </c:dLbl>
            <c:dLbl>
              <c:idx val="1"/>
              <c:txPr>
                <a:bodyPr wrap="square"/>
                <a:lstStyle/>
                <a:p>
                  <a:pPr>
                    <a:defRPr lang="es-ES" sz="1000" b="0" u="none" strike="noStrike">
                      <a:solidFill>
                        <a:srgbClr val="000000"/>
                      </a:solidFill>
                      <a:uFillTx/>
                      <a:latin typeface="Calibri"/>
                    </a:defRPr>
                  </a:pPr>
                </a:p>
              </c:txPr>
              <c:dLblPos val="bestFit"/>
              <c:showLegendKey val="0"/>
              <c:showVal val="0"/>
              <c:showCatName val="0"/>
              <c:showSerName val="0"/>
              <c:showPercent val="1"/>
              <c:separator>
</c:separator>
            </c:dLbl>
            <c:dLbl>
              <c:idx val="2"/>
              <c:txPr>
                <a:bodyPr wrap="square"/>
                <a:lstStyle/>
                <a:p>
                  <a:pPr>
                    <a:defRPr lang="es-ES" sz="1000" b="0" u="none" strike="noStrike">
                      <a:solidFill>
                        <a:srgbClr val="000000"/>
                      </a:solidFill>
                      <a:uFillTx/>
                      <a:latin typeface="Calibri"/>
                    </a:defRPr>
                  </a:pPr>
                </a:p>
              </c:txPr>
              <c:dLblPos val="bestFit"/>
              <c:showLegendKey val="0"/>
              <c:showVal val="0"/>
              <c:showCatName val="0"/>
              <c:showSerName val="0"/>
              <c:showPercent val="1"/>
              <c:separator>
</c:separator>
            </c:dLbl>
            <c:txPr>
              <a:bodyPr wrap="square"/>
              <a:lstStyle/>
              <a:p>
                <a:pPr>
                  <a:defRPr lang="es-ES" sz="1000" b="0" u="none" strike="noStrike">
                    <a:solidFill>
                      <a:srgbClr val="000000"/>
                    </a:solidFill>
                    <a:uFillTx/>
                    <a:latin typeface="Calibri"/>
                    <a:ea typeface="Calibri"/>
                  </a:defRPr>
                </a:pPr>
              </a:p>
            </c:txPr>
            <c:dLblPos val="bestFit"/>
            <c:showLegendKey val="0"/>
            <c:showVal val="0"/>
            <c:showCatName val="0"/>
            <c:showSerName val="0"/>
            <c:showPercent val="1"/>
            <c:separator>
</c:separator>
            <c:showLeaderLines val="1"/>
            <c:leaderLines>
              <c:spPr>
                <a:ln w="0">
                  <a:solidFill>
                    <a:srgbClr val="000000"/>
                  </a:solidFill>
                </a:ln>
              </c:spPr>
            </c:leaderLines>
          </c:dLbls>
          <c:cat>
            <c:strRef>
              <c:f>'RESULTADO FINAL SOSTENIBILIDAD'!$BT$5:$BT$7</c:f>
              <c:strCache>
                <c:ptCount val="3"/>
                <c:pt idx="0">
                  <c:v>CATEGORIA DE 80-100</c:v>
                </c:pt>
                <c:pt idx="1">
                  <c:v>CATEGORÍA DE 50-79</c:v>
                </c:pt>
                <c:pt idx="2">
                  <c:v>CATEGORÍA DE 0-49</c:v>
                </c:pt>
              </c:strCache>
            </c:strRef>
          </c:cat>
          <c:val>
            <c:numRef>
              <c:f>'RESULTADO FINAL SOSTENIBILIDAD'!$BU$5:$BU$7</c:f>
              <c:numCache>
                <c:formatCode>0.0</c:formatCode>
                <c:ptCount val="3"/>
              </c:numCache>
            </c:numRef>
          </c:val>
        </c:ser>
      </c:pie3DChart>
    </c:plotArea>
    <c:legend>
      <c:legendPos val="r"/>
      <c:layout>
        <c:manualLayout>
          <c:xMode val="edge"/>
          <c:yMode val="edge"/>
          <c:x val="0.681272309711286"/>
          <c:y val="0.444459211384704"/>
          <c:w val="0.278603893263342"/>
          <c:h val="0.197890856128533"/>
        </c:manualLayout>
      </c:layout>
      <c:overlay val="0"/>
      <c:spPr>
        <a:noFill/>
        <a:ln w="0">
          <a:noFill/>
        </a:ln>
      </c:spPr>
      <c:txPr>
        <a:bodyPr/>
        <a:lstStyle/>
        <a:p>
          <a:pPr>
            <a:defRPr lang="es-ES" sz="845" b="0" u="none" strike="noStrike">
              <a:solidFill>
                <a:srgbClr val="000000"/>
              </a:solidFill>
              <a:uFillTx/>
              <a:latin typeface="Calibri"/>
              <a:ea typeface="Calibri"/>
            </a:defRPr>
          </a:pPr>
        </a:p>
      </c:txPr>
    </c:legend>
    <c:plotVisOnly val="1"/>
    <c:dispBlanksAs val="zero"/>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lang="es-ES" sz="1300" b="0" u="none" strike="noStrike">
                <a:uFillTx/>
                <a:latin typeface="Arial"/>
              </a:defRPr>
            </a:pPr>
            <a:r>
              <a:rPr lang="es-ES" sz="1800" b="1" u="none" strike="noStrike">
                <a:solidFill>
                  <a:srgbClr val="000000"/>
                </a:solidFill>
                <a:uFillTx/>
                <a:latin typeface="Calibri"/>
                <a:ea typeface="Calibri"/>
              </a:rPr>
              <a:t>Índice de Sostenibilidad MAG</a:t>
            </a:r>
          </a:p>
        </c:rich>
      </c:tx>
      <c:overlay val="0"/>
      <c:spPr>
        <a:noFill/>
        <a:ln w="25560">
          <a:noFill/>
        </a:ln>
      </c:spPr>
    </c:title>
    <c:autoTitleDeleted val="0"/>
    <c:view3D>
      <c:rotX val="30"/>
      <c:rotY val="0"/>
      <c:rAngAx val="0"/>
      <c:perspective val="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layout>
        <c:manualLayout>
          <c:layoutTarget val="inner"/>
          <c:xMode val="edge"/>
          <c:yMode val="edge"/>
          <c:x val="0.0728965003723008"/>
          <c:y val="0.288155339805825"/>
          <c:w val="0.535294117647059"/>
          <c:h val="0.572815533980583"/>
        </c:manualLayout>
      </c:layout>
      <c:pie3DChart>
        <c:varyColors val="1"/>
        <c:ser>
          <c:idx val="0"/>
          <c:order val="0"/>
          <c:spPr>
            <a:solidFill>
              <a:srgbClr val="7FD13B"/>
            </a:solidFill>
            <a:ln w="0">
              <a:noFill/>
            </a:ln>
          </c:spPr>
          <c:explosion val="25"/>
          <c:dPt>
            <c:idx val="0"/>
            <c:explosion val="25"/>
            <c:spPr>
              <a:solidFill>
                <a:srgbClr val="7FD13B"/>
              </a:solidFill>
              <a:ln w="0">
                <a:noFill/>
              </a:ln>
            </c:spPr>
          </c:dPt>
          <c:dPt>
            <c:idx val="1"/>
            <c:explosion val="25"/>
            <c:spPr>
              <a:solidFill>
                <a:srgbClr val="EA157A"/>
              </a:solidFill>
              <a:ln w="0">
                <a:noFill/>
              </a:ln>
            </c:spPr>
          </c:dPt>
          <c:dPt>
            <c:idx val="2"/>
            <c:explosion val="25"/>
            <c:spPr>
              <a:solidFill>
                <a:srgbClr val="FEB80A"/>
              </a:solidFill>
              <a:ln w="0">
                <a:noFill/>
              </a:ln>
            </c:spPr>
          </c:dPt>
          <c:dLbls>
            <c:dLbl>
              <c:idx val="0"/>
              <c:txPr>
                <a:bodyPr wrap="square"/>
                <a:lstStyle/>
                <a:p>
                  <a:pPr>
                    <a:defRPr lang="es-ES" sz="1000" b="0" u="none" strike="noStrike">
                      <a:solidFill>
                        <a:srgbClr val="000000"/>
                      </a:solidFill>
                      <a:uFillTx/>
                      <a:latin typeface="Calibri"/>
                    </a:defRPr>
                  </a:pPr>
                </a:p>
              </c:txPr>
              <c:dLblPos val="bestFit"/>
              <c:showLegendKey val="0"/>
              <c:showVal val="0"/>
              <c:showCatName val="0"/>
              <c:showSerName val="0"/>
              <c:showPercent val="1"/>
              <c:separator>
</c:separator>
            </c:dLbl>
            <c:dLbl>
              <c:idx val="1"/>
              <c:txPr>
                <a:bodyPr wrap="square"/>
                <a:lstStyle/>
                <a:p>
                  <a:pPr>
                    <a:defRPr lang="es-ES" sz="1000" b="0" u="none" strike="noStrike">
                      <a:solidFill>
                        <a:srgbClr val="000000"/>
                      </a:solidFill>
                      <a:uFillTx/>
                      <a:latin typeface="Calibri"/>
                    </a:defRPr>
                  </a:pPr>
                </a:p>
              </c:txPr>
              <c:dLblPos val="bestFit"/>
              <c:showLegendKey val="0"/>
              <c:showVal val="0"/>
              <c:showCatName val="0"/>
              <c:showSerName val="0"/>
              <c:showPercent val="1"/>
              <c:separator>
</c:separator>
            </c:dLbl>
            <c:dLbl>
              <c:idx val="2"/>
              <c:txPr>
                <a:bodyPr wrap="square"/>
                <a:lstStyle/>
                <a:p>
                  <a:pPr>
                    <a:defRPr lang="es-ES" sz="1000" b="0" u="none" strike="noStrike">
                      <a:solidFill>
                        <a:srgbClr val="000000"/>
                      </a:solidFill>
                      <a:uFillTx/>
                      <a:latin typeface="Calibri"/>
                    </a:defRPr>
                  </a:pPr>
                </a:p>
              </c:txPr>
              <c:dLblPos val="bestFit"/>
              <c:showLegendKey val="0"/>
              <c:showVal val="0"/>
              <c:showCatName val="0"/>
              <c:showSerName val="0"/>
              <c:showPercent val="1"/>
              <c:separator>
</c:separator>
            </c:dLbl>
            <c:txPr>
              <a:bodyPr wrap="square"/>
              <a:lstStyle/>
              <a:p>
                <a:pPr>
                  <a:defRPr lang="es-ES" sz="1000" b="0" u="none" strike="noStrike">
                    <a:solidFill>
                      <a:srgbClr val="000000"/>
                    </a:solidFill>
                    <a:uFillTx/>
                    <a:latin typeface="Calibri"/>
                    <a:ea typeface="Calibri"/>
                  </a:defRPr>
                </a:pPr>
              </a:p>
            </c:txPr>
            <c:dLblPos val="bestFit"/>
            <c:showLegendKey val="0"/>
            <c:showVal val="0"/>
            <c:showCatName val="0"/>
            <c:showSerName val="0"/>
            <c:showPercent val="1"/>
            <c:separator>
</c:separator>
            <c:showLeaderLines val="1"/>
            <c:leaderLines>
              <c:spPr>
                <a:ln w="0">
                  <a:solidFill>
                    <a:srgbClr val="000000"/>
                  </a:solidFill>
                </a:ln>
              </c:spPr>
            </c:leaderLines>
          </c:dLbls>
          <c:cat>
            <c:strRef>
              <c:f>'RESULTADO FINAL SOSTENIBILIDAD'!$BT$5:$BT$7</c:f>
              <c:strCache>
                <c:ptCount val="3"/>
                <c:pt idx="0">
                  <c:v>CATEGORIA DE 80-100</c:v>
                </c:pt>
                <c:pt idx="1">
                  <c:v>CATEGORÍA DE 50-79</c:v>
                </c:pt>
                <c:pt idx="2">
                  <c:v>CATEGORÍA DE 0-49</c:v>
                </c:pt>
              </c:strCache>
            </c:strRef>
          </c:cat>
          <c:val>
            <c:numRef>
              <c:f>'RESULTADO FINAL SOSTENIBILIDAD'!$BV$5:$BV$7</c:f>
              <c:numCache>
                <c:formatCode>0.0</c:formatCode>
                <c:ptCount val="3"/>
                <c:pt idx="0">
                  <c:v>80.75</c:v>
                </c:pt>
              </c:numCache>
            </c:numRef>
          </c:val>
        </c:ser>
      </c:pie3DChart>
    </c:plotArea>
    <c:legend>
      <c:legendPos val="r"/>
      <c:layout>
        <c:manualLayout>
          <c:xMode val="edge"/>
          <c:yMode val="edge"/>
          <c:x val="0.681272309711286"/>
          <c:y val="0.444853845324129"/>
          <c:w val="0.300009842519685"/>
          <c:h val="0.256235573293064"/>
        </c:manualLayout>
      </c:layout>
      <c:overlay val="0"/>
      <c:spPr>
        <a:noFill/>
        <a:ln w="0">
          <a:noFill/>
        </a:ln>
      </c:spPr>
      <c:txPr>
        <a:bodyPr/>
        <a:lstStyle/>
        <a:p>
          <a:pPr>
            <a:defRPr lang="es-ES" sz="845" b="0" u="none" strike="noStrike">
              <a:solidFill>
                <a:srgbClr val="000000"/>
              </a:solidFill>
              <a:uFillTx/>
              <a:latin typeface="Calibri"/>
              <a:ea typeface="Calibri"/>
            </a:defRPr>
          </a:pPr>
        </a:p>
      </c:txPr>
    </c:legend>
    <c:plotVisOnly val="1"/>
    <c:dispBlanksAs val="zero"/>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c:style val="40"/>
  <c:chart>
    <c:title>
      <c:tx>
        <c:rich>
          <a:bodyPr rot="0"/>
          <a:lstStyle/>
          <a:p>
            <a:pPr>
              <a:defRPr lang="es-ES" sz="1300" b="0" u="none" strike="noStrike">
                <a:uFillTx/>
                <a:latin typeface="Arial"/>
              </a:defRPr>
            </a:pPr>
            <a:r>
              <a:rPr lang="es-ES" sz="1800" b="1" u="none" strike="noStrike">
                <a:solidFill>
                  <a:srgbClr val="000000"/>
                </a:solidFill>
                <a:uFillTx/>
                <a:latin typeface="Calibri"/>
                <a:ea typeface="Calibri"/>
              </a:rPr>
              <a:t>1</a:t>
            </a:r>
          </a:p>
        </c:rich>
      </c:tx>
      <c:overlay val="0"/>
      <c:spPr>
        <a:noFill/>
        <a:ln w="25560">
          <a:noFill/>
        </a:ln>
      </c:spPr>
    </c:title>
    <c:autoTitleDeleted val="0"/>
    <c:plotArea>
      <c:barChart>
        <c:barDir val="col"/>
        <c:grouping val="stacked"/>
        <c:varyColors val="0"/>
        <c:ser>
          <c:idx val="0"/>
          <c:order val="0"/>
          <c:spPr>
            <a:solidFill>
              <a:srgbClr val="1AB39F"/>
            </a:solidFill>
            <a:ln w="9360">
              <a:solidFill>
                <a:srgbClr val="0F8474"/>
              </a:solidFill>
              <a:round/>
            </a:ln>
          </c:spPr>
          <c:invertIfNegative val="0"/>
          <c:dLbls>
            <c:txPr>
              <a:bodyPr wrap="square"/>
              <a:lstStyle/>
              <a:p>
                <a:pPr>
                  <a:defRPr lang="es-ES" sz="1000" b="0" u="none" strike="noStrike">
                    <a:solidFill>
                      <a:srgbClr val="000000"/>
                    </a:solidFill>
                    <a:uFillTx/>
                    <a:latin typeface="Calibri"/>
                    <a:ea typeface="Calibri"/>
                  </a:defRPr>
                </a:pPr>
              </a:p>
            </c:txPr>
            <c:dLblPos val="ctr"/>
            <c:showLegendKey val="0"/>
            <c:showVal val="0"/>
            <c:showCatName val="0"/>
            <c:showSerName val="0"/>
            <c:showPercent val="0"/>
            <c:separator>; </c:separator>
            <c:showLeaderLines val="1"/>
            <c:leaderLines>
              <c:spPr>
                <a:ln w="0">
                  <a:solidFill>
                    <a:srgbClr val="0F8474"/>
                  </a:solidFill>
                </a:ln>
              </c:spPr>
            </c:leaderLines>
            <c:extLst>
              <c:ext xmlns:c15="http://schemas.microsoft.com/office/drawing/2012/chart" uri="{CE6537A1-D6FC-4f65-9D91-7224C49458BB}">
                <c15:showLeaderLines val="1"/>
              </c:ext>
            </c:extLst>
          </c:dLbls>
          <c:cat>
            <c:strRef>
              <c:f>categories</c:f>
              <c:strCache>
                <c:ptCount val="8"/>
                <c:pt idx="0">
                  <c:v>1</c:v>
                </c:pt>
                <c:pt idx="1">
                  <c:v>2</c:v>
                </c:pt>
                <c:pt idx="2">
                  <c:v>3</c:v>
                </c:pt>
                <c:pt idx="3">
                  <c:v>4</c:v>
                </c:pt>
                <c:pt idx="4">
                  <c:v>5</c:v>
                </c:pt>
                <c:pt idx="5">
                  <c:v>6</c:v>
                </c:pt>
                <c:pt idx="6">
                  <c:v>7</c:v>
                </c:pt>
                <c:pt idx="7">
                  <c:v>8</c:v>
                </c:pt>
              </c:strCache>
            </c:strRef>
          </c:cat>
          <c:val>
            <c:numRef>
              <c:f>0</c:f>
              <c:numCache>
                <c:formatCode>General</c:formatCode>
                <c:ptCount val="8"/>
                <c:pt idx="0">
                  <c:v>1</c:v>
                </c:pt>
                <c:pt idx="1">
                  <c:v>0.75</c:v>
                </c:pt>
                <c:pt idx="2">
                  <c:v>1</c:v>
                </c:pt>
                <c:pt idx="3">
                  <c:v>0.4</c:v>
                </c:pt>
                <c:pt idx="4">
                  <c:v>1</c:v>
                </c:pt>
                <c:pt idx="5">
                  <c:v>0</c:v>
                </c:pt>
                <c:pt idx="6">
                  <c:v>0.5</c:v>
                </c:pt>
                <c:pt idx="7">
                  <c:v>1</c:v>
                </c:pt>
              </c:numCache>
            </c:numRef>
          </c:val>
        </c:ser>
        <c:gapWidth val="55"/>
        <c:overlap val="100"/>
        <c:axId val="91499113"/>
        <c:axId val="19375516"/>
      </c:barChart>
      <c:catAx>
        <c:axId val="91499113"/>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lang="es-ES" sz="1000" b="0" u="none" strike="noStrike">
                <a:solidFill>
                  <a:srgbClr val="000000"/>
                </a:solidFill>
                <a:uFillTx/>
                <a:latin typeface="Calibri"/>
                <a:ea typeface="Calibri"/>
              </a:defRPr>
            </a:pPr>
          </a:p>
        </c:txPr>
        <c:crossAx val="19375516"/>
        <c:crosses val="autoZero"/>
        <c:auto val="1"/>
        <c:lblAlgn val="ctr"/>
        <c:lblOffset val="100"/>
        <c:noMultiLvlLbl val="0"/>
      </c:catAx>
      <c:valAx>
        <c:axId val="19375516"/>
        <c:scaling>
          <c:orientation val="minMax"/>
        </c:scaling>
        <c:delete val="0"/>
        <c:axPos val="l"/>
        <c:majorGridlines>
          <c:spPr>
            <a:ln w="9360">
              <a:solidFill>
                <a:srgbClr val="878787"/>
              </a:solidFill>
              <a:round/>
            </a:ln>
          </c:spPr>
        </c:majorGridlines>
        <c:numFmt formatCode="General" sourceLinked="0"/>
        <c:majorTickMark val="none"/>
        <c:minorTickMark val="none"/>
        <c:tickLblPos val="nextTo"/>
        <c:spPr>
          <a:ln w="9360">
            <a:solidFill>
              <a:srgbClr val="878787"/>
            </a:solidFill>
            <a:round/>
          </a:ln>
        </c:spPr>
        <c:txPr>
          <a:bodyPr/>
          <a:lstStyle/>
          <a:p>
            <a:pPr>
              <a:defRPr lang="es-ES" sz="1000" b="0" u="none" strike="noStrike">
                <a:solidFill>
                  <a:srgbClr val="000000"/>
                </a:solidFill>
                <a:uFillTx/>
                <a:latin typeface="Calibri"/>
                <a:ea typeface="Calibri"/>
              </a:defRPr>
            </a:pPr>
          </a:p>
        </c:txPr>
        <c:crossAx val="91499113"/>
        <c:crosses val="autoZero"/>
        <c:crossBetween val="between"/>
      </c:valAx>
      <c:spPr>
        <a:solidFill>
          <a:srgbClr val="E7F2EF"/>
        </a:solid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lang="es-ES" sz="1300" b="0" u="none" strike="noStrike">
                <a:uFillTx/>
                <a:latin typeface="Arial"/>
              </a:defRPr>
            </a:pPr>
            <a:r>
              <a:rPr lang="es-ES" sz="1800" b="1" u="none" strike="noStrike">
                <a:solidFill>
                  <a:srgbClr val="000000"/>
                </a:solidFill>
                <a:uFillTx/>
                <a:latin typeface="Calibri"/>
                <a:ea typeface="Calibri"/>
              </a:rPr>
              <a:t>Índice de Sostenibilidad POZOS</a:t>
            </a:r>
          </a:p>
        </c:rich>
      </c:tx>
      <c:overlay val="0"/>
      <c:spPr>
        <a:noFill/>
        <a:ln w="25560">
          <a:noFill/>
        </a:ln>
      </c:spPr>
    </c:title>
    <c:autoTitleDeleted val="0"/>
    <c:view3D>
      <c:rotX val="30"/>
      <c:rotY val="0"/>
      <c:rAngAx val="0"/>
      <c:perspective val="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layout>
        <c:manualLayout>
          <c:layoutTarget val="inner"/>
          <c:xMode val="edge"/>
          <c:yMode val="edge"/>
          <c:x val="0.0729019286618512"/>
          <c:y val="0.288155339805825"/>
          <c:w val="0.535333978702807"/>
          <c:h val="0.572815533980583"/>
        </c:manualLayout>
      </c:layout>
      <c:pie3DChart>
        <c:varyColors val="1"/>
        <c:ser>
          <c:idx val="0"/>
          <c:order val="0"/>
          <c:spPr>
            <a:solidFill>
              <a:srgbClr val="7FD13B"/>
            </a:solidFill>
            <a:ln w="0">
              <a:noFill/>
            </a:ln>
          </c:spPr>
          <c:explosion val="25"/>
          <c:dPt>
            <c:idx val="0"/>
            <c:explosion val="25"/>
            <c:spPr>
              <a:solidFill>
                <a:srgbClr val="7FD13B"/>
              </a:solidFill>
              <a:ln w="0">
                <a:noFill/>
              </a:ln>
            </c:spPr>
          </c:dPt>
          <c:dPt>
            <c:idx val="1"/>
            <c:explosion val="25"/>
            <c:spPr>
              <a:solidFill>
                <a:srgbClr val="EA157A"/>
              </a:solidFill>
              <a:ln w="0">
                <a:noFill/>
              </a:ln>
            </c:spPr>
          </c:dPt>
          <c:dPt>
            <c:idx val="2"/>
            <c:explosion val="25"/>
            <c:spPr>
              <a:solidFill>
                <a:srgbClr val="FEB80A"/>
              </a:solidFill>
              <a:ln w="0">
                <a:noFill/>
              </a:ln>
            </c:spPr>
          </c:dPt>
          <c:dLbls>
            <c:dLbl>
              <c:idx val="0"/>
              <c:txPr>
                <a:bodyPr wrap="square"/>
                <a:lstStyle/>
                <a:p>
                  <a:pPr>
                    <a:defRPr lang="es-ES" sz="1000" b="0" u="none" strike="noStrike">
                      <a:solidFill>
                        <a:srgbClr val="000000"/>
                      </a:solidFill>
                      <a:uFillTx/>
                      <a:latin typeface="Calibri"/>
                    </a:defRPr>
                  </a:pPr>
                </a:p>
              </c:txPr>
              <c:dLblPos val="bestFit"/>
              <c:showLegendKey val="0"/>
              <c:showVal val="0"/>
              <c:showCatName val="0"/>
              <c:showSerName val="0"/>
              <c:showPercent val="1"/>
              <c:separator>
</c:separator>
            </c:dLbl>
            <c:dLbl>
              <c:idx val="1"/>
              <c:txPr>
                <a:bodyPr wrap="square"/>
                <a:lstStyle/>
                <a:p>
                  <a:pPr>
                    <a:defRPr lang="es-ES" sz="1000" b="0" u="none" strike="noStrike">
                      <a:solidFill>
                        <a:srgbClr val="000000"/>
                      </a:solidFill>
                      <a:uFillTx/>
                      <a:latin typeface="Calibri"/>
                    </a:defRPr>
                  </a:pPr>
                </a:p>
              </c:txPr>
              <c:dLblPos val="bestFit"/>
              <c:showLegendKey val="0"/>
              <c:showVal val="0"/>
              <c:showCatName val="0"/>
              <c:showSerName val="0"/>
              <c:showPercent val="1"/>
              <c:separator>
</c:separator>
            </c:dLbl>
            <c:dLbl>
              <c:idx val="2"/>
              <c:txPr>
                <a:bodyPr wrap="square"/>
                <a:lstStyle/>
                <a:p>
                  <a:pPr>
                    <a:defRPr lang="es-ES" sz="1000" b="0" u="none" strike="noStrike">
                      <a:solidFill>
                        <a:srgbClr val="000000"/>
                      </a:solidFill>
                      <a:uFillTx/>
                      <a:latin typeface="Calibri"/>
                    </a:defRPr>
                  </a:pPr>
                </a:p>
              </c:txPr>
              <c:dLblPos val="bestFit"/>
              <c:showLegendKey val="0"/>
              <c:showVal val="0"/>
              <c:showCatName val="0"/>
              <c:showSerName val="0"/>
              <c:showPercent val="1"/>
              <c:separator>
</c:separator>
            </c:dLbl>
            <c:txPr>
              <a:bodyPr wrap="square"/>
              <a:lstStyle/>
              <a:p>
                <a:pPr>
                  <a:defRPr lang="es-ES" sz="1000" b="0" u="none" strike="noStrike">
                    <a:solidFill>
                      <a:srgbClr val="000000"/>
                    </a:solidFill>
                    <a:uFillTx/>
                    <a:latin typeface="Calibri"/>
                    <a:ea typeface="Calibri"/>
                  </a:defRPr>
                </a:pPr>
              </a:p>
            </c:txPr>
            <c:dLblPos val="bestFit"/>
            <c:showLegendKey val="0"/>
            <c:showVal val="0"/>
            <c:showCatName val="0"/>
            <c:showSerName val="0"/>
            <c:showPercent val="1"/>
            <c:separator>
</c:separator>
            <c:showLeaderLines val="1"/>
            <c:leaderLines>
              <c:spPr>
                <a:ln w="0">
                  <a:solidFill>
                    <a:srgbClr val="000000"/>
                  </a:solidFill>
                </a:ln>
              </c:spPr>
            </c:leaderLines>
          </c:dLbls>
          <c:cat>
            <c:strRef>
              <c:f>'RESULTADO FINAL SOSTENIBILIDAD'!$BT$5:$BT$7</c:f>
              <c:strCache>
                <c:ptCount val="3"/>
                <c:pt idx="0">
                  <c:v>CATEGORIA DE 80-100</c:v>
                </c:pt>
                <c:pt idx="1">
                  <c:v>CATEGORÍA DE 50-79</c:v>
                </c:pt>
                <c:pt idx="2">
                  <c:v>CATEGORÍA DE 0-49</c:v>
                </c:pt>
              </c:strCache>
            </c:strRef>
          </c:cat>
          <c:val>
            <c:numRef>
              <c:f>'RESULTADO FINAL SOSTENIBILIDAD'!$BW$5:$BW$7</c:f>
              <c:numCache>
                <c:formatCode>General</c:formatCode>
                <c:ptCount val="3"/>
              </c:numCache>
            </c:numRef>
          </c:val>
        </c:ser>
      </c:pie3DChart>
    </c:plotArea>
    <c:legend>
      <c:legendPos val="r"/>
      <c:layout>
        <c:manualLayout>
          <c:xMode val="edge"/>
          <c:yMode val="edge"/>
          <c:x val="0.681272309711286"/>
          <c:y val="0.444853845324129"/>
          <c:w val="0.300009842519685"/>
          <c:h val="0.256235573293064"/>
        </c:manualLayout>
      </c:layout>
      <c:overlay val="0"/>
      <c:spPr>
        <a:noFill/>
        <a:ln w="0">
          <a:noFill/>
        </a:ln>
      </c:spPr>
      <c:txPr>
        <a:bodyPr/>
        <a:lstStyle/>
        <a:p>
          <a:pPr>
            <a:defRPr lang="es-ES" sz="845" b="0" u="none" strike="noStrike">
              <a:solidFill>
                <a:srgbClr val="000000"/>
              </a:solidFill>
              <a:uFillTx/>
              <a:latin typeface="Calibri"/>
              <a:ea typeface="Calibri"/>
            </a:defRPr>
          </a:pPr>
        </a:p>
      </c:txPr>
    </c:legend>
    <c:plotVisOnly val="1"/>
    <c:dispBlanksAs val="zero"/>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hyperlink" Target="#INDICE.A1"/>
</Relationships>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_rels/drawing3.xml.rels><?xml version="1.0" encoding="UTF-8"?>
<Relationships xmlns="http://schemas.openxmlformats.org/package/2006/relationships"><Relationship Id="rId1" Type="http://schemas.openxmlformats.org/officeDocument/2006/relationships/hyperlink" Target="#&apos;indice &apos;.A1"/>
</Relationships>
</file>

<file path=xl/drawings/_rels/drawing4.xml.rels><?xml version="1.0" encoding="UTF-8"?>
<Relationships xmlns="http://schemas.openxmlformats.org/package/2006/relationships"><Relationship Id="rId1" Type="http://schemas.openxmlformats.org/officeDocument/2006/relationships/hyperlink" Target="#&apos;indice &apos;.A1"/>
</Relationships>
</file>

<file path=xl/drawings/_rels/drawing5.xml.rels><?xml version="1.0" encoding="UTF-8"?>
<Relationships xmlns="http://schemas.openxmlformats.org/package/2006/relationships"><Relationship Id="rId1" Type="http://schemas.openxmlformats.org/officeDocument/2006/relationships/hyperlink" Target="#&apos;indice &apos;.A1"/>
</Relationships>
</file>

<file path=xl/drawings/_rels/drawing6.xml.rels><?xml version="1.0" encoding="UTF-8"?>
<Relationships xmlns="http://schemas.openxmlformats.org/package/2006/relationships"><Relationship Id="rId1" Type="http://schemas.openxmlformats.org/officeDocument/2006/relationships/hyperlink" Target="#&apos;indice &apos;.A1"/>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345960</xdr:colOff>
      <xdr:row>0</xdr:row>
      <xdr:rowOff>500760</xdr:rowOff>
    </xdr:from>
    <xdr:to>
      <xdr:col>1</xdr:col>
      <xdr:colOff>269640</xdr:colOff>
      <xdr:row>0</xdr:row>
      <xdr:rowOff>846360</xdr:rowOff>
    </xdr:to>
    <xdr:sp>
      <xdr:nvSpPr>
        <xdr:cNvPr id="1" name="1 Cheurón">
          <a:hlinkClick r:id="rId1"/>
        </xdr:cNvPr>
        <xdr:cNvSpPr/>
      </xdr:nvSpPr>
      <xdr:spPr>
        <a:xfrm rot="10800000">
          <a:off x="345960" y="500760"/>
          <a:ext cx="709200" cy="345600"/>
        </a:xfrm>
        <a:prstGeom prst="chevron">
          <a:avLst>
            <a:gd name="adj" fmla="val 50000"/>
          </a:avLst>
        </a:prstGeom>
        <a:gradFill rotWithShape="0">
          <a:gsLst>
            <a:gs pos="0">
              <a:srgbClr val="5CAC1B"/>
            </a:gs>
            <a:gs pos="80000">
              <a:srgbClr val="79E023"/>
            </a:gs>
            <a:gs pos="100000">
              <a:srgbClr val="79E51F"/>
            </a:gs>
          </a:gsLst>
          <a:lin ang="5400000"/>
        </a:gradFill>
        <a:ln w="0">
          <a:noFill/>
        </a:ln>
        <a:effectLst>
          <a:outerShdw blurRad="39960" dir="5400000" dist="23040" rotWithShape="0">
            <a:srgbClr val="000000">
              <a:alpha val="35000"/>
            </a:srgbClr>
          </a:outerShdw>
        </a:effectLst>
      </xdr:spPr>
      <xdr:style>
        <a:lnRef idx="0">
          <a:schemeClr val="accent1"/>
        </a:lnRef>
        <a:fillRef idx="3">
          <a:schemeClr val="accent1"/>
        </a:fillRef>
        <a:effectRef idx="3">
          <a:schemeClr val="accent1"/>
        </a:effectRef>
        <a:fontRef idx="minor"/>
      </xdr:style>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75</xdr:col>
      <xdr:colOff>104760</xdr:colOff>
      <xdr:row>1</xdr:row>
      <xdr:rowOff>485640</xdr:rowOff>
    </xdr:from>
    <xdr:to>
      <xdr:col>81</xdr:col>
      <xdr:colOff>104040</xdr:colOff>
      <xdr:row>7</xdr:row>
      <xdr:rowOff>8640</xdr:rowOff>
    </xdr:to>
    <xdr:graphicFrame>
      <xdr:nvGraphicFramePr>
        <xdr:cNvPr id="2" name="1 Gráfico"/>
        <xdr:cNvGraphicFramePr/>
      </xdr:nvGraphicFramePr>
      <xdr:xfrm>
        <a:off x="43927920" y="1133280"/>
        <a:ext cx="4834440" cy="3295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75</xdr:col>
      <xdr:colOff>162000</xdr:colOff>
      <xdr:row>8</xdr:row>
      <xdr:rowOff>266760</xdr:rowOff>
    </xdr:from>
    <xdr:to>
      <xdr:col>81</xdr:col>
      <xdr:colOff>161280</xdr:colOff>
      <xdr:row>18</xdr:row>
      <xdr:rowOff>189720</xdr:rowOff>
    </xdr:to>
    <xdr:graphicFrame>
      <xdr:nvGraphicFramePr>
        <xdr:cNvPr id="3" name="2 Gráfico"/>
        <xdr:cNvGraphicFramePr/>
      </xdr:nvGraphicFramePr>
      <xdr:xfrm>
        <a:off x="43985160" y="4971960"/>
        <a:ext cx="4834440" cy="2780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266760</xdr:colOff>
      <xdr:row>31</xdr:row>
      <xdr:rowOff>76320</xdr:rowOff>
    </xdr:from>
    <xdr:to>
      <xdr:col>6</xdr:col>
      <xdr:colOff>732600</xdr:colOff>
      <xdr:row>50</xdr:row>
      <xdr:rowOff>161280</xdr:rowOff>
    </xdr:to>
    <xdr:graphicFrame>
      <xdr:nvGraphicFramePr>
        <xdr:cNvPr id="4" name="1 Gráfico"/>
        <xdr:cNvGraphicFramePr/>
      </xdr:nvGraphicFramePr>
      <xdr:xfrm>
        <a:off x="266760" y="11458800"/>
        <a:ext cx="3657240" cy="40662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71</xdr:col>
      <xdr:colOff>952560</xdr:colOff>
      <xdr:row>8</xdr:row>
      <xdr:rowOff>257040</xdr:rowOff>
    </xdr:from>
    <xdr:to>
      <xdr:col>74</xdr:col>
      <xdr:colOff>923400</xdr:colOff>
      <xdr:row>18</xdr:row>
      <xdr:rowOff>180000</xdr:rowOff>
    </xdr:to>
    <xdr:graphicFrame>
      <xdr:nvGraphicFramePr>
        <xdr:cNvPr id="5" name="2 Gráfico"/>
        <xdr:cNvGraphicFramePr/>
      </xdr:nvGraphicFramePr>
      <xdr:xfrm>
        <a:off x="38653920" y="4962240"/>
        <a:ext cx="4834080" cy="2780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239040</xdr:colOff>
      <xdr:row>0</xdr:row>
      <xdr:rowOff>64080</xdr:rowOff>
    </xdr:from>
    <xdr:to>
      <xdr:col>1</xdr:col>
      <xdr:colOff>476280</xdr:colOff>
      <xdr:row>2</xdr:row>
      <xdr:rowOff>47520</xdr:rowOff>
    </xdr:to>
    <xdr:sp>
      <xdr:nvSpPr>
        <xdr:cNvPr id="6" name="1 Cheurón">
          <a:hlinkClick r:id="rId1"/>
        </xdr:cNvPr>
        <xdr:cNvSpPr/>
      </xdr:nvSpPr>
      <xdr:spPr>
        <a:xfrm rot="10800000">
          <a:off x="239040" y="63720"/>
          <a:ext cx="549000" cy="307440"/>
        </a:xfrm>
        <a:prstGeom prst="chevron">
          <a:avLst>
            <a:gd name="adj" fmla="val 50000"/>
          </a:avLst>
        </a:prstGeom>
        <a:gradFill rotWithShape="0">
          <a:gsLst>
            <a:gs pos="0">
              <a:srgbClr val="029683"/>
            </a:gs>
            <a:gs pos="80000">
              <a:srgbClr val="03C3AB"/>
            </a:gs>
            <a:gs pos="100000">
              <a:srgbClr val="00C7AC"/>
            </a:gs>
          </a:gsLst>
          <a:lin ang="5400000"/>
        </a:gradFill>
        <a:ln w="0">
          <a:noFill/>
        </a:ln>
        <a:effectLst>
          <a:outerShdw blurRad="39960" dir="5400000" dist="23040" rotWithShape="0">
            <a:srgbClr val="000000">
              <a:alpha val="35000"/>
            </a:srgbClr>
          </a:outerShdw>
        </a:effectLst>
      </xdr:spPr>
      <xdr:style>
        <a:lnRef idx="0">
          <a:schemeClr val="accent6"/>
        </a:lnRef>
        <a:fillRef idx="3">
          <a:schemeClr val="accent6"/>
        </a:fillRef>
        <a:effectRef idx="3">
          <a:schemeClr val="accent6"/>
        </a:effectRef>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201240</xdr:colOff>
      <xdr:row>3</xdr:row>
      <xdr:rowOff>258120</xdr:rowOff>
    </xdr:from>
    <xdr:to>
      <xdr:col>1</xdr:col>
      <xdr:colOff>19440</xdr:colOff>
      <xdr:row>3</xdr:row>
      <xdr:rowOff>562320</xdr:rowOff>
    </xdr:to>
    <xdr:sp>
      <xdr:nvSpPr>
        <xdr:cNvPr id="7" name="1 Cheurón">
          <a:hlinkClick r:id="rId1"/>
        </xdr:cNvPr>
        <xdr:cNvSpPr/>
      </xdr:nvSpPr>
      <xdr:spPr>
        <a:xfrm rot="10800000">
          <a:off x="201240" y="845640"/>
          <a:ext cx="623880" cy="304200"/>
        </a:xfrm>
        <a:prstGeom prst="chevron">
          <a:avLst>
            <a:gd name="adj" fmla="val 50000"/>
          </a:avLst>
        </a:prstGeom>
        <a:gradFill rotWithShape="0">
          <a:gsLst>
            <a:gs pos="0">
              <a:srgbClr val="C48C00"/>
            </a:gs>
            <a:gs pos="80000">
              <a:srgbClr val="FFB600"/>
            </a:gs>
            <a:gs pos="100000">
              <a:srgbClr val="FFB601"/>
            </a:gs>
          </a:gsLst>
          <a:lin ang="5400000"/>
        </a:gradFill>
        <a:ln w="0">
          <a:noFill/>
        </a:ln>
        <a:effectLst>
          <a:outerShdw blurRad="39960" dir="5400000" dist="23040" rotWithShape="0">
            <a:srgbClr val="000000">
              <a:alpha val="35000"/>
            </a:srgbClr>
          </a:outerShdw>
        </a:effectLst>
      </xdr:spPr>
      <xdr:style>
        <a:lnRef idx="0">
          <a:schemeClr val="accent3"/>
        </a:lnRef>
        <a:fillRef idx="3">
          <a:schemeClr val="accent3"/>
        </a:fillRef>
        <a:effectRef idx="3">
          <a:schemeClr val="accent3"/>
        </a:effectRef>
        <a:fontRef idx="minor"/>
      </xdr:style>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10</xdr:col>
      <xdr:colOff>47520</xdr:colOff>
      <xdr:row>22</xdr:row>
      <xdr:rowOff>152280</xdr:rowOff>
    </xdr:from>
    <xdr:to>
      <xdr:col>13</xdr:col>
      <xdr:colOff>751680</xdr:colOff>
      <xdr:row>24</xdr:row>
      <xdr:rowOff>142200</xdr:rowOff>
    </xdr:to>
    <xdr:sp>
      <xdr:nvSpPr>
        <xdr:cNvPr id="8" name="1 Llamada de flecha a la izquierda"/>
        <xdr:cNvSpPr/>
      </xdr:nvSpPr>
      <xdr:spPr>
        <a:xfrm>
          <a:off x="8423640" y="5631120"/>
          <a:ext cx="3020760" cy="675720"/>
        </a:xfrm>
        <a:prstGeom prst="leftArrowCallout">
          <a:avLst>
            <a:gd name="adj1" fmla="val 25000"/>
            <a:gd name="adj2" fmla="val 25000"/>
            <a:gd name="adj3" fmla="val 25000"/>
            <a:gd name="adj4" fmla="val 64977"/>
          </a:avLst>
        </a:prstGeom>
        <a:solidFill>
          <a:srgbClr val="FFFFFF"/>
        </a:solidFill>
        <a:ln w="25400">
          <a:solidFill>
            <a:srgbClr val="1AB39F"/>
          </a:solidFill>
          <a:round/>
        </a:ln>
      </xdr:spPr>
      <xdr:style>
        <a:lnRef idx="2">
          <a:schemeClr val="accent6"/>
        </a:lnRef>
        <a:fillRef idx="1">
          <a:schemeClr val="lt1"/>
        </a:fillRef>
        <a:effectRef idx="0">
          <a:schemeClr val="accent6"/>
        </a:effectRef>
        <a:fontRef idx="minor"/>
      </xdr:style>
      <xdr:txBody>
        <a:bodyPr horzOverflow="clip" vertOverflow="clip" lIns="90000" tIns="45000" rIns="90000" bIns="45000" anchor="t">
          <a:noAutofit/>
        </a:bodyPr>
        <a:p>
          <a:pPr>
            <a:lnSpc>
              <a:spcPct val="100000"/>
            </a:lnSpc>
          </a:pPr>
          <a:r>
            <a:rPr lang="es-ES" sz="1100" b="0" u="none" strike="noStrike">
              <a:solidFill>
                <a:srgbClr val="C00000"/>
              </a:solidFill>
              <a:effectLst/>
              <a:uFillTx/>
              <a:latin typeface="Calibri"/>
            </a:rPr>
            <a:t>En la columna "Tècnicos </a:t>
          </a:r>
          <a:r>
            <a:rPr lang="es-ES" sz="1100" b="0" u="none" strike="noStrike">
              <a:solidFill>
                <a:srgbClr val="C00000"/>
              </a:solidFill>
              <a:effectLst/>
              <a:uFillTx/>
              <a:latin typeface="Calibri"/>
            </a:rPr>
            <a:t>Municipales" selecciones en lista </a:t>
          </a:r>
          <a:r>
            <a:rPr lang="es-ES" sz="1100" b="0" u="none" strike="noStrike">
              <a:solidFill>
                <a:srgbClr val="C00000"/>
              </a:solidFill>
              <a:effectLst/>
              <a:uFillTx/>
              <a:latin typeface="Calibri"/>
            </a:rPr>
            <a:t>desplegable : 1: si y 0: no</a:t>
          </a:r>
          <a:endParaRPr lang="es-ES" sz="1100" b="0" u="none" strike="noStrike">
            <a:effectLst/>
            <a:uFillTx/>
            <a:latin typeface="Times New Roman"/>
          </a:endParaRPr>
        </a:p>
      </xdr:txBody>
    </xdr:sp>
    <xdr:clientData/>
  </xdr:twoCellAnchor>
  <xdr:twoCellAnchor editAs="twoCell">
    <xdr:from>
      <xdr:col>1</xdr:col>
      <xdr:colOff>295920</xdr:colOff>
      <xdr:row>0</xdr:row>
      <xdr:rowOff>229320</xdr:rowOff>
    </xdr:from>
    <xdr:to>
      <xdr:col>1</xdr:col>
      <xdr:colOff>857160</xdr:colOff>
      <xdr:row>0</xdr:row>
      <xdr:rowOff>581040</xdr:rowOff>
    </xdr:to>
    <xdr:sp>
      <xdr:nvSpPr>
        <xdr:cNvPr id="9" name="2 Cheurón">
          <a:hlinkClick r:id="rId1"/>
        </xdr:cNvPr>
        <xdr:cNvSpPr/>
      </xdr:nvSpPr>
      <xdr:spPr>
        <a:xfrm rot="10800000">
          <a:off x="557640" y="228960"/>
          <a:ext cx="561240" cy="351720"/>
        </a:xfrm>
        <a:prstGeom prst="chevron">
          <a:avLst>
            <a:gd name="adj" fmla="val 50000"/>
          </a:avLst>
        </a:prstGeom>
        <a:gradFill rotWithShape="0">
          <a:gsLst>
            <a:gs pos="0">
              <a:srgbClr val="C48C00"/>
            </a:gs>
            <a:gs pos="80000">
              <a:srgbClr val="FFB600"/>
            </a:gs>
            <a:gs pos="100000">
              <a:srgbClr val="FFB601"/>
            </a:gs>
          </a:gsLst>
          <a:lin ang="5400000"/>
        </a:gradFill>
        <a:ln w="0">
          <a:noFill/>
        </a:ln>
        <a:effectLst>
          <a:outerShdw blurRad="39960" dir="5400000" dist="23040" rotWithShape="0">
            <a:srgbClr val="000000">
              <a:alpha val="35000"/>
            </a:srgbClr>
          </a:outerShdw>
        </a:effectLst>
      </xdr:spPr>
      <xdr:style>
        <a:lnRef idx="0">
          <a:schemeClr val="accent3"/>
        </a:lnRef>
        <a:fillRef idx="3">
          <a:schemeClr val="accent3"/>
        </a:fillRef>
        <a:effectRef idx="3">
          <a:schemeClr val="accent3"/>
        </a:effectRef>
        <a:fontRef idx="minor"/>
      </xdr:style>
    </xdr:sp>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105480</xdr:colOff>
      <xdr:row>0</xdr:row>
      <xdr:rowOff>95760</xdr:rowOff>
    </xdr:from>
    <xdr:to>
      <xdr:col>0</xdr:col>
      <xdr:colOff>743040</xdr:colOff>
      <xdr:row>2</xdr:row>
      <xdr:rowOff>85680</xdr:rowOff>
    </xdr:to>
    <xdr:sp>
      <xdr:nvSpPr>
        <xdr:cNvPr id="10" name="1 Cheurón">
          <a:hlinkClick r:id="rId1"/>
        </xdr:cNvPr>
        <xdr:cNvSpPr/>
      </xdr:nvSpPr>
      <xdr:spPr>
        <a:xfrm rot="10800000">
          <a:off x="105480" y="95400"/>
          <a:ext cx="637560" cy="313920"/>
        </a:xfrm>
        <a:prstGeom prst="chevron">
          <a:avLst>
            <a:gd name="adj" fmla="val 50000"/>
          </a:avLst>
        </a:prstGeom>
        <a:gradFill rotWithShape="0">
          <a:gsLst>
            <a:gs pos="0">
              <a:srgbClr val="029683"/>
            </a:gs>
            <a:gs pos="80000">
              <a:srgbClr val="03C3AB"/>
            </a:gs>
            <a:gs pos="100000">
              <a:srgbClr val="00C7AC"/>
            </a:gs>
          </a:gsLst>
          <a:lin ang="5400000"/>
        </a:gradFill>
        <a:ln w="0">
          <a:noFill/>
        </a:ln>
        <a:effectLst>
          <a:outerShdw blurRad="39960" dir="5400000" dist="23040" rotWithShape="0">
            <a:srgbClr val="000000">
              <a:alpha val="35000"/>
            </a:srgbClr>
          </a:outerShdw>
        </a:effectLst>
      </xdr:spPr>
      <xdr:style>
        <a:lnRef idx="0">
          <a:schemeClr val="accent6"/>
        </a:lnRef>
        <a:fillRef idx="3">
          <a:schemeClr val="accent6"/>
        </a:fillRef>
        <a:effectRef idx="3">
          <a:schemeClr val="accent6"/>
        </a:effectRef>
        <a:fontRef idx="minor"/>
      </xdr:style>
    </xdr:sp>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X:/04%20CONOCIMIENTO/03%20AGUA/02%20T&#201;CNICAS%20DE%20INTERVENCI&#211;N/Users/user/AppData/Local/Temp/Users/user/Documents/Indicadores%20y%20Herramientas%20LINEA1.1/11.10.21Herramientas%20Agua%20y%20Saneamiento.%20FECSA.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X:/04%20CONOCIMIENTO/03%20AGUA/02%20T&#201;CNICAS%20DE%20INTERVENCI&#211;N/Users/user/AppData/Local/Temp/11.09%20SEGUIMIENTO%20INDICADORES/11%2009%2026.%20HerramientasL2L3%20Final%20ELO.xls" TargetMode="External"/>
</Relationships>
</file>

<file path=xl/externalLinks/_rels/externalLink3.xml.rels><?xml version="1.0" encoding="UTF-8"?>
<Relationships xmlns="http://schemas.openxmlformats.org/package/2006/relationships"><Relationship Id="rId1" Type="http://schemas.openxmlformats.org/officeDocument/2006/relationships/externalLinkPath" Target="../../X:/04%20CONOCIMIENTO/03%20AGUA/02%20T&#201;CNICAS%20DE%20INTERVENCI&#211;N/Users/user/AppData/Local/Temp/Users/user/Documents/Indicadores%20y%20Herramientas%20LINEA1.1/IOVs%20y%20herramientas%20L1a.RA.EL.JBE.v1.xlsx" TargetMode="External"/>
</Relationships>
</file>

<file path=xl/externalLinks/_rels/externalLink4.xml.rels><?xml version="1.0" encoding="UTF-8"?>
<Relationships xmlns="http://schemas.openxmlformats.org/package/2006/relationships"><Relationship Id="rId1" Type="http://schemas.openxmlformats.org/officeDocument/2006/relationships/externalLinkPath" Target="file://C1E50437/11.09.01%20Medicion%20de%20Indicadores%20PN%20DR.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IOV_L1a"/>
      <sheetName val="ASH_reg_QH20"/>
      <sheetName val="ASH_consolidado"/>
      <sheetName val="ASH_reg_Q H2O"/>
      <sheetName val="ASH_sostenibilidad SAP"/>
      <sheetName val="ASH_Pract_Hig_critic"/>
      <sheetName val="UMAS_inversiones"/>
      <sheetName val="UMAS_fortalecimiento"/>
      <sheetName val="FECSA_consolidado"/>
      <sheetName val="FECSA_autodiagnóstico_Esc"/>
      <sheetName val="Extras_Graduación_CAPS"/>
      <sheetName val="Hoja1"/>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planificación medición"/>
      <sheetName val="COLOPRED_FUNC"/>
      <sheetName val="COLOPRED_OM"/>
      <sheetName val="SENSIL.ESCUELAS_1"/>
      <sheetName val="SENSILI.ESCUELA_2"/>
      <sheetName val="OMR_conformación"/>
      <sheetName val="OMR_funcionamiento"/>
      <sheetName val="Institucional"/>
      <sheetName val="COMUPRED"/>
      <sheetName val="Ordenanza "/>
      <sheetName val="PMODT"/>
      <sheetName val="Sensibilización escuelas"/>
      <sheetName val="Hoja1"/>
      <sheetName val="Sept-Oct1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IOV_L1a"/>
      <sheetName val="ASH_consolidado.1.1.9-11"/>
      <sheetName val="ASH_reg_Q H2O.1.1.10"/>
      <sheetName val="ASH_Pract_Hig_critic1.1.10"/>
      <sheetName val="ASH_sostenibilidad SAP1.1.10"/>
      <sheetName val="UMAS_inversiones.IOE1.3"/>
      <sheetName val="UMAS_forta.1.1.23-1.1.28"/>
      <sheetName val="FECSA_consolidado"/>
      <sheetName val="FECSA_autodiagnóstico_Esc"/>
      <sheetName val="Extras_Graduación_CAP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8_DR"/>
      <sheetName val="Med. ind"/>
      <sheetName val="Tabla_cod"/>
    </sheetNames>
    <sheetDataSet>
      <sheetData sheetId="0"/>
      <sheetData sheetId="1"/>
      <sheetData sheetId="2"/>
    </sheetDataSet>
  </externalBook>
</externalLink>
</file>

<file path=xl/tables/table1.xml><?xml version="1.0" encoding="utf-8"?>
<table xmlns="http://schemas.openxmlformats.org/spreadsheetml/2006/main" id="1" name="Tabla1" displayName="Tabla1" ref="A2:E27" headerRowCount="1" totalsRowCount="0" totalsRowShown="0">
  <tableColumns count="5">
    <tableColumn id="1" name="Código"/>
    <tableColumn id="2" name="Nombre/Descripción"/>
    <tableColumn id="3" name="Haga click en el link siguiente"/>
    <tableColumn id="4" name="OBSERVACION"/>
    <tableColumn id="5" name="Fuente de la información"/>
  </tableColumns>
</table>
</file>

<file path=xl/theme/theme1.xml><?xml version="1.0" encoding="utf-8"?>
<a:theme xmlns:a="http://schemas.openxmlformats.org/drawingml/2006/main" xmlns:r="http://schemas.openxmlformats.org/officeDocument/2006/relationships" name="Tema de Office">
  <a:themeElements>
    <a:clrScheme name="Metro">
      <a:dk1>
        <a:srgbClr val="000000"/>
      </a:dk1>
      <a:lt1>
        <a:srgbClr val="FFFFFF"/>
      </a:lt1>
      <a:dk2>
        <a:srgbClr val="4E5B6F"/>
      </a:dk2>
      <a:lt2>
        <a:srgbClr val="D6ECFF"/>
      </a:lt2>
      <a:accent1>
        <a:srgbClr val="7FD13B"/>
      </a:accent1>
      <a:accent2>
        <a:srgbClr val="EA157A"/>
      </a:accent2>
      <a:accent3>
        <a:srgbClr val="FEB80A"/>
      </a:accent3>
      <a:accent4>
        <a:srgbClr val="00ADDC"/>
      </a:accent4>
      <a:accent5>
        <a:srgbClr val="738AC8"/>
      </a:accent5>
      <a:accent6>
        <a:srgbClr val="1AB39F"/>
      </a:accent6>
      <a:hlink>
        <a:srgbClr val="EB8803"/>
      </a:hlink>
      <a:folHlink>
        <a:srgbClr val="5F7791"/>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4.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20.xml.rels><?xml version="1.0" encoding="UTF-8"?>
<Relationships xmlns="http://schemas.openxmlformats.org/package/2006/relationships"><Relationship Id="rId1" Type="http://schemas.openxmlformats.org/officeDocument/2006/relationships/drawing" Target="../drawings/drawing2.xml"/>
</Relationships>
</file>

<file path=xl/worksheets/_rels/sheet21.xml.rels><?xml version="1.0" encoding="UTF-8"?>
<Relationships xmlns="http://schemas.openxmlformats.org/package/2006/relationships"><Relationship Id="rId1" Type="http://schemas.openxmlformats.org/officeDocument/2006/relationships/drawing" Target="../drawings/drawing3.x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drawing" Target="../drawings/drawing4.xml"/><Relationship Id="rId3" Type="http://schemas.openxmlformats.org/officeDocument/2006/relationships/vmlDrawing" Target="../drawings/vmlDrawing7.vml"/>
</Relationships>
</file>

<file path=xl/worksheets/_rels/sheet23.xml.rels><?xml version="1.0" encoding="UTF-8"?>
<Relationships xmlns="http://schemas.openxmlformats.org/package/2006/relationships"><Relationship Id="rId1" Type="http://schemas.openxmlformats.org/officeDocument/2006/relationships/drawing" Target="../drawings/drawing5.xml"/>
</Relationships>
</file>

<file path=xl/worksheets/_rels/sheet24.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594F"/>
    <pageSetUpPr fitToPage="false"/>
  </sheetPr>
  <dimension ref="A1:BH29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0" topLeftCell="B1" activePane="topRight" state="frozen"/>
      <selection pane="topLeft" activeCell="A1" activeCellId="0" sqref="A1"/>
      <selection pane="topRight" activeCell="AX3" activeCellId="0" sqref="AX3"/>
    </sheetView>
  </sheetViews>
  <sheetFormatPr defaultColWidth="11.43359375" defaultRowHeight="12.75" customHeight="false" zeroHeight="false" outlineLevelRow="0" outlineLevelCol="0"/>
  <cols>
    <col collapsed="false" customWidth="true" hidden="false" outlineLevel="0" max="1" min="1" style="1" width="11.14"/>
    <col collapsed="false" customWidth="true" hidden="false" outlineLevel="0" max="2" min="2" style="1" width="9.71"/>
    <col collapsed="false" customWidth="true" hidden="false" outlineLevel="0" max="3" min="3" style="1" width="29.29"/>
    <col collapsed="false" customWidth="true" hidden="false" outlineLevel="0" max="4" min="4" style="1" width="9.14"/>
    <col collapsed="false" customWidth="true" hidden="false" outlineLevel="0" max="5" min="5" style="2" width="15.85"/>
    <col collapsed="false" customWidth="true" hidden="true" outlineLevel="0" max="6" min="6" style="1" width="13.86"/>
    <col collapsed="false" customWidth="true" hidden="true" outlineLevel="0" max="7" min="7" style="1" width="6.71"/>
    <col collapsed="false" customWidth="true" hidden="true" outlineLevel="0" max="8" min="8" style="1" width="13.71"/>
    <col collapsed="false" customWidth="true" hidden="true" outlineLevel="0" max="9" min="9" style="1" width="15.71"/>
    <col collapsed="false" customWidth="true" hidden="true" outlineLevel="0" max="10" min="10" style="1" width="7"/>
    <col collapsed="false" customWidth="true" hidden="true" outlineLevel="0" max="11" min="11" style="1" width="15.42"/>
    <col collapsed="false" customWidth="true" hidden="true" outlineLevel="0" max="12" min="12" style="1" width="6.29"/>
    <col collapsed="false" customWidth="true" hidden="true" outlineLevel="0" max="13" min="13" style="1" width="6.57"/>
    <col collapsed="false" customWidth="true" hidden="true" outlineLevel="0" max="14" min="14" style="1" width="8.15"/>
    <col collapsed="false" customWidth="true" hidden="true" outlineLevel="0" max="15" min="15" style="1" width="6.71"/>
    <col collapsed="false" customWidth="true" hidden="true" outlineLevel="0" max="16" min="16" style="1" width="9"/>
    <col collapsed="false" customWidth="true" hidden="true" outlineLevel="0" max="20" min="17" style="1" width="6.71"/>
    <col collapsed="false" customWidth="true" hidden="true" outlineLevel="0" max="21" min="21" style="1" width="10.71"/>
    <col collapsed="false" customWidth="true" hidden="true" outlineLevel="0" max="22" min="22" style="1" width="10.57"/>
    <col collapsed="false" customWidth="true" hidden="true" outlineLevel="0" max="23" min="23" style="1" width="7.29"/>
    <col collapsed="false" customWidth="true" hidden="true" outlineLevel="0" max="25" min="24" style="1" width="7.16"/>
    <col collapsed="false" customWidth="true" hidden="true" outlineLevel="0" max="26" min="26" style="1" width="7.57"/>
    <col collapsed="false" customWidth="true" hidden="true" outlineLevel="0" max="27" min="27" style="1" width="6.85"/>
    <col collapsed="false" customWidth="true" hidden="true" outlineLevel="0" max="28" min="28" style="1" width="5.57"/>
    <col collapsed="false" customWidth="true" hidden="true" outlineLevel="0" max="34" min="29" style="1" width="4.14"/>
    <col collapsed="false" customWidth="true" hidden="true" outlineLevel="0" max="35" min="35" style="1" width="6.29"/>
    <col collapsed="false" customWidth="true" hidden="true" outlineLevel="0" max="38" min="36" style="1" width="6.14"/>
    <col collapsed="false" customWidth="true" hidden="true" outlineLevel="0" max="39" min="39" style="1" width="4.86"/>
    <col collapsed="false" customWidth="true" hidden="true" outlineLevel="0" max="45" min="40" style="1" width="6.29"/>
    <col collapsed="false" customWidth="true" hidden="true" outlineLevel="0" max="46" min="46" style="1" width="5.57"/>
    <col collapsed="false" customWidth="true" hidden="true" outlineLevel="0" max="47" min="47" style="1" width="6.85"/>
    <col collapsed="false" customWidth="true" hidden="true" outlineLevel="0" max="48" min="48" style="1" width="9.14"/>
    <col collapsed="false" customWidth="true" hidden="true" outlineLevel="0" max="49" min="49" style="1" width="6.29"/>
    <col collapsed="false" customWidth="true" hidden="false" outlineLevel="0" max="50" min="50" style="1" width="10.85"/>
    <col collapsed="false" customWidth="true" hidden="false" outlineLevel="0" max="51" min="51" style="3" width="11"/>
    <col collapsed="false" customWidth="true" hidden="false" outlineLevel="0" max="52" min="52" style="3" width="10.57"/>
    <col collapsed="false" customWidth="false" hidden="false" outlineLevel="0" max="53" min="53" style="3" width="11.43"/>
    <col collapsed="false" customWidth="true" hidden="false" outlineLevel="0" max="54" min="54" style="3" width="11.71"/>
    <col collapsed="false" customWidth="true" hidden="false" outlineLevel="0" max="55" min="55" style="3" width="11.29"/>
    <col collapsed="false" customWidth="true" hidden="false" outlineLevel="0" max="56" min="56" style="3" width="46.15"/>
    <col collapsed="false" customWidth="false" hidden="false" outlineLevel="0" max="16384" min="57" style="3" width="11.43"/>
  </cols>
  <sheetData>
    <row r="1" s="17" customFormat="true" ht="135.75" hidden="false" customHeight="true" outlineLevel="0" collapsed="false">
      <c r="A1" s="4"/>
      <c r="B1" s="5"/>
      <c r="C1" s="6" t="s">
        <v>0</v>
      </c>
      <c r="D1" s="7"/>
      <c r="E1" s="8"/>
      <c r="F1" s="9" t="s">
        <v>1</v>
      </c>
      <c r="G1" s="9"/>
      <c r="H1" s="9"/>
      <c r="I1" s="9"/>
      <c r="J1" s="9"/>
      <c r="K1" s="9"/>
      <c r="L1" s="9"/>
      <c r="M1" s="9"/>
      <c r="N1" s="10" t="s">
        <v>2</v>
      </c>
      <c r="O1" s="10"/>
      <c r="P1" s="10"/>
      <c r="Q1" s="10"/>
      <c r="R1" s="10"/>
      <c r="S1" s="10"/>
      <c r="T1" s="10"/>
      <c r="U1" s="10"/>
      <c r="V1" s="10"/>
      <c r="W1" s="11" t="s">
        <v>3</v>
      </c>
      <c r="X1" s="11"/>
      <c r="Y1" s="11"/>
      <c r="Z1" s="11" t="s">
        <v>4</v>
      </c>
      <c r="AA1" s="11"/>
      <c r="AB1" s="11"/>
      <c r="AC1" s="12"/>
      <c r="AD1" s="12"/>
      <c r="AE1" s="12"/>
      <c r="AF1" s="12"/>
      <c r="AG1" s="12"/>
      <c r="AH1" s="12"/>
      <c r="AI1" s="12"/>
      <c r="AJ1" s="11" t="s">
        <v>5</v>
      </c>
      <c r="AK1" s="11"/>
      <c r="AL1" s="11"/>
      <c r="AM1" s="11"/>
      <c r="AN1" s="13"/>
      <c r="AO1" s="13"/>
      <c r="AP1" s="13"/>
      <c r="AQ1" s="13"/>
      <c r="AR1" s="13"/>
      <c r="AS1" s="13"/>
      <c r="AT1" s="13"/>
      <c r="AU1" s="14" t="s">
        <v>6</v>
      </c>
      <c r="AV1" s="14"/>
      <c r="AW1" s="14"/>
      <c r="AX1" s="15" t="s">
        <v>7</v>
      </c>
      <c r="AY1" s="15"/>
      <c r="AZ1" s="15"/>
      <c r="BA1" s="15"/>
      <c r="BB1" s="15"/>
      <c r="BC1" s="15"/>
      <c r="BD1" s="16"/>
    </row>
    <row r="2" s="24" customFormat="true" ht="37.5" hidden="false" customHeight="true" outlineLevel="0" collapsed="false">
      <c r="A2" s="18" t="s">
        <v>8</v>
      </c>
      <c r="B2" s="18"/>
      <c r="C2" s="18"/>
      <c r="D2" s="18"/>
      <c r="E2" s="18"/>
      <c r="F2" s="19" t="s">
        <v>9</v>
      </c>
      <c r="G2" s="19"/>
      <c r="H2" s="19"/>
      <c r="I2" s="19"/>
      <c r="J2" s="19"/>
      <c r="K2" s="19"/>
      <c r="L2" s="19"/>
      <c r="M2" s="19"/>
      <c r="N2" s="20" t="s">
        <v>10</v>
      </c>
      <c r="O2" s="20"/>
      <c r="P2" s="20"/>
      <c r="Q2" s="20"/>
      <c r="R2" s="20"/>
      <c r="S2" s="20"/>
      <c r="T2" s="20"/>
      <c r="U2" s="20" t="s">
        <v>11</v>
      </c>
      <c r="V2" s="20"/>
      <c r="W2" s="19" t="s">
        <v>12</v>
      </c>
      <c r="X2" s="19"/>
      <c r="Y2" s="19"/>
      <c r="Z2" s="19"/>
      <c r="AA2" s="19"/>
      <c r="AB2" s="19"/>
      <c r="AC2" s="19"/>
      <c r="AD2" s="19"/>
      <c r="AE2" s="19"/>
      <c r="AF2" s="19"/>
      <c r="AG2" s="19"/>
      <c r="AH2" s="19"/>
      <c r="AI2" s="19"/>
      <c r="AJ2" s="19"/>
      <c r="AK2" s="19"/>
      <c r="AL2" s="19"/>
      <c r="AM2" s="19"/>
      <c r="AN2" s="21" t="s">
        <v>13</v>
      </c>
      <c r="AO2" s="21"/>
      <c r="AP2" s="21"/>
      <c r="AQ2" s="21"/>
      <c r="AR2" s="21"/>
      <c r="AS2" s="21"/>
      <c r="AT2" s="21"/>
      <c r="AU2" s="22" t="s">
        <v>14</v>
      </c>
      <c r="AV2" s="22"/>
      <c r="AW2" s="22"/>
      <c r="AX2" s="23" t="s">
        <v>15</v>
      </c>
      <c r="AY2" s="23"/>
      <c r="AZ2" s="23"/>
      <c r="BA2" s="23"/>
      <c r="BB2" s="23"/>
      <c r="BC2" s="23"/>
      <c r="BD2" s="18" t="s">
        <v>16</v>
      </c>
    </row>
    <row r="3" s="36" customFormat="true" ht="50.25" hidden="false" customHeight="true" outlineLevel="0" collapsed="false">
      <c r="A3" s="25" t="s">
        <v>17</v>
      </c>
      <c r="B3" s="26" t="s">
        <v>18</v>
      </c>
      <c r="C3" s="25" t="s">
        <v>19</v>
      </c>
      <c r="D3" s="26" t="s">
        <v>20</v>
      </c>
      <c r="E3" s="25" t="s">
        <v>21</v>
      </c>
      <c r="F3" s="27" t="s">
        <v>22</v>
      </c>
      <c r="G3" s="27"/>
      <c r="H3" s="27"/>
      <c r="I3" s="27"/>
      <c r="J3" s="27"/>
      <c r="K3" s="27"/>
      <c r="L3" s="27"/>
      <c r="M3" s="27"/>
      <c r="N3" s="28" t="s">
        <v>23</v>
      </c>
      <c r="O3" s="28"/>
      <c r="P3" s="28"/>
      <c r="Q3" s="28"/>
      <c r="R3" s="28"/>
      <c r="S3" s="28"/>
      <c r="T3" s="28"/>
      <c r="U3" s="29" t="s">
        <v>24</v>
      </c>
      <c r="V3" s="29"/>
      <c r="W3" s="28" t="s">
        <v>25</v>
      </c>
      <c r="X3" s="28"/>
      <c r="Y3" s="28"/>
      <c r="Z3" s="27" t="s">
        <v>26</v>
      </c>
      <c r="AA3" s="27"/>
      <c r="AB3" s="27"/>
      <c r="AC3" s="30" t="s">
        <v>27</v>
      </c>
      <c r="AD3" s="30"/>
      <c r="AE3" s="30"/>
      <c r="AF3" s="30"/>
      <c r="AG3" s="30"/>
      <c r="AH3" s="30"/>
      <c r="AI3" s="30"/>
      <c r="AJ3" s="28" t="s">
        <v>28</v>
      </c>
      <c r="AK3" s="28"/>
      <c r="AL3" s="28"/>
      <c r="AM3" s="28"/>
      <c r="AN3" s="31" t="s">
        <v>29</v>
      </c>
      <c r="AO3" s="31"/>
      <c r="AP3" s="31"/>
      <c r="AQ3" s="31"/>
      <c r="AR3" s="31"/>
      <c r="AS3" s="31"/>
      <c r="AT3" s="31"/>
      <c r="AU3" s="32" t="s">
        <v>30</v>
      </c>
      <c r="AV3" s="32"/>
      <c r="AW3" s="32"/>
      <c r="AX3" s="33" t="s">
        <v>31</v>
      </c>
      <c r="AY3" s="33"/>
      <c r="AZ3" s="33"/>
      <c r="BA3" s="33" t="s">
        <v>32</v>
      </c>
      <c r="BB3" s="33"/>
      <c r="BC3" s="33"/>
      <c r="BD3" s="18"/>
      <c r="BE3" s="34"/>
      <c r="BF3" s="34"/>
      <c r="BG3" s="35"/>
      <c r="BH3" s="35"/>
    </row>
    <row r="4" s="36" customFormat="true" ht="67.5" hidden="false" customHeight="true" outlineLevel="0" collapsed="false">
      <c r="A4" s="25"/>
      <c r="B4" s="26"/>
      <c r="C4" s="25"/>
      <c r="D4" s="26"/>
      <c r="E4" s="25"/>
      <c r="F4" s="37" t="s">
        <v>33</v>
      </c>
      <c r="G4" s="37" t="s">
        <v>34</v>
      </c>
      <c r="H4" s="37" t="s">
        <v>35</v>
      </c>
      <c r="I4" s="37" t="s">
        <v>36</v>
      </c>
      <c r="J4" s="37" t="s">
        <v>34</v>
      </c>
      <c r="K4" s="37" t="s">
        <v>37</v>
      </c>
      <c r="L4" s="37" t="s">
        <v>34</v>
      </c>
      <c r="M4" s="37" t="s">
        <v>38</v>
      </c>
      <c r="N4" s="26" t="s">
        <v>39</v>
      </c>
      <c r="O4" s="26" t="s">
        <v>40</v>
      </c>
      <c r="P4" s="26" t="s">
        <v>41</v>
      </c>
      <c r="Q4" s="26" t="s">
        <v>42</v>
      </c>
      <c r="R4" s="26" t="s">
        <v>43</v>
      </c>
      <c r="S4" s="26" t="s">
        <v>44</v>
      </c>
      <c r="T4" s="25" t="s">
        <v>45</v>
      </c>
      <c r="U4" s="38" t="s">
        <v>46</v>
      </c>
      <c r="V4" s="38" t="s">
        <v>34</v>
      </c>
      <c r="W4" s="25" t="s">
        <v>47</v>
      </c>
      <c r="X4" s="25" t="s">
        <v>48</v>
      </c>
      <c r="Y4" s="25" t="s">
        <v>49</v>
      </c>
      <c r="Z4" s="37" t="s">
        <v>50</v>
      </c>
      <c r="AA4" s="37" t="s">
        <v>51</v>
      </c>
      <c r="AB4" s="37" t="s">
        <v>52</v>
      </c>
      <c r="AC4" s="39" t="s">
        <v>53</v>
      </c>
      <c r="AD4" s="39" t="s">
        <v>54</v>
      </c>
      <c r="AE4" s="39" t="s">
        <v>55</v>
      </c>
      <c r="AF4" s="39" t="s">
        <v>56</v>
      </c>
      <c r="AG4" s="39" t="s">
        <v>57</v>
      </c>
      <c r="AH4" s="39" t="s">
        <v>58</v>
      </c>
      <c r="AI4" s="39" t="s">
        <v>59</v>
      </c>
      <c r="AJ4" s="25" t="s">
        <v>60</v>
      </c>
      <c r="AK4" s="25" t="s">
        <v>61</v>
      </c>
      <c r="AL4" s="25" t="s">
        <v>62</v>
      </c>
      <c r="AM4" s="25" t="s">
        <v>63</v>
      </c>
      <c r="AN4" s="40" t="s">
        <v>64</v>
      </c>
      <c r="AO4" s="41" t="s">
        <v>34</v>
      </c>
      <c r="AP4" s="42" t="s">
        <v>65</v>
      </c>
      <c r="AQ4" s="41" t="s">
        <v>34</v>
      </c>
      <c r="AR4" s="42" t="s">
        <v>66</v>
      </c>
      <c r="AS4" s="42" t="s">
        <v>67</v>
      </c>
      <c r="AT4" s="43" t="s">
        <v>68</v>
      </c>
      <c r="AU4" s="44" t="s">
        <v>38</v>
      </c>
      <c r="AV4" s="44" t="s">
        <v>45</v>
      </c>
      <c r="AW4" s="32" t="s">
        <v>69</v>
      </c>
      <c r="AX4" s="33" t="s">
        <v>70</v>
      </c>
      <c r="AY4" s="45" t="s">
        <v>71</v>
      </c>
      <c r="AZ4" s="33" t="s">
        <v>72</v>
      </c>
      <c r="BA4" s="33" t="s">
        <v>70</v>
      </c>
      <c r="BB4" s="45" t="s">
        <v>71</v>
      </c>
      <c r="BC4" s="33" t="s">
        <v>72</v>
      </c>
      <c r="BD4" s="18"/>
    </row>
    <row r="5" s="63" customFormat="true" ht="22.5" hidden="false" customHeight="true" outlineLevel="0" collapsed="false">
      <c r="A5" s="46" t="s">
        <v>73</v>
      </c>
      <c r="B5" s="47" t="n">
        <v>1</v>
      </c>
      <c r="C5" s="48" t="s">
        <v>74</v>
      </c>
      <c r="D5" s="49" t="s">
        <v>75</v>
      </c>
      <c r="E5" s="50" t="s">
        <v>76</v>
      </c>
      <c r="F5" s="51" t="n">
        <v>9</v>
      </c>
      <c r="G5" s="52" t="n">
        <f aca="false">IF(F5&gt;=4,1,IF(F5&lt;4,0))</f>
        <v>1</v>
      </c>
      <c r="H5" s="51" t="n">
        <v>1</v>
      </c>
      <c r="I5" s="51" t="n">
        <v>0.44</v>
      </c>
      <c r="J5" s="52" t="n">
        <f aca="false">IF(I5&gt;=0.5,1,0)</f>
        <v>0</v>
      </c>
      <c r="K5" s="51" t="n">
        <v>3</v>
      </c>
      <c r="L5" s="52" t="n">
        <f aca="false">IF(K5&gt;=2,1,IF(K5&lt;2,0))</f>
        <v>1</v>
      </c>
      <c r="M5" s="52" t="n">
        <f aca="false">SUM(G5*0.2+H5*0.3+J5*0.2+L5*0.3)</f>
        <v>0.8</v>
      </c>
      <c r="N5" s="53" t="n">
        <v>1</v>
      </c>
      <c r="O5" s="53" t="n">
        <v>1</v>
      </c>
      <c r="P5" s="53" t="n">
        <v>0</v>
      </c>
      <c r="Q5" s="53" t="n">
        <v>0</v>
      </c>
      <c r="R5" s="53" t="n">
        <v>1</v>
      </c>
      <c r="S5" s="53" t="n">
        <v>1</v>
      </c>
      <c r="T5" s="33" t="n">
        <f aca="false">IF((N5+O5+P5+Q5+S5)&gt;=2,1,IF((N5+O5+P5+Q5+S5)&lt;2,0))</f>
        <v>1</v>
      </c>
      <c r="U5" s="54" t="n">
        <v>3</v>
      </c>
      <c r="V5" s="55" t="n">
        <f aca="false">IF(U5&gt;=2,1,IF(U5&lt;2,0))</f>
        <v>1</v>
      </c>
      <c r="W5" s="51" t="n">
        <v>1</v>
      </c>
      <c r="X5" s="51" t="n">
        <v>1</v>
      </c>
      <c r="Y5" s="33" t="n">
        <f aca="false">IF((W5+X5)=2,1,IF((W5+X5)&lt;2,0))</f>
        <v>1</v>
      </c>
      <c r="Z5" s="51" t="n">
        <v>0</v>
      </c>
      <c r="AA5" s="51" t="n">
        <v>0</v>
      </c>
      <c r="AB5" s="52" t="n">
        <f aca="false">Z5*AA5</f>
        <v>0</v>
      </c>
      <c r="AC5" s="54" t="n">
        <v>0</v>
      </c>
      <c r="AD5" s="54" t="n">
        <v>1</v>
      </c>
      <c r="AE5" s="54" t="n">
        <v>1</v>
      </c>
      <c r="AF5" s="54" t="n">
        <v>1</v>
      </c>
      <c r="AG5" s="54" t="n">
        <v>0</v>
      </c>
      <c r="AH5" s="54" t="n">
        <v>1</v>
      </c>
      <c r="AI5" s="56" t="n">
        <f aca="false">IF(SUM(AC5:AH5)&gt;=3,1,IF(SUM(AC5:AH5)&lt;3,0))</f>
        <v>1</v>
      </c>
      <c r="AJ5" s="51" t="n">
        <v>1</v>
      </c>
      <c r="AK5" s="51" t="n">
        <v>1</v>
      </c>
      <c r="AL5" s="51" t="n">
        <v>1</v>
      </c>
      <c r="AM5" s="33" t="n">
        <f aca="false">IF(SUM(AJ5:AL5)&gt;=3,1,IF(SUM(AJ5:AL5)&lt;3,0))</f>
        <v>1</v>
      </c>
      <c r="AN5" s="57" t="n">
        <v>5</v>
      </c>
      <c r="AO5" s="58" t="n">
        <f aca="false">IF(AN5&gt;=3,1,0)</f>
        <v>1</v>
      </c>
      <c r="AP5" s="54" t="n">
        <v>5</v>
      </c>
      <c r="AQ5" s="58" t="n">
        <f aca="false">IF(AP5&gt;=4,1,0)</f>
        <v>1</v>
      </c>
      <c r="AR5" s="54" t="n">
        <v>0</v>
      </c>
      <c r="AS5" s="54" t="n">
        <v>1</v>
      </c>
      <c r="AT5" s="59" t="n">
        <f aca="false">(AO5*0.3)+(AQ5*0.3)+(AR5*0.2)+(AS5*0.2)</f>
        <v>0.8</v>
      </c>
      <c r="AU5" s="51" t="n">
        <v>0</v>
      </c>
      <c r="AV5" s="51" t="n">
        <v>0</v>
      </c>
      <c r="AW5" s="60" t="n">
        <f aca="false">+(AU5*0.6)+(AV5*0.4)</f>
        <v>0</v>
      </c>
      <c r="AX5" s="61"/>
      <c r="AY5" s="61"/>
      <c r="AZ5" s="45" t="n">
        <f aca="false">((M5*0.1)+(T5*0.05)+(V5*0.2)+(Y5*0.2)+(AB5*0.15)+(AI5*0.05)+(AM5*0.1)+(AT5*0.05)+(AW5*0.1)*100)</f>
        <v>0.72</v>
      </c>
      <c r="BA5" s="61"/>
      <c r="BB5" s="61"/>
      <c r="BC5" s="61"/>
      <c r="BD5" s="62" t="s">
        <v>77</v>
      </c>
    </row>
    <row r="6" s="63" customFormat="true" ht="22.5" hidden="false" customHeight="true" outlineLevel="0" collapsed="false">
      <c r="A6" s="46" t="s">
        <v>73</v>
      </c>
      <c r="B6" s="47"/>
      <c r="C6" s="48" t="s">
        <v>78</v>
      </c>
      <c r="D6" s="49" t="s">
        <v>79</v>
      </c>
      <c r="E6" s="50" t="s">
        <v>80</v>
      </c>
      <c r="F6" s="51" t="n">
        <v>6</v>
      </c>
      <c r="G6" s="52" t="n">
        <f aca="false">IF(F6&gt;=4,1,IF(F6&lt;4,0))</f>
        <v>1</v>
      </c>
      <c r="H6" s="51" t="n">
        <v>0</v>
      </c>
      <c r="I6" s="51" t="n">
        <v>0.55</v>
      </c>
      <c r="J6" s="52" t="n">
        <f aca="false">IF(I6&gt;=0.5,1,0)</f>
        <v>1</v>
      </c>
      <c r="K6" s="51" t="n">
        <v>5</v>
      </c>
      <c r="L6" s="52" t="n">
        <f aca="false">IF(K6&gt;=2,1,IF(K6&lt;2,0))</f>
        <v>1</v>
      </c>
      <c r="M6" s="52" t="n">
        <f aca="false">SUM(G6*0.2+H6*0.3+J6*0.2+L6*0.3)</f>
        <v>0.7</v>
      </c>
      <c r="N6" s="53" t="n">
        <v>1</v>
      </c>
      <c r="O6" s="53" t="n">
        <v>0</v>
      </c>
      <c r="P6" s="53" t="n">
        <v>0</v>
      </c>
      <c r="Q6" s="53" t="n">
        <v>0</v>
      </c>
      <c r="R6" s="53" t="n">
        <v>1</v>
      </c>
      <c r="S6" s="53" t="n">
        <v>1</v>
      </c>
      <c r="T6" s="33" t="n">
        <f aca="false">IF((N6+O6+P6+Q6+S6)&gt;=2,1,IF((N6+O6+P6+Q6+S6)&lt;2,0))</f>
        <v>1</v>
      </c>
      <c r="U6" s="54" t="n">
        <v>3</v>
      </c>
      <c r="V6" s="55" t="n">
        <f aca="false">IF(U6&gt;=2,1,IF(U6&lt;2,0))</f>
        <v>1</v>
      </c>
      <c r="W6" s="51" t="n">
        <v>0</v>
      </c>
      <c r="X6" s="51" t="n">
        <v>1</v>
      </c>
      <c r="Y6" s="33" t="n">
        <f aca="false">IF((W6+X6)=2,1,IF((W6+X6)&lt;2,0))</f>
        <v>0</v>
      </c>
      <c r="Z6" s="51" t="n">
        <v>0</v>
      </c>
      <c r="AA6" s="51" t="n">
        <v>1</v>
      </c>
      <c r="AB6" s="52" t="n">
        <f aca="false">Z6*AA6</f>
        <v>0</v>
      </c>
      <c r="AC6" s="54" t="n">
        <v>0</v>
      </c>
      <c r="AD6" s="54" t="n">
        <v>1</v>
      </c>
      <c r="AE6" s="54" t="n">
        <v>0</v>
      </c>
      <c r="AF6" s="54" t="n">
        <v>1</v>
      </c>
      <c r="AG6" s="54" t="n">
        <v>1</v>
      </c>
      <c r="AH6" s="54" t="n">
        <v>0</v>
      </c>
      <c r="AI6" s="56" t="n">
        <f aca="false">IF(SUM(AC6:AH6)&gt;=3,1,IF(SUM(AC6:AH6)&lt;3,0))</f>
        <v>1</v>
      </c>
      <c r="AJ6" s="51" t="n">
        <v>0</v>
      </c>
      <c r="AK6" s="51" t="n">
        <v>1</v>
      </c>
      <c r="AL6" s="51" t="n">
        <v>1</v>
      </c>
      <c r="AM6" s="33" t="n">
        <f aca="false">IF(SUM(AJ6:AL6)&gt;=3,1,IF(SUM(AJ6:AL6)&lt;3,0))</f>
        <v>0</v>
      </c>
      <c r="AN6" s="57" t="n">
        <v>2</v>
      </c>
      <c r="AO6" s="58" t="n">
        <f aca="false">IF(AN6&gt;=3,1,0)</f>
        <v>0</v>
      </c>
      <c r="AP6" s="54" t="n">
        <v>6</v>
      </c>
      <c r="AQ6" s="58" t="n">
        <f aca="false">IF(AP6&gt;=4,1,0)</f>
        <v>1</v>
      </c>
      <c r="AR6" s="54" t="n">
        <v>0</v>
      </c>
      <c r="AS6" s="54" t="n">
        <v>1</v>
      </c>
      <c r="AT6" s="59" t="n">
        <f aca="false">(AO6*0.3)+(AQ6*0.3)+(AR6*0.2)+(AS6*0.2)</f>
        <v>0.5</v>
      </c>
      <c r="AU6" s="51" t="n">
        <v>0</v>
      </c>
      <c r="AV6" s="51" t="n">
        <v>0</v>
      </c>
      <c r="AW6" s="60" t="n">
        <f aca="false">+(AU6*0.6)+(AV6*0.4)</f>
        <v>0</v>
      </c>
      <c r="AX6" s="61"/>
      <c r="AY6" s="61"/>
      <c r="AZ6" s="61"/>
      <c r="BA6" s="61"/>
      <c r="BB6" s="45" t="n">
        <f aca="false">((M6*0.15)+(T6*0.05)+(V6*0.15)+(Y6*0.15)+(AB6*0.15)+(AI6*0.1)+(AM6*0.1)+(AT6*0.05)+(AW6*0.1)*100)</f>
        <v>0.43</v>
      </c>
      <c r="BC6" s="61"/>
      <c r="BD6" s="62"/>
    </row>
    <row r="7" s="63" customFormat="true" ht="22.5" hidden="false" customHeight="true" outlineLevel="0" collapsed="false">
      <c r="A7" s="46" t="s">
        <v>73</v>
      </c>
      <c r="B7" s="47"/>
      <c r="C7" s="48" t="s">
        <v>81</v>
      </c>
      <c r="D7" s="49" t="s">
        <v>75</v>
      </c>
      <c r="E7" s="50" t="s">
        <v>82</v>
      </c>
      <c r="F7" s="51" t="n">
        <v>6</v>
      </c>
      <c r="G7" s="52" t="n">
        <f aca="false">IF(F7&gt;=4,1,IF(F7&lt;4,0))</f>
        <v>1</v>
      </c>
      <c r="H7" s="51"/>
      <c r="I7" s="51" t="n">
        <v>0.5</v>
      </c>
      <c r="J7" s="52" t="n">
        <f aca="false">IF(I7&gt;=0.5,1,0)</f>
        <v>1</v>
      </c>
      <c r="K7" s="51"/>
      <c r="L7" s="52" t="n">
        <f aca="false">IF(K7&gt;=2,1,IF(K7&lt;2,0))</f>
        <v>0</v>
      </c>
      <c r="M7" s="52" t="n">
        <f aca="false">SUM(G7*0.2+H7*0.3+J7*0.2+L7*0.3)</f>
        <v>0.4</v>
      </c>
      <c r="N7" s="53"/>
      <c r="O7" s="53"/>
      <c r="P7" s="53"/>
      <c r="Q7" s="53"/>
      <c r="R7" s="53"/>
      <c r="S7" s="53"/>
      <c r="T7" s="33" t="n">
        <f aca="false">IF((N7+O7+P7+Q7+S7)&gt;=2,1,IF((N7+O7+P7+Q7+S7)&lt;2,0))</f>
        <v>0</v>
      </c>
      <c r="U7" s="54"/>
      <c r="V7" s="55" t="n">
        <f aca="false">IF(U7&gt;=2,1,IF(U7&lt;2,0))</f>
        <v>0</v>
      </c>
      <c r="W7" s="51"/>
      <c r="X7" s="51"/>
      <c r="Y7" s="33" t="n">
        <f aca="false">IF((W7+X7)=2,1,IF((W7+X7)&lt;2,0))</f>
        <v>0</v>
      </c>
      <c r="Z7" s="51"/>
      <c r="AA7" s="51"/>
      <c r="AB7" s="52" t="n">
        <f aca="false">Z7*AA7</f>
        <v>0</v>
      </c>
      <c r="AC7" s="54"/>
      <c r="AD7" s="54"/>
      <c r="AE7" s="54"/>
      <c r="AF7" s="54"/>
      <c r="AG7" s="54"/>
      <c r="AH7" s="54"/>
      <c r="AI7" s="56" t="n">
        <f aca="false">IF(SUM(AC7:AH7)&gt;=3,1,IF(SUM(AC7:AH7)&lt;3,0))</f>
        <v>0</v>
      </c>
      <c r="AJ7" s="51"/>
      <c r="AK7" s="51"/>
      <c r="AL7" s="51"/>
      <c r="AM7" s="33" t="n">
        <f aca="false">IF(SUM(AJ7:AL7)&gt;=3,1,IF(SUM(AJ7:AL7)&lt;3,0))</f>
        <v>0</v>
      </c>
      <c r="AN7" s="57"/>
      <c r="AO7" s="58" t="n">
        <f aca="false">IF(AN7&gt;=3,1,0)</f>
        <v>0</v>
      </c>
      <c r="AP7" s="54"/>
      <c r="AQ7" s="58" t="n">
        <f aca="false">IF(AP7&gt;=4,1,0)</f>
        <v>0</v>
      </c>
      <c r="AR7" s="54"/>
      <c r="AS7" s="54"/>
      <c r="AT7" s="59" t="n">
        <f aca="false">(AO7*0.3)+(AQ7*0.3)+(AR7*0.2)+(AS7*0.2)</f>
        <v>0</v>
      </c>
      <c r="AU7" s="51"/>
      <c r="AV7" s="51" t="n">
        <v>0</v>
      </c>
      <c r="AW7" s="60" t="n">
        <f aca="false">+(AU7*0.6)+(AV7*0.4)</f>
        <v>0</v>
      </c>
      <c r="AX7" s="45" t="n">
        <f aca="false">((M7*0.15)+(T7*0.05)+(V7*0.15)+(Y7*0.15)+(AB7*0.15)+(AI7*0.05)+(AM7*0.1)+(AT7*0.1)+(AW7*0.1)*100)</f>
        <v>0.06</v>
      </c>
      <c r="AY7" s="61"/>
      <c r="AZ7" s="61"/>
      <c r="BA7" s="61"/>
      <c r="BB7" s="61"/>
      <c r="BC7" s="61"/>
      <c r="BD7" s="62"/>
    </row>
    <row r="8" s="63" customFormat="true" ht="22.5" hidden="false" customHeight="true" outlineLevel="0" collapsed="false">
      <c r="A8" s="46" t="s">
        <v>73</v>
      </c>
      <c r="B8" s="47"/>
      <c r="C8" s="48" t="s">
        <v>83</v>
      </c>
      <c r="D8" s="49" t="s">
        <v>79</v>
      </c>
      <c r="E8" s="50" t="s">
        <v>76</v>
      </c>
      <c r="F8" s="51"/>
      <c r="G8" s="52" t="n">
        <f aca="false">IF(F8&gt;=4,1,IF(F8&lt;4,0))</f>
        <v>0</v>
      </c>
      <c r="H8" s="51"/>
      <c r="I8" s="51"/>
      <c r="J8" s="52" t="n">
        <f aca="false">IF(I8&gt;=0.5,1,0)</f>
        <v>0</v>
      </c>
      <c r="K8" s="51"/>
      <c r="L8" s="52" t="n">
        <f aca="false">IF(K8&gt;=2,1,IF(K8&lt;2,0))</f>
        <v>0</v>
      </c>
      <c r="M8" s="52" t="n">
        <f aca="false">SUM(G8*0.2+H8*0.3+J8*0.2+L8*0.3)</f>
        <v>0</v>
      </c>
      <c r="N8" s="53"/>
      <c r="O8" s="53"/>
      <c r="P8" s="53"/>
      <c r="Q8" s="53"/>
      <c r="R8" s="53"/>
      <c r="S8" s="53"/>
      <c r="T8" s="33" t="n">
        <f aca="false">IF((N8+O8+P8+Q8+S8)&gt;=2,1,IF((N8+O8+P8+Q8+S8)&lt;2,0))</f>
        <v>0</v>
      </c>
      <c r="U8" s="54"/>
      <c r="V8" s="55" t="n">
        <f aca="false">IF(U8&gt;=2,1,IF(U8&lt;2,0))</f>
        <v>0</v>
      </c>
      <c r="W8" s="51"/>
      <c r="X8" s="51"/>
      <c r="Y8" s="33" t="n">
        <f aca="false">IF((W8+X8)=2,1,IF((W8+X8)&lt;2,0))</f>
        <v>0</v>
      </c>
      <c r="Z8" s="51"/>
      <c r="AA8" s="51"/>
      <c r="AB8" s="52" t="n">
        <f aca="false">Z8*AA8</f>
        <v>0</v>
      </c>
      <c r="AC8" s="54"/>
      <c r="AD8" s="54"/>
      <c r="AE8" s="54"/>
      <c r="AF8" s="54"/>
      <c r="AG8" s="54"/>
      <c r="AH8" s="54"/>
      <c r="AI8" s="56" t="n">
        <f aca="false">IF(SUM(AC8:AH8)&gt;=3,1,IF(SUM(AC8:AH8)&lt;3,0))</f>
        <v>0</v>
      </c>
      <c r="AJ8" s="51"/>
      <c r="AK8" s="51"/>
      <c r="AL8" s="51"/>
      <c r="AM8" s="33" t="n">
        <f aca="false">IF(SUM(AJ8:AL8)&gt;=3,1,IF(SUM(AJ8:AL8)&lt;3,0))</f>
        <v>0</v>
      </c>
      <c r="AN8" s="57"/>
      <c r="AO8" s="58" t="n">
        <f aca="false">IF(AN8&gt;=3,1,0)</f>
        <v>0</v>
      </c>
      <c r="AP8" s="54"/>
      <c r="AQ8" s="58" t="n">
        <f aca="false">IF(AP8&gt;=4,1,0)</f>
        <v>0</v>
      </c>
      <c r="AR8" s="54"/>
      <c r="AS8" s="54"/>
      <c r="AT8" s="59" t="n">
        <f aca="false">(AO8*0.3)+(AQ8*0.3)+(AR8*0.2)+(AS8*0.2)</f>
        <v>0</v>
      </c>
      <c r="AU8" s="51"/>
      <c r="AV8" s="51" t="n">
        <v>0</v>
      </c>
      <c r="AW8" s="60" t="n">
        <f aca="false">+(AU8*0.6)+(AV8*0.4)</f>
        <v>0</v>
      </c>
      <c r="AX8" s="61"/>
      <c r="AY8" s="61"/>
      <c r="AZ8" s="61"/>
      <c r="BA8" s="61"/>
      <c r="BB8" s="61"/>
      <c r="BC8" s="64" t="n">
        <f aca="false">((M8*0.1)+(T8*0.05)+(V8*0.2)+(Y7*0.2)+(AB8*0.1)+(AI8*0.05)+(AM8*0.15)+(AT8*0.05)+(AW8*0.1)*100)</f>
        <v>0</v>
      </c>
      <c r="BD8" s="62"/>
    </row>
    <row r="9" s="63" customFormat="true" ht="22.5" hidden="false" customHeight="true" outlineLevel="0" collapsed="false">
      <c r="A9" s="46" t="s">
        <v>73</v>
      </c>
      <c r="B9" s="47"/>
      <c r="C9" s="48" t="s">
        <v>84</v>
      </c>
      <c r="D9" s="49" t="s">
        <v>79</v>
      </c>
      <c r="E9" s="50" t="s">
        <v>76</v>
      </c>
      <c r="F9" s="51"/>
      <c r="G9" s="52" t="n">
        <f aca="false">IF(F9&gt;=4,1,IF(F9&lt;4,0))</f>
        <v>0</v>
      </c>
      <c r="H9" s="51"/>
      <c r="I9" s="51"/>
      <c r="J9" s="52" t="n">
        <f aca="false">IF(I9&gt;=0.5,1,0)</f>
        <v>0</v>
      </c>
      <c r="K9" s="51"/>
      <c r="L9" s="52" t="n">
        <f aca="false">IF(K9&gt;=2,1,IF(K9&lt;2,0))</f>
        <v>0</v>
      </c>
      <c r="M9" s="52" t="n">
        <f aca="false">SUM(G9*0.2+H9*0.3+J9*0.2+L9*0.3)</f>
        <v>0</v>
      </c>
      <c r="N9" s="53"/>
      <c r="O9" s="53"/>
      <c r="P9" s="53"/>
      <c r="Q9" s="53"/>
      <c r="R9" s="53"/>
      <c r="S9" s="53"/>
      <c r="T9" s="33" t="n">
        <f aca="false">IF((N9+O9+P9+Q9+S9)&gt;=2,1,IF((N9+O9+P9+Q9+S9)&lt;2,0))</f>
        <v>0</v>
      </c>
      <c r="U9" s="54"/>
      <c r="V9" s="55" t="n">
        <f aca="false">IF(U9&gt;=2,1,IF(U9&lt;2,0))</f>
        <v>0</v>
      </c>
      <c r="W9" s="51"/>
      <c r="X9" s="51"/>
      <c r="Y9" s="33" t="n">
        <f aca="false">IF((W9+X9)=2,1,IF((W9+X9)&lt;2,0))</f>
        <v>0</v>
      </c>
      <c r="Z9" s="51"/>
      <c r="AA9" s="51"/>
      <c r="AB9" s="52" t="n">
        <f aca="false">Z9*AA9</f>
        <v>0</v>
      </c>
      <c r="AC9" s="54"/>
      <c r="AD9" s="54"/>
      <c r="AE9" s="54"/>
      <c r="AF9" s="54"/>
      <c r="AG9" s="54"/>
      <c r="AH9" s="54"/>
      <c r="AI9" s="56" t="n">
        <f aca="false">IF(SUM(AC9:AH9)&gt;=3,1,IF(SUM(AC9:AH9)&lt;3,0))</f>
        <v>0</v>
      </c>
      <c r="AJ9" s="51"/>
      <c r="AK9" s="51"/>
      <c r="AL9" s="51"/>
      <c r="AM9" s="33" t="n">
        <f aca="false">IF(SUM(AJ9:AL9)&gt;=3,1,IF(SUM(AJ9:AL9)&lt;3,0))</f>
        <v>0</v>
      </c>
      <c r="AN9" s="57"/>
      <c r="AO9" s="58" t="n">
        <f aca="false">IF(AN9&gt;=3,1,0)</f>
        <v>0</v>
      </c>
      <c r="AP9" s="54"/>
      <c r="AQ9" s="58" t="n">
        <f aca="false">IF(AP9&gt;=4,1,0)</f>
        <v>0</v>
      </c>
      <c r="AR9" s="54"/>
      <c r="AS9" s="54"/>
      <c r="AT9" s="59" t="n">
        <f aca="false">(AO9*0.3)+(AQ9*0.3)+(AR9*0.2)+(AS9*0.2)</f>
        <v>0</v>
      </c>
      <c r="AU9" s="51" t="n">
        <v>0</v>
      </c>
      <c r="AV9" s="51" t="n">
        <v>0</v>
      </c>
      <c r="AW9" s="60" t="n">
        <f aca="false">+(AU9*0.6)+(AV9*0.4)</f>
        <v>0</v>
      </c>
      <c r="AX9" s="61"/>
      <c r="AY9" s="61"/>
      <c r="AZ9" s="61"/>
      <c r="BA9" s="61"/>
      <c r="BB9" s="61"/>
      <c r="BC9" s="45" t="n">
        <f aca="false">((M9*0.1)+(T9*0.05)+(V9*0.2)+(Y8*0.2)+(AB9*0.1)+(AI9*0.05)+(AM9*0.15)+(AT9*0.05)+(AW9*0.1)*100)</f>
        <v>0</v>
      </c>
      <c r="BD9" s="62"/>
    </row>
    <row r="10" s="63" customFormat="true" ht="22.5" hidden="false" customHeight="true" outlineLevel="0" collapsed="false">
      <c r="A10" s="46" t="s">
        <v>73</v>
      </c>
      <c r="B10" s="47"/>
      <c r="C10" s="48" t="s">
        <v>85</v>
      </c>
      <c r="D10" s="49" t="s">
        <v>75</v>
      </c>
      <c r="E10" s="50" t="s">
        <v>82</v>
      </c>
      <c r="F10" s="51"/>
      <c r="G10" s="52" t="n">
        <f aca="false">IF(F10&gt;=4,1,IF(F10&lt;4,0))</f>
        <v>0</v>
      </c>
      <c r="H10" s="51"/>
      <c r="I10" s="51"/>
      <c r="J10" s="52" t="n">
        <f aca="false">IF(I10&gt;=0.5,1,0)</f>
        <v>0</v>
      </c>
      <c r="K10" s="51"/>
      <c r="L10" s="52" t="n">
        <f aca="false">IF(K10&gt;=2,1,IF(K10&lt;2,0))</f>
        <v>0</v>
      </c>
      <c r="M10" s="52" t="n">
        <f aca="false">SUM(G10*0.2+H10*0.3+J10*0.2+L10*0.3)</f>
        <v>0</v>
      </c>
      <c r="N10" s="53"/>
      <c r="O10" s="53"/>
      <c r="P10" s="53"/>
      <c r="Q10" s="53"/>
      <c r="R10" s="53"/>
      <c r="S10" s="53"/>
      <c r="T10" s="33" t="n">
        <f aca="false">IF((N10+O10+P10+Q10+S10)&gt;=2,1,IF((N10+O10+P10+Q10+S10)&lt;2,0))</f>
        <v>0</v>
      </c>
      <c r="U10" s="54"/>
      <c r="V10" s="55" t="n">
        <f aca="false">IF(U10&gt;=2,1,IF(U10&lt;2,0))</f>
        <v>0</v>
      </c>
      <c r="W10" s="51"/>
      <c r="X10" s="51"/>
      <c r="Y10" s="33" t="n">
        <f aca="false">IF((W10+X10)=2,1,IF((W10+X10)&lt;2,0))</f>
        <v>0</v>
      </c>
      <c r="Z10" s="51"/>
      <c r="AA10" s="51"/>
      <c r="AB10" s="52" t="n">
        <f aca="false">Z10*AA10</f>
        <v>0</v>
      </c>
      <c r="AC10" s="54"/>
      <c r="AD10" s="54"/>
      <c r="AE10" s="54"/>
      <c r="AF10" s="54"/>
      <c r="AG10" s="54"/>
      <c r="AH10" s="54"/>
      <c r="AI10" s="56" t="n">
        <f aca="false">IF(SUM(AC10:AH10)&gt;=3,1,IF(SUM(AC10:AH10)&lt;3,0))</f>
        <v>0</v>
      </c>
      <c r="AJ10" s="51"/>
      <c r="AK10" s="51"/>
      <c r="AL10" s="51"/>
      <c r="AM10" s="33" t="n">
        <f aca="false">IF(SUM(AJ10:AL10)&gt;=3,1,IF(SUM(AJ10:AL10)&lt;3,0))</f>
        <v>0</v>
      </c>
      <c r="AN10" s="57"/>
      <c r="AO10" s="58" t="n">
        <f aca="false">IF(AN10&gt;=3,1,0)</f>
        <v>0</v>
      </c>
      <c r="AP10" s="54"/>
      <c r="AQ10" s="58" t="n">
        <f aca="false">IF(AP10&gt;=4,1,0)</f>
        <v>0</v>
      </c>
      <c r="AR10" s="54"/>
      <c r="AS10" s="54"/>
      <c r="AT10" s="59" t="n">
        <f aca="false">(AO10*0.3)+(AQ10*0.3)+(AR10*0.2)+(AS10*0.2)</f>
        <v>0</v>
      </c>
      <c r="AU10" s="51" t="n">
        <v>0</v>
      </c>
      <c r="AV10" s="51" t="n">
        <v>0</v>
      </c>
      <c r="AW10" s="60" t="n">
        <f aca="false">+(AU10*0.6)+(AV10*0.4)</f>
        <v>0</v>
      </c>
      <c r="AX10" s="45" t="n">
        <f aca="false">((M10*0.15)+(T10*0.05)+(V10*0.15)+(Y10*0.15)+(AB10*0.15)+(AI10*0.05)+(AM10*0.1)+(AT10*0.1)+(AW10*0.1)*100)</f>
        <v>0</v>
      </c>
      <c r="AY10" s="61"/>
      <c r="AZ10" s="61"/>
      <c r="BA10" s="61"/>
      <c r="BB10" s="61"/>
      <c r="BC10" s="61"/>
      <c r="BD10" s="62"/>
    </row>
    <row r="11" s="63" customFormat="true" ht="22.5" hidden="false" customHeight="true" outlineLevel="0" collapsed="false">
      <c r="A11" s="46" t="s">
        <v>73</v>
      </c>
      <c r="B11" s="47"/>
      <c r="C11" s="48" t="s">
        <v>86</v>
      </c>
      <c r="D11" s="49" t="s">
        <v>75</v>
      </c>
      <c r="E11" s="50" t="s">
        <v>82</v>
      </c>
      <c r="F11" s="51"/>
      <c r="G11" s="52" t="n">
        <f aca="false">IF(F11&gt;=4,1,IF(F11&lt;4,0))</f>
        <v>0</v>
      </c>
      <c r="H11" s="51"/>
      <c r="I11" s="65"/>
      <c r="J11" s="52" t="n">
        <f aca="false">IF(I11&gt;=0.5,1,0)</f>
        <v>0</v>
      </c>
      <c r="K11" s="51"/>
      <c r="L11" s="52" t="n">
        <f aca="false">IF(K11&gt;=2,1,IF(K11&lt;2,0))</f>
        <v>0</v>
      </c>
      <c r="M11" s="52" t="n">
        <f aca="false">SUM(G11*0.2+H11*0.3+J11*0.2+L11*0.3)</f>
        <v>0</v>
      </c>
      <c r="N11" s="53"/>
      <c r="O11" s="53"/>
      <c r="P11" s="53"/>
      <c r="Q11" s="53"/>
      <c r="R11" s="53"/>
      <c r="S11" s="53"/>
      <c r="T11" s="33" t="n">
        <f aca="false">IF((N11+O11+P11+Q11+S11)&gt;=2,1,IF((N11+O11+P11+Q11+S11)&lt;2,0))</f>
        <v>0</v>
      </c>
      <c r="U11" s="54"/>
      <c r="V11" s="55" t="n">
        <f aca="false">IF(U11&gt;=2,1,IF(U11&lt;2,0))</f>
        <v>0</v>
      </c>
      <c r="W11" s="51"/>
      <c r="X11" s="51"/>
      <c r="Y11" s="33" t="n">
        <f aca="false">IF((W11+X11)=2,1,IF((W11+X11)&lt;2,0))</f>
        <v>0</v>
      </c>
      <c r="Z11" s="51"/>
      <c r="AA11" s="51"/>
      <c r="AB11" s="52" t="n">
        <f aca="false">Z11*AA11</f>
        <v>0</v>
      </c>
      <c r="AC11" s="54"/>
      <c r="AD11" s="54"/>
      <c r="AE11" s="54"/>
      <c r="AF11" s="54"/>
      <c r="AG11" s="54"/>
      <c r="AH11" s="54"/>
      <c r="AI11" s="56" t="n">
        <f aca="false">IF(SUM(AC11:AH11)&gt;=3,1,IF(SUM(AC11:AH11)&lt;3,0))</f>
        <v>0</v>
      </c>
      <c r="AJ11" s="51"/>
      <c r="AK11" s="51"/>
      <c r="AL11" s="51"/>
      <c r="AM11" s="33" t="n">
        <f aca="false">IF(SUM(AJ11:AL11)&gt;=3,1,IF(SUM(AJ11:AL11)&lt;3,0))</f>
        <v>0</v>
      </c>
      <c r="AN11" s="57"/>
      <c r="AO11" s="58" t="n">
        <f aca="false">IF(AN11&gt;=3,1,0)</f>
        <v>0</v>
      </c>
      <c r="AP11" s="54"/>
      <c r="AQ11" s="58" t="n">
        <f aca="false">IF(AP11&gt;=4,1,0)</f>
        <v>0</v>
      </c>
      <c r="AR11" s="54"/>
      <c r="AS11" s="54"/>
      <c r="AT11" s="59" t="n">
        <f aca="false">(AO11*0.3)+(AQ11*0.3)+(AR11*0.2)+(AS11*0.2)</f>
        <v>0</v>
      </c>
      <c r="AU11" s="51" t="n">
        <v>0</v>
      </c>
      <c r="AV11" s="51" t="n">
        <v>0</v>
      </c>
      <c r="AW11" s="60" t="n">
        <f aca="false">+(AU11*0.6)+(AV11*0.4)</f>
        <v>0</v>
      </c>
      <c r="AX11" s="45" t="n">
        <f aca="false">((M11*0.15)+(T11*0.05)+(V11*0.15)+(Y11*0.15)+(AB11*0.15)+(AI11*0.05)+(AM11*0.1)+(AT11*0.1)+(AW11*0.1)*100)</f>
        <v>0</v>
      </c>
      <c r="AY11" s="61"/>
      <c r="AZ11" s="61"/>
      <c r="BA11" s="61"/>
      <c r="BB11" s="61"/>
      <c r="BC11" s="61"/>
      <c r="BD11" s="62"/>
    </row>
    <row r="12" s="63" customFormat="true" ht="22.5" hidden="false" customHeight="true" outlineLevel="0" collapsed="false">
      <c r="A12" s="46" t="s">
        <v>73</v>
      </c>
      <c r="B12" s="47"/>
      <c r="C12" s="48" t="s">
        <v>87</v>
      </c>
      <c r="D12" s="49" t="s">
        <v>75</v>
      </c>
      <c r="E12" s="50" t="s">
        <v>80</v>
      </c>
      <c r="F12" s="51"/>
      <c r="G12" s="52" t="n">
        <f aca="false">IF(F12&gt;=4,1,IF(F12&lt;4,0))</f>
        <v>0</v>
      </c>
      <c r="H12" s="51"/>
      <c r="I12" s="65"/>
      <c r="J12" s="52" t="n">
        <f aca="false">IF(I12&gt;=0.5,1,0)</f>
        <v>0</v>
      </c>
      <c r="K12" s="51"/>
      <c r="L12" s="52" t="n">
        <f aca="false">IF(K12&gt;=2,1,IF(K12&lt;2,0))</f>
        <v>0</v>
      </c>
      <c r="M12" s="52" t="n">
        <f aca="false">SUM(G12*0.2+H12*0.3+J12*0.2+L12*0.3)</f>
        <v>0</v>
      </c>
      <c r="N12" s="53"/>
      <c r="O12" s="53"/>
      <c r="P12" s="53"/>
      <c r="Q12" s="53"/>
      <c r="R12" s="53"/>
      <c r="S12" s="53"/>
      <c r="T12" s="33" t="n">
        <f aca="false">IF((N12+O12+P12+Q12+S12)&gt;=2,1,IF((N12+O12+P12+Q12+S12)&lt;2,0))</f>
        <v>0</v>
      </c>
      <c r="U12" s="54"/>
      <c r="V12" s="55" t="n">
        <f aca="false">IF(U12&gt;=2,1,IF(U12&lt;2,0))</f>
        <v>0</v>
      </c>
      <c r="W12" s="51"/>
      <c r="X12" s="51"/>
      <c r="Y12" s="33" t="n">
        <f aca="false">IF((W12+X12)=2,1,IF((W12+X12)&lt;2,0))</f>
        <v>0</v>
      </c>
      <c r="Z12" s="51"/>
      <c r="AA12" s="51"/>
      <c r="AB12" s="52" t="n">
        <f aca="false">Z12*AA12</f>
        <v>0</v>
      </c>
      <c r="AC12" s="54"/>
      <c r="AD12" s="54"/>
      <c r="AE12" s="54"/>
      <c r="AF12" s="54"/>
      <c r="AG12" s="54"/>
      <c r="AH12" s="54"/>
      <c r="AI12" s="56" t="n">
        <f aca="false">IF(SUM(AC12:AH12)&gt;=3,1,IF(SUM(AC12:AH12)&lt;3,0))</f>
        <v>0</v>
      </c>
      <c r="AJ12" s="51"/>
      <c r="AK12" s="51"/>
      <c r="AL12" s="51"/>
      <c r="AM12" s="33" t="n">
        <f aca="false">IF(SUM(AJ12:AL12)&gt;=3,1,IF(SUM(AJ12:AL12)&lt;3,0))</f>
        <v>0</v>
      </c>
      <c r="AN12" s="57"/>
      <c r="AO12" s="58" t="n">
        <f aca="false">IF(AN12&gt;=3,1,0)</f>
        <v>0</v>
      </c>
      <c r="AP12" s="54"/>
      <c r="AQ12" s="58" t="n">
        <f aca="false">IF(AP12&gt;=4,1,0)</f>
        <v>0</v>
      </c>
      <c r="AR12" s="54"/>
      <c r="AS12" s="54"/>
      <c r="AT12" s="59" t="n">
        <f aca="false">(AO12*0.3)+(AQ12*0.3)+(AR12*0.2)+(AS12*0.2)</f>
        <v>0</v>
      </c>
      <c r="AU12" s="51" t="n">
        <v>0</v>
      </c>
      <c r="AV12" s="51" t="n">
        <v>0</v>
      </c>
      <c r="AW12" s="60" t="n">
        <f aca="false">+(AU12*0.6)+(AV12*0.4)</f>
        <v>0</v>
      </c>
      <c r="AX12" s="61"/>
      <c r="AY12" s="45" t="n">
        <f aca="false">((M12*0.1)+(T12*0.05)+(V12*0.15)+(Y12*0.2)+(AB12*0.2)+(AI12*0.05)+(AM12*0.1)+(AT12*0.05)+(AW12*0.1)*100)</f>
        <v>0</v>
      </c>
      <c r="AZ12" s="61"/>
      <c r="BA12" s="61"/>
      <c r="BB12" s="61"/>
      <c r="BC12" s="61"/>
      <c r="BD12" s="62"/>
    </row>
    <row r="13" s="63" customFormat="true" ht="22.5" hidden="false" customHeight="true" outlineLevel="0" collapsed="false">
      <c r="A13" s="46" t="s">
        <v>73</v>
      </c>
      <c r="B13" s="47"/>
      <c r="C13" s="66" t="s">
        <v>88</v>
      </c>
      <c r="D13" s="67"/>
      <c r="E13" s="68" t="s">
        <v>89</v>
      </c>
      <c r="F13" s="51"/>
      <c r="G13" s="52" t="n">
        <f aca="false">IF(F13&gt;=4,1,IF(F13&lt;4,0))</f>
        <v>0</v>
      </c>
      <c r="H13" s="51"/>
      <c r="I13" s="65"/>
      <c r="J13" s="52" t="n">
        <f aca="false">IF(I13&gt;=0.5,1,0)</f>
        <v>0</v>
      </c>
      <c r="K13" s="51"/>
      <c r="L13" s="52" t="n">
        <f aca="false">IF(K13&gt;=2,1,IF(K13&lt;2,0))</f>
        <v>0</v>
      </c>
      <c r="M13" s="52" t="n">
        <f aca="false">SUM(G13*0.2+H13*0.3+J13*0.2+L13*0.3)</f>
        <v>0</v>
      </c>
      <c r="N13" s="53"/>
      <c r="O13" s="53"/>
      <c r="P13" s="53"/>
      <c r="Q13" s="53"/>
      <c r="R13" s="53"/>
      <c r="S13" s="53"/>
      <c r="T13" s="33" t="n">
        <f aca="false">IF((N13+O13+P13+Q13+S13)&gt;=2,1,IF((N13+O13+P13+Q13+S13)&lt;2,0))</f>
        <v>0</v>
      </c>
      <c r="U13" s="54"/>
      <c r="V13" s="55" t="n">
        <f aca="false">IF(U13&gt;=2,1,IF(U13&lt;2,0))</f>
        <v>0</v>
      </c>
      <c r="W13" s="51"/>
      <c r="X13" s="51"/>
      <c r="Y13" s="33" t="n">
        <f aca="false">IF((W13+X13)=2,1,IF((W13+X13)&lt;2,0))</f>
        <v>0</v>
      </c>
      <c r="Z13" s="51"/>
      <c r="AA13" s="51"/>
      <c r="AB13" s="52" t="n">
        <f aca="false">Z13*AA13</f>
        <v>0</v>
      </c>
      <c r="AC13" s="54"/>
      <c r="AD13" s="54"/>
      <c r="AE13" s="54"/>
      <c r="AF13" s="54"/>
      <c r="AG13" s="54"/>
      <c r="AH13" s="54"/>
      <c r="AI13" s="56" t="n">
        <f aca="false">IF(SUM(AC13:AH13)&gt;=3,1,IF(SUM(AC13:AH13)&lt;3,0))</f>
        <v>0</v>
      </c>
      <c r="AJ13" s="51"/>
      <c r="AK13" s="51"/>
      <c r="AL13" s="51"/>
      <c r="AM13" s="33" t="n">
        <f aca="false">IF(SUM(AJ13:AL13)&gt;=3,1,IF(SUM(AJ13:AL13)&lt;3,0))</f>
        <v>0</v>
      </c>
      <c r="AN13" s="57"/>
      <c r="AO13" s="58" t="n">
        <f aca="false">IF(AN13&gt;=3,1,0)</f>
        <v>0</v>
      </c>
      <c r="AP13" s="54"/>
      <c r="AQ13" s="58" t="n">
        <f aca="false">IF(AP13&gt;=4,1,0)</f>
        <v>0</v>
      </c>
      <c r="AR13" s="54"/>
      <c r="AS13" s="54"/>
      <c r="AT13" s="59" t="n">
        <f aca="false">(AO13*0.3)+(AQ13*0.3)+(AR13*0.2)+(AS13*0.2)</f>
        <v>0</v>
      </c>
      <c r="AU13" s="51" t="n">
        <v>0</v>
      </c>
      <c r="AV13" s="51" t="n">
        <v>0</v>
      </c>
      <c r="AW13" s="60" t="n">
        <f aca="false">+(AU13*0.6)+(AV13*0.4)</f>
        <v>0</v>
      </c>
      <c r="AX13" s="61"/>
      <c r="AY13" s="61"/>
      <c r="AZ13" s="61"/>
      <c r="BA13" s="61"/>
      <c r="BB13" s="61"/>
      <c r="BC13" s="61"/>
      <c r="BD13" s="62"/>
    </row>
    <row r="14" s="63" customFormat="true" ht="22.5" hidden="false" customHeight="true" outlineLevel="0" collapsed="false">
      <c r="A14" s="46" t="s">
        <v>90</v>
      </c>
      <c r="B14" s="47"/>
      <c r="C14" s="48" t="s">
        <v>91</v>
      </c>
      <c r="D14" s="49" t="s">
        <v>75</v>
      </c>
      <c r="E14" s="50" t="s">
        <v>92</v>
      </c>
      <c r="F14" s="51"/>
      <c r="G14" s="52" t="n">
        <f aca="false">IF(F14&gt;=4,1,IF(F14&lt;4,0))</f>
        <v>0</v>
      </c>
      <c r="H14" s="51"/>
      <c r="I14" s="65"/>
      <c r="J14" s="52" t="n">
        <f aca="false">IF(I14&gt;=0.5,1,0)</f>
        <v>0</v>
      </c>
      <c r="K14" s="51"/>
      <c r="L14" s="52" t="n">
        <f aca="false">IF(K14&gt;=2,1,IF(K14&lt;2,0))</f>
        <v>0</v>
      </c>
      <c r="M14" s="52" t="n">
        <f aca="false">SUM(G14*0.2+H14*0.3+J14*0.2+L14*0.3)</f>
        <v>0</v>
      </c>
      <c r="N14" s="53"/>
      <c r="O14" s="53"/>
      <c r="P14" s="53"/>
      <c r="Q14" s="53"/>
      <c r="R14" s="53"/>
      <c r="S14" s="53"/>
      <c r="T14" s="33" t="n">
        <f aca="false">IF((N14+O14+P14+Q14+S14)&gt;=2,1,IF((N14+O14+P14+Q14+S14)&lt;2,0))</f>
        <v>0</v>
      </c>
      <c r="U14" s="54"/>
      <c r="V14" s="55" t="n">
        <f aca="false">IF(U14&gt;=2,1,IF(U14&lt;2,0))</f>
        <v>0</v>
      </c>
      <c r="W14" s="51"/>
      <c r="X14" s="51"/>
      <c r="Y14" s="33" t="n">
        <f aca="false">IF((W14+X14)=2,1,IF((W14+X14)&lt;2,0))</f>
        <v>0</v>
      </c>
      <c r="Z14" s="51"/>
      <c r="AA14" s="51"/>
      <c r="AB14" s="52" t="n">
        <f aca="false">Z14*AA14</f>
        <v>0</v>
      </c>
      <c r="AC14" s="54"/>
      <c r="AD14" s="54"/>
      <c r="AE14" s="54"/>
      <c r="AF14" s="54"/>
      <c r="AG14" s="54"/>
      <c r="AH14" s="54"/>
      <c r="AI14" s="56" t="n">
        <f aca="false">IF(SUM(AC14:AH14)&gt;=3,1,IF(SUM(AC14:AH14)&lt;3,0))</f>
        <v>0</v>
      </c>
      <c r="AJ14" s="51"/>
      <c r="AK14" s="51"/>
      <c r="AL14" s="51"/>
      <c r="AM14" s="33" t="n">
        <f aca="false">IF(SUM(AJ14:AL14)&gt;=3,1,IF(SUM(AJ14:AL14)&lt;3,0))</f>
        <v>0</v>
      </c>
      <c r="AN14" s="57"/>
      <c r="AO14" s="58" t="n">
        <f aca="false">IF(AN14&gt;=3,1,0)</f>
        <v>0</v>
      </c>
      <c r="AP14" s="54"/>
      <c r="AQ14" s="58" t="n">
        <f aca="false">IF(AP14&gt;=4,1,0)</f>
        <v>0</v>
      </c>
      <c r="AR14" s="54"/>
      <c r="AS14" s="54"/>
      <c r="AT14" s="59" t="n">
        <f aca="false">(AO14*0.3)+(AQ14*0.3)+(AR14*0.2)+(AS14*0.2)</f>
        <v>0</v>
      </c>
      <c r="AU14" s="51" t="n">
        <v>0</v>
      </c>
      <c r="AV14" s="51" t="n">
        <v>0</v>
      </c>
      <c r="AW14" s="60" t="n">
        <f aca="false">+(AU14*0.6)+(AV14*0.4)</f>
        <v>0</v>
      </c>
      <c r="AX14" s="61"/>
      <c r="AY14" s="45" t="n">
        <f aca="false">((M14*0.1)+(T14*0.05)+(V14*0.15)+(Y14*0.2)+(AB14*0.2)+(AI14*0.05)+(AM14*0.1)+(AT14*0.05)+(AW14*0.1)*100)</f>
        <v>0</v>
      </c>
      <c r="AZ14" s="61"/>
      <c r="BA14" s="61"/>
      <c r="BB14" s="61"/>
      <c r="BC14" s="61"/>
      <c r="BD14" s="62"/>
    </row>
    <row r="15" s="63" customFormat="true" ht="22.5" hidden="false" customHeight="true" outlineLevel="0" collapsed="false">
      <c r="A15" s="46" t="s">
        <v>90</v>
      </c>
      <c r="B15" s="47"/>
      <c r="C15" s="48" t="s">
        <v>93</v>
      </c>
      <c r="D15" s="49" t="s">
        <v>75</v>
      </c>
      <c r="E15" s="50" t="s">
        <v>92</v>
      </c>
      <c r="F15" s="51"/>
      <c r="G15" s="52" t="n">
        <f aca="false">IF(F15&gt;=4,1,IF(F15&lt;4,0))</f>
        <v>0</v>
      </c>
      <c r="H15" s="51"/>
      <c r="I15" s="65"/>
      <c r="J15" s="52" t="n">
        <f aca="false">IF(I15&gt;=0.5,1,0)</f>
        <v>0</v>
      </c>
      <c r="K15" s="51"/>
      <c r="L15" s="52" t="n">
        <f aca="false">IF(K15&gt;=2,1,IF(K15&lt;2,0))</f>
        <v>0</v>
      </c>
      <c r="M15" s="52" t="n">
        <f aca="false">SUM(G15*0.2+H15*0.3+J15*0.2+L15*0.3)</f>
        <v>0</v>
      </c>
      <c r="N15" s="53"/>
      <c r="O15" s="53"/>
      <c r="P15" s="53"/>
      <c r="Q15" s="53"/>
      <c r="R15" s="53"/>
      <c r="S15" s="53"/>
      <c r="T15" s="33" t="n">
        <f aca="false">IF((N15+O15+P15+Q15+S15)&gt;=2,1,IF((N15+O15+P15+Q15+S15)&lt;2,0))</f>
        <v>0</v>
      </c>
      <c r="U15" s="54"/>
      <c r="V15" s="55" t="n">
        <f aca="false">IF(U15&gt;=2,1,IF(U15&lt;2,0))</f>
        <v>0</v>
      </c>
      <c r="W15" s="51"/>
      <c r="X15" s="51"/>
      <c r="Y15" s="33" t="n">
        <f aca="false">IF((W15+X15)=2,1,IF((W15+X15)&lt;2,0))</f>
        <v>0</v>
      </c>
      <c r="Z15" s="51"/>
      <c r="AA15" s="51"/>
      <c r="AB15" s="52" t="n">
        <f aca="false">Z15*AA15</f>
        <v>0</v>
      </c>
      <c r="AC15" s="54"/>
      <c r="AD15" s="54"/>
      <c r="AE15" s="54"/>
      <c r="AF15" s="54"/>
      <c r="AG15" s="54"/>
      <c r="AH15" s="54"/>
      <c r="AI15" s="56" t="n">
        <f aca="false">IF(SUM(AC15:AH15)&gt;=3,1,IF(SUM(AC15:AH15)&lt;3,0))</f>
        <v>0</v>
      </c>
      <c r="AJ15" s="51"/>
      <c r="AK15" s="51"/>
      <c r="AL15" s="51"/>
      <c r="AM15" s="33" t="n">
        <f aca="false">IF(SUM(AJ15:AL15)&gt;=3,1,IF(SUM(AJ15:AL15)&lt;3,0))</f>
        <v>0</v>
      </c>
      <c r="AN15" s="57"/>
      <c r="AO15" s="58" t="n">
        <f aca="false">IF(AN15&gt;=3,1,0)</f>
        <v>0</v>
      </c>
      <c r="AP15" s="54"/>
      <c r="AQ15" s="58" t="n">
        <f aca="false">IF(AP15&gt;=4,1,0)</f>
        <v>0</v>
      </c>
      <c r="AR15" s="54"/>
      <c r="AS15" s="54"/>
      <c r="AT15" s="59" t="n">
        <f aca="false">(AO15*0.3)+(AQ15*0.3)+(AR15*0.2)+(AS15*0.2)</f>
        <v>0</v>
      </c>
      <c r="AU15" s="51" t="n">
        <v>0</v>
      </c>
      <c r="AV15" s="51" t="n">
        <v>0</v>
      </c>
      <c r="AW15" s="60" t="n">
        <f aca="false">+(AU15*0.6)+(AV15*0.4)</f>
        <v>0</v>
      </c>
      <c r="AX15" s="61"/>
      <c r="AY15" s="45" t="n">
        <f aca="false">((M15*0.1)+(T15*0.05)+(V15*0.15)+(Y15*0.2)+(AB15*0.2)+(AI15*0.05)+(AM15*0.1)+(AT15*0.05)+(AW15*0.1)*100)</f>
        <v>0</v>
      </c>
      <c r="AZ15" s="61"/>
      <c r="BA15" s="61"/>
      <c r="BB15" s="61"/>
      <c r="BC15" s="61"/>
      <c r="BD15" s="62"/>
    </row>
    <row r="16" s="63" customFormat="true" ht="22.5" hidden="false" customHeight="true" outlineLevel="0" collapsed="false">
      <c r="A16" s="46" t="s">
        <v>90</v>
      </c>
      <c r="B16" s="47"/>
      <c r="C16" s="48" t="s">
        <v>94</v>
      </c>
      <c r="D16" s="49" t="s">
        <v>79</v>
      </c>
      <c r="E16" s="50" t="s">
        <v>92</v>
      </c>
      <c r="F16" s="51"/>
      <c r="G16" s="52" t="n">
        <f aca="false">IF(F16&gt;=4,1,IF(F16&lt;4,0))</f>
        <v>0</v>
      </c>
      <c r="H16" s="51"/>
      <c r="I16" s="65"/>
      <c r="J16" s="52" t="n">
        <f aca="false">IF(I16&gt;=0.5,1,0)</f>
        <v>0</v>
      </c>
      <c r="K16" s="51"/>
      <c r="L16" s="52" t="n">
        <f aca="false">IF(K16&gt;=2,1,IF(K16&lt;2,0))</f>
        <v>0</v>
      </c>
      <c r="M16" s="52" t="n">
        <f aca="false">SUM(G16*0.2+H16*0.3+J16*0.2+L16*0.3)</f>
        <v>0</v>
      </c>
      <c r="N16" s="53"/>
      <c r="O16" s="53"/>
      <c r="P16" s="53"/>
      <c r="Q16" s="53"/>
      <c r="R16" s="53"/>
      <c r="S16" s="53"/>
      <c r="T16" s="33" t="n">
        <f aca="false">IF((N16+O16+P16+Q16+S16)&gt;=2,1,IF((N16+O16+P16+Q16+S16)&lt;2,0))</f>
        <v>0</v>
      </c>
      <c r="U16" s="54"/>
      <c r="V16" s="55" t="n">
        <f aca="false">IF(U16&gt;=2,1,IF(U16&lt;2,0))</f>
        <v>0</v>
      </c>
      <c r="W16" s="51"/>
      <c r="X16" s="51"/>
      <c r="Y16" s="33" t="n">
        <f aca="false">IF((W16+X16)=2,1,IF((W16+X16)&lt;2,0))</f>
        <v>0</v>
      </c>
      <c r="Z16" s="51"/>
      <c r="AA16" s="51"/>
      <c r="AB16" s="52" t="n">
        <f aca="false">Z16*AA16</f>
        <v>0</v>
      </c>
      <c r="AC16" s="54"/>
      <c r="AD16" s="54"/>
      <c r="AE16" s="54"/>
      <c r="AF16" s="54"/>
      <c r="AG16" s="54"/>
      <c r="AH16" s="54"/>
      <c r="AI16" s="56" t="n">
        <f aca="false">IF(SUM(AC16:AH16)&gt;=3,1,IF(SUM(AC16:AH16)&lt;3,0))</f>
        <v>0</v>
      </c>
      <c r="AJ16" s="51"/>
      <c r="AK16" s="51"/>
      <c r="AL16" s="51"/>
      <c r="AM16" s="33" t="n">
        <f aca="false">IF(SUM(AJ16:AL16)&gt;=3,1,IF(SUM(AJ16:AL16)&lt;3,0))</f>
        <v>0</v>
      </c>
      <c r="AN16" s="57"/>
      <c r="AO16" s="58" t="n">
        <f aca="false">IF(AN16&gt;=3,1,0)</f>
        <v>0</v>
      </c>
      <c r="AP16" s="54"/>
      <c r="AQ16" s="58" t="n">
        <f aca="false">IF(AP16&gt;=4,1,0)</f>
        <v>0</v>
      </c>
      <c r="AR16" s="54"/>
      <c r="AS16" s="54"/>
      <c r="AT16" s="59" t="n">
        <f aca="false">(AO16*0.3)+(AQ16*0.3)+(AR16*0.2)+(AS16*0.2)</f>
        <v>0</v>
      </c>
      <c r="AU16" s="51" t="n">
        <v>0</v>
      </c>
      <c r="AV16" s="51" t="n">
        <v>0</v>
      </c>
      <c r="AW16" s="60" t="n">
        <f aca="false">+(AU16*0.6)+(AV16*0.4)</f>
        <v>0</v>
      </c>
      <c r="AX16" s="61"/>
      <c r="AY16" s="61"/>
      <c r="AZ16" s="61"/>
      <c r="BA16" s="61"/>
      <c r="BB16" s="45" t="n">
        <f aca="false">((M16*0.15)+(T16*0.05)+(V16*0.15)+(Y16*0.15)+(AB16*0.15)+(AI16*0.1)+(AM16*0.1)+(AT16*0.05)+(AW16*0.1)*100)</f>
        <v>0</v>
      </c>
      <c r="BC16" s="61"/>
      <c r="BD16" s="62"/>
    </row>
    <row r="17" s="63" customFormat="true" ht="22.5" hidden="false" customHeight="true" outlineLevel="0" collapsed="false">
      <c r="A17" s="46" t="s">
        <v>90</v>
      </c>
      <c r="B17" s="47"/>
      <c r="C17" s="48" t="s">
        <v>95</v>
      </c>
      <c r="D17" s="49" t="s">
        <v>79</v>
      </c>
      <c r="E17" s="50" t="s">
        <v>92</v>
      </c>
      <c r="F17" s="51"/>
      <c r="G17" s="52" t="n">
        <f aca="false">IF(F17&gt;=4,1,IF(F17&lt;4,0))</f>
        <v>0</v>
      </c>
      <c r="H17" s="51"/>
      <c r="I17" s="65"/>
      <c r="J17" s="52" t="n">
        <f aca="false">IF(I17&gt;=0.5,1,0)</f>
        <v>0</v>
      </c>
      <c r="K17" s="51"/>
      <c r="L17" s="52" t="n">
        <f aca="false">IF(K17&gt;=2,1,IF(K17&lt;2,0))</f>
        <v>0</v>
      </c>
      <c r="M17" s="52" t="n">
        <f aca="false">SUM(G17*0.2+H17*0.3+J17*0.2+L17*0.3)</f>
        <v>0</v>
      </c>
      <c r="N17" s="53"/>
      <c r="O17" s="53"/>
      <c r="P17" s="53"/>
      <c r="Q17" s="53"/>
      <c r="R17" s="53"/>
      <c r="S17" s="53"/>
      <c r="T17" s="33" t="n">
        <f aca="false">IF((N17+O17+P17+Q17+S17)&gt;=2,1,IF((N17+O17+P17+Q17+S17)&lt;2,0))</f>
        <v>0</v>
      </c>
      <c r="U17" s="54"/>
      <c r="V17" s="55" t="n">
        <f aca="false">IF(U17&gt;=2,1,IF(U17&lt;2,0))</f>
        <v>0</v>
      </c>
      <c r="W17" s="51"/>
      <c r="X17" s="51"/>
      <c r="Y17" s="33" t="n">
        <f aca="false">IF((W17+X17)=2,1,IF((W17+X17)&lt;2,0))</f>
        <v>0</v>
      </c>
      <c r="Z17" s="51"/>
      <c r="AA17" s="51"/>
      <c r="AB17" s="52" t="n">
        <f aca="false">Z17*AA17</f>
        <v>0</v>
      </c>
      <c r="AC17" s="54"/>
      <c r="AD17" s="54"/>
      <c r="AE17" s="54"/>
      <c r="AF17" s="54"/>
      <c r="AG17" s="54"/>
      <c r="AH17" s="54"/>
      <c r="AI17" s="56" t="n">
        <f aca="false">IF(SUM(AC17:AH17)&gt;=3,1,IF(SUM(AC17:AH17)&lt;3,0))</f>
        <v>0</v>
      </c>
      <c r="AJ17" s="51"/>
      <c r="AK17" s="51"/>
      <c r="AL17" s="51"/>
      <c r="AM17" s="33" t="n">
        <f aca="false">IF(SUM(AJ17:AL17)&gt;=3,1,IF(SUM(AJ17:AL17)&lt;3,0))</f>
        <v>0</v>
      </c>
      <c r="AN17" s="57"/>
      <c r="AO17" s="58" t="n">
        <f aca="false">IF(AN17&gt;=3,1,0)</f>
        <v>0</v>
      </c>
      <c r="AP17" s="54"/>
      <c r="AQ17" s="58" t="n">
        <f aca="false">IF(AP17&gt;=4,1,0)</f>
        <v>0</v>
      </c>
      <c r="AR17" s="54"/>
      <c r="AS17" s="54"/>
      <c r="AT17" s="59" t="n">
        <f aca="false">(AO17*0.3)+(AQ17*0.3)+(AR17*0.2)+(AS17*0.2)</f>
        <v>0</v>
      </c>
      <c r="AU17" s="51" t="n">
        <v>0</v>
      </c>
      <c r="AV17" s="51" t="n">
        <v>0</v>
      </c>
      <c r="AW17" s="60" t="n">
        <f aca="false">+(AU17*0.6)+(AV17*0.4)</f>
        <v>0</v>
      </c>
      <c r="AX17" s="61"/>
      <c r="AY17" s="61"/>
      <c r="AZ17" s="61"/>
      <c r="BA17" s="61"/>
      <c r="BB17" s="45" t="n">
        <f aca="false">((M17*0.15)+(T17*0.05)+(V17*0.15)+(Y17*0.15)+(AB17*0.15)+(AI17*0.1)+(AM17*0.1)+(AT17*0.05)+(AW17*0.1)*100)</f>
        <v>0</v>
      </c>
      <c r="BC17" s="61"/>
      <c r="BD17" s="62"/>
    </row>
    <row r="18" s="63" customFormat="true" ht="22.5" hidden="false" customHeight="true" outlineLevel="0" collapsed="false">
      <c r="A18" s="46" t="s">
        <v>90</v>
      </c>
      <c r="B18" s="47"/>
      <c r="C18" s="48" t="s">
        <v>96</v>
      </c>
      <c r="D18" s="49" t="s">
        <v>75</v>
      </c>
      <c r="E18" s="50" t="s">
        <v>82</v>
      </c>
      <c r="F18" s="51"/>
      <c r="G18" s="52" t="n">
        <f aca="false">IF(F18&gt;=4,1,IF(F18&lt;4,0))</f>
        <v>0</v>
      </c>
      <c r="H18" s="51"/>
      <c r="I18" s="65"/>
      <c r="J18" s="52" t="n">
        <f aca="false">IF(I18&gt;=0.5,1,0)</f>
        <v>0</v>
      </c>
      <c r="K18" s="51"/>
      <c r="L18" s="52" t="n">
        <f aca="false">IF(K18&gt;=2,1,IF(K18&lt;2,0))</f>
        <v>0</v>
      </c>
      <c r="M18" s="52" t="n">
        <f aca="false">SUM(G18*0.2+H18*0.3+J18*0.2+L18*0.3)</f>
        <v>0</v>
      </c>
      <c r="N18" s="53"/>
      <c r="O18" s="53"/>
      <c r="P18" s="53"/>
      <c r="Q18" s="53"/>
      <c r="R18" s="53"/>
      <c r="S18" s="53"/>
      <c r="T18" s="33" t="n">
        <f aca="false">IF((N18+O18+P18+Q18+S18)&gt;=2,1,IF((N18+O18+P18+Q18+S18)&lt;2,0))</f>
        <v>0</v>
      </c>
      <c r="U18" s="54"/>
      <c r="V18" s="55" t="n">
        <f aca="false">IF(U18&gt;=2,1,IF(U18&lt;2,0))</f>
        <v>0</v>
      </c>
      <c r="W18" s="51"/>
      <c r="X18" s="51"/>
      <c r="Y18" s="33" t="n">
        <f aca="false">IF((W18+X18)=2,1,IF((W18+X18)&lt;2,0))</f>
        <v>0</v>
      </c>
      <c r="Z18" s="51"/>
      <c r="AA18" s="51"/>
      <c r="AB18" s="52" t="n">
        <f aca="false">Z18*AA18</f>
        <v>0</v>
      </c>
      <c r="AC18" s="54"/>
      <c r="AD18" s="54"/>
      <c r="AE18" s="54"/>
      <c r="AF18" s="54"/>
      <c r="AG18" s="54"/>
      <c r="AH18" s="54"/>
      <c r="AI18" s="56" t="n">
        <f aca="false">IF(SUM(AC18:AH18)&gt;=3,1,IF(SUM(AC18:AH18)&lt;3,0))</f>
        <v>0</v>
      </c>
      <c r="AJ18" s="51"/>
      <c r="AK18" s="51"/>
      <c r="AL18" s="51"/>
      <c r="AM18" s="33" t="n">
        <f aca="false">IF(SUM(AJ18:AL18)&gt;=3,1,IF(SUM(AJ18:AL18)&lt;3,0))</f>
        <v>0</v>
      </c>
      <c r="AN18" s="57"/>
      <c r="AO18" s="58" t="n">
        <f aca="false">IF(AN18&gt;=3,1,0)</f>
        <v>0</v>
      </c>
      <c r="AP18" s="54"/>
      <c r="AQ18" s="58" t="n">
        <f aca="false">IF(AP18&gt;=4,1,0)</f>
        <v>0</v>
      </c>
      <c r="AR18" s="54"/>
      <c r="AS18" s="54"/>
      <c r="AT18" s="59" t="n">
        <f aca="false">(AO18*0.3)+(AQ18*0.3)+(AR18*0.2)+(AS18*0.2)</f>
        <v>0</v>
      </c>
      <c r="AU18" s="51" t="n">
        <v>0</v>
      </c>
      <c r="AV18" s="51" t="n">
        <v>0</v>
      </c>
      <c r="AW18" s="60" t="n">
        <f aca="false">+(AU18*0.6)+(AV18*0.4)</f>
        <v>0</v>
      </c>
      <c r="AX18" s="45" t="n">
        <f aca="false">((M18*0.15)+(T18*0.05)+(V18*0.15)+(Y18*0.15)+(AB18*0.15)+(AI18*0.05)+(AM18*0.1)+(AT18*0.1)+(AW18*0.1)*100)</f>
        <v>0</v>
      </c>
      <c r="AY18" s="61"/>
      <c r="AZ18" s="61"/>
      <c r="BA18" s="61"/>
      <c r="BB18" s="61"/>
      <c r="BC18" s="61"/>
      <c r="BD18" s="62"/>
    </row>
    <row r="19" s="63" customFormat="true" ht="22.5" hidden="false" customHeight="true" outlineLevel="0" collapsed="false">
      <c r="A19" s="46" t="s">
        <v>90</v>
      </c>
      <c r="B19" s="47"/>
      <c r="C19" s="48" t="s">
        <v>97</v>
      </c>
      <c r="D19" s="49" t="s">
        <v>75</v>
      </c>
      <c r="E19" s="50" t="s">
        <v>80</v>
      </c>
      <c r="F19" s="51"/>
      <c r="G19" s="52" t="n">
        <f aca="false">IF(F19&gt;=4,1,IF(F19&lt;4,0))</f>
        <v>0</v>
      </c>
      <c r="H19" s="51"/>
      <c r="I19" s="65"/>
      <c r="J19" s="52" t="n">
        <f aca="false">IF(I19&gt;=0.5,1,0)</f>
        <v>0</v>
      </c>
      <c r="K19" s="51"/>
      <c r="L19" s="52" t="n">
        <f aca="false">IF(K19&gt;=2,1,IF(K19&lt;2,0))</f>
        <v>0</v>
      </c>
      <c r="M19" s="52" t="n">
        <f aca="false">SUM(G19*0.2+H19*0.3+J19*0.2+L19*0.3)</f>
        <v>0</v>
      </c>
      <c r="N19" s="53"/>
      <c r="O19" s="53"/>
      <c r="P19" s="53"/>
      <c r="Q19" s="53"/>
      <c r="R19" s="53"/>
      <c r="S19" s="53"/>
      <c r="T19" s="33" t="n">
        <f aca="false">IF((N19+O19+P19+Q19+S19)&gt;=2,1,IF((N19+O19+P19+Q19+S19)&lt;2,0))</f>
        <v>0</v>
      </c>
      <c r="U19" s="54"/>
      <c r="V19" s="55" t="n">
        <f aca="false">IF(U19&gt;=2,1,IF(U19&lt;2,0))</f>
        <v>0</v>
      </c>
      <c r="W19" s="51"/>
      <c r="X19" s="51"/>
      <c r="Y19" s="33" t="n">
        <f aca="false">IF((W19+X19)=2,1,IF((W19+X19)&lt;2,0))</f>
        <v>0</v>
      </c>
      <c r="Z19" s="51"/>
      <c r="AA19" s="51"/>
      <c r="AB19" s="52" t="n">
        <f aca="false">Z19*AA19</f>
        <v>0</v>
      </c>
      <c r="AC19" s="54"/>
      <c r="AD19" s="54"/>
      <c r="AE19" s="54"/>
      <c r="AF19" s="54"/>
      <c r="AG19" s="54"/>
      <c r="AH19" s="54"/>
      <c r="AI19" s="56" t="n">
        <f aca="false">IF(SUM(AC19:AH19)&gt;=3,1,IF(SUM(AC19:AH19)&lt;3,0))</f>
        <v>0</v>
      </c>
      <c r="AJ19" s="51"/>
      <c r="AK19" s="51"/>
      <c r="AL19" s="51"/>
      <c r="AM19" s="33" t="n">
        <f aca="false">IF(SUM(AJ19:AL19)&gt;=3,1,IF(SUM(AJ19:AL19)&lt;3,0))</f>
        <v>0</v>
      </c>
      <c r="AN19" s="57"/>
      <c r="AO19" s="58" t="n">
        <f aca="false">IF(AN19&gt;=3,1,0)</f>
        <v>0</v>
      </c>
      <c r="AP19" s="54"/>
      <c r="AQ19" s="58" t="n">
        <f aca="false">IF(AP19&gt;=4,1,0)</f>
        <v>0</v>
      </c>
      <c r="AR19" s="54"/>
      <c r="AS19" s="54"/>
      <c r="AT19" s="59" t="n">
        <f aca="false">(AO19*0.3)+(AQ19*0.3)+(AR19*0.2)+(AS19*0.2)</f>
        <v>0</v>
      </c>
      <c r="AU19" s="51" t="n">
        <v>0</v>
      </c>
      <c r="AV19" s="51" t="n">
        <v>0</v>
      </c>
      <c r="AW19" s="60" t="n">
        <f aca="false">+(AU19*0.6)+(AV19*0.4)</f>
        <v>0</v>
      </c>
      <c r="AX19" s="61"/>
      <c r="AY19" s="45" t="n">
        <f aca="false">((M19*0.1)+(T19*0.05)+(V19*0.15)+(Y19*0.2)+(AB19*0.2)+(AI19*0.05)+(AM19*0.1)+(AT19*0.05)+(AW19*0.1)*100)</f>
        <v>0</v>
      </c>
      <c r="AZ19" s="61"/>
      <c r="BA19" s="61"/>
      <c r="BB19" s="61"/>
      <c r="BC19" s="61"/>
      <c r="BD19" s="62"/>
    </row>
    <row r="20" s="63" customFormat="true" ht="22.5" hidden="false" customHeight="true" outlineLevel="0" collapsed="false">
      <c r="A20" s="46" t="s">
        <v>90</v>
      </c>
      <c r="B20" s="47"/>
      <c r="C20" s="66" t="s">
        <v>98</v>
      </c>
      <c r="D20" s="67"/>
      <c r="E20" s="68" t="s">
        <v>89</v>
      </c>
      <c r="F20" s="51"/>
      <c r="G20" s="52" t="n">
        <f aca="false">IF(F20&gt;=4,1,IF(F20&lt;4,0))</f>
        <v>0</v>
      </c>
      <c r="H20" s="51"/>
      <c r="I20" s="65"/>
      <c r="J20" s="52" t="n">
        <f aca="false">IF(I20&gt;=0.5,1,0)</f>
        <v>0</v>
      </c>
      <c r="K20" s="51"/>
      <c r="L20" s="52" t="n">
        <f aca="false">IF(K20&gt;=2,1,IF(K20&lt;2,0))</f>
        <v>0</v>
      </c>
      <c r="M20" s="52" t="n">
        <f aca="false">SUM(G20*0.2+H20*0.3+J20*0.2+L20*0.3)</f>
        <v>0</v>
      </c>
      <c r="N20" s="53"/>
      <c r="O20" s="53"/>
      <c r="P20" s="53"/>
      <c r="Q20" s="53"/>
      <c r="R20" s="53"/>
      <c r="S20" s="53"/>
      <c r="T20" s="33" t="n">
        <f aca="false">IF((N20+O20+P20+Q20+S20)&gt;=2,1,IF((N20+O20+P20+Q20+S20)&lt;2,0))</f>
        <v>0</v>
      </c>
      <c r="U20" s="54"/>
      <c r="V20" s="55" t="n">
        <f aca="false">IF(U20&gt;=2,1,IF(U20&lt;2,0))</f>
        <v>0</v>
      </c>
      <c r="W20" s="51"/>
      <c r="X20" s="51"/>
      <c r="Y20" s="33" t="n">
        <f aca="false">IF((W20+X20)=2,1,IF((W20+X20)&lt;2,0))</f>
        <v>0</v>
      </c>
      <c r="Z20" s="51"/>
      <c r="AA20" s="51"/>
      <c r="AB20" s="52" t="n">
        <f aca="false">Z20*AA20</f>
        <v>0</v>
      </c>
      <c r="AC20" s="54"/>
      <c r="AD20" s="54"/>
      <c r="AE20" s="54"/>
      <c r="AF20" s="54"/>
      <c r="AG20" s="54"/>
      <c r="AH20" s="54"/>
      <c r="AI20" s="56" t="n">
        <f aca="false">IF(SUM(AC20:AH20)&gt;=3,1,IF(SUM(AC20:AH20)&lt;3,0))</f>
        <v>0</v>
      </c>
      <c r="AJ20" s="51"/>
      <c r="AK20" s="51"/>
      <c r="AL20" s="51"/>
      <c r="AM20" s="33" t="n">
        <f aca="false">IF(SUM(AJ20:AL20)&gt;=3,1,IF(SUM(AJ20:AL20)&lt;3,0))</f>
        <v>0</v>
      </c>
      <c r="AN20" s="57"/>
      <c r="AO20" s="58" t="n">
        <f aca="false">IF(AN20&gt;=3,1,0)</f>
        <v>0</v>
      </c>
      <c r="AP20" s="54"/>
      <c r="AQ20" s="58" t="n">
        <f aca="false">IF(AP20&gt;=4,1,0)</f>
        <v>0</v>
      </c>
      <c r="AR20" s="54"/>
      <c r="AS20" s="54"/>
      <c r="AT20" s="59" t="n">
        <f aca="false">(AO20*0.3)+(AQ20*0.3)+(AR20*0.2)+(AS20*0.2)</f>
        <v>0</v>
      </c>
      <c r="AU20" s="51" t="n">
        <v>0</v>
      </c>
      <c r="AV20" s="51" t="n">
        <v>0</v>
      </c>
      <c r="AW20" s="60" t="n">
        <f aca="false">+(AU20*0.6)+(AV20*0.4)</f>
        <v>0</v>
      </c>
      <c r="AX20" s="61"/>
      <c r="AY20" s="61"/>
      <c r="AZ20" s="61"/>
      <c r="BA20" s="61"/>
      <c r="BB20" s="61"/>
      <c r="BC20" s="61"/>
      <c r="BD20" s="62"/>
    </row>
    <row r="21" s="63" customFormat="true" ht="22.5" hidden="false" customHeight="true" outlineLevel="0" collapsed="false">
      <c r="A21" s="46" t="s">
        <v>99</v>
      </c>
      <c r="B21" s="47"/>
      <c r="C21" s="48" t="s">
        <v>100</v>
      </c>
      <c r="D21" s="49" t="s">
        <v>79</v>
      </c>
      <c r="E21" s="50" t="s">
        <v>82</v>
      </c>
      <c r="F21" s="51"/>
      <c r="G21" s="52" t="n">
        <f aca="false">IF(F21&gt;=4,1,IF(F21&lt;4,0))</f>
        <v>0</v>
      </c>
      <c r="H21" s="51"/>
      <c r="I21" s="65"/>
      <c r="J21" s="52" t="n">
        <f aca="false">IF(I21&gt;=0.5,1,0)</f>
        <v>0</v>
      </c>
      <c r="K21" s="51"/>
      <c r="L21" s="52" t="n">
        <f aca="false">IF(K21&gt;=2,1,IF(K21&lt;2,0))</f>
        <v>0</v>
      </c>
      <c r="M21" s="52" t="n">
        <f aca="false">SUM(G21*0.2+H21*0.3+J21*0.2+L21*0.3)</f>
        <v>0</v>
      </c>
      <c r="N21" s="53"/>
      <c r="O21" s="53"/>
      <c r="P21" s="53"/>
      <c r="Q21" s="53"/>
      <c r="R21" s="53"/>
      <c r="S21" s="53"/>
      <c r="T21" s="33" t="n">
        <f aca="false">IF((N21+O21+P21+Q21+S21)&gt;=2,1,IF((N21+O21+P21+Q21+S21)&lt;2,0))</f>
        <v>0</v>
      </c>
      <c r="U21" s="54"/>
      <c r="V21" s="55" t="n">
        <f aca="false">IF(U21&gt;=2,1,IF(U21&lt;2,0))</f>
        <v>0</v>
      </c>
      <c r="W21" s="51"/>
      <c r="X21" s="51"/>
      <c r="Y21" s="33" t="n">
        <f aca="false">IF((W21+X21)=2,1,IF((W21+X21)&lt;2,0))</f>
        <v>0</v>
      </c>
      <c r="Z21" s="51"/>
      <c r="AA21" s="51"/>
      <c r="AB21" s="52" t="n">
        <f aca="false">Z21*AA21</f>
        <v>0</v>
      </c>
      <c r="AC21" s="54"/>
      <c r="AD21" s="54"/>
      <c r="AE21" s="54"/>
      <c r="AF21" s="54"/>
      <c r="AG21" s="54"/>
      <c r="AH21" s="54"/>
      <c r="AI21" s="56" t="n">
        <f aca="false">IF(SUM(AC21:AH21)&gt;=3,1,IF(SUM(AC21:AH21)&lt;3,0))</f>
        <v>0</v>
      </c>
      <c r="AJ21" s="51"/>
      <c r="AK21" s="51"/>
      <c r="AL21" s="51"/>
      <c r="AM21" s="33" t="n">
        <f aca="false">IF(SUM(AJ21:AL21)&gt;=3,1,IF(SUM(AJ21:AL21)&lt;3,0))</f>
        <v>0</v>
      </c>
      <c r="AN21" s="57"/>
      <c r="AO21" s="58" t="n">
        <f aca="false">IF(AN21&gt;=3,1,0)</f>
        <v>0</v>
      </c>
      <c r="AP21" s="54"/>
      <c r="AQ21" s="58" t="n">
        <f aca="false">IF(AP21&gt;=4,1,0)</f>
        <v>0</v>
      </c>
      <c r="AR21" s="54"/>
      <c r="AS21" s="54"/>
      <c r="AT21" s="59" t="n">
        <f aca="false">(AO21*0.3)+(AQ21*0.3)+(AR21*0.2)+(AS21*0.2)</f>
        <v>0</v>
      </c>
      <c r="AU21" s="51" t="n">
        <v>0</v>
      </c>
      <c r="AV21" s="51" t="n">
        <v>0</v>
      </c>
      <c r="AW21" s="60" t="n">
        <f aca="false">+(AU21*0.6)+(AV21*0.4)</f>
        <v>0</v>
      </c>
      <c r="AX21" s="61"/>
      <c r="AY21" s="61"/>
      <c r="AZ21" s="61"/>
      <c r="BA21" s="45" t="n">
        <f aca="false">((M21*0.15)+(T21*0.05)+(V21*0.15)+(Y21*0.15)+(AB21*0.15)+(AI21*0.05)+(AM21*0.1)+(AT21*0.1)+(AW21*0.1)*100)</f>
        <v>0</v>
      </c>
      <c r="BB21" s="61"/>
      <c r="BC21" s="61"/>
      <c r="BD21" s="62"/>
    </row>
    <row r="22" s="63" customFormat="true" ht="22.5" hidden="false" customHeight="true" outlineLevel="0" collapsed="false">
      <c r="A22" s="46" t="s">
        <v>99</v>
      </c>
      <c r="B22" s="47"/>
      <c r="C22" s="48" t="s">
        <v>101</v>
      </c>
      <c r="D22" s="49" t="s">
        <v>79</v>
      </c>
      <c r="E22" s="50" t="s">
        <v>102</v>
      </c>
      <c r="F22" s="51"/>
      <c r="G22" s="52" t="n">
        <f aca="false">IF(F22&gt;=4,1,IF(F22&lt;4,0))</f>
        <v>0</v>
      </c>
      <c r="H22" s="51"/>
      <c r="I22" s="65"/>
      <c r="J22" s="52" t="n">
        <f aca="false">IF(I22&gt;=0.5,1,0)</f>
        <v>0</v>
      </c>
      <c r="K22" s="51"/>
      <c r="L22" s="52" t="n">
        <f aca="false">IF(K22&gt;=2,1,IF(K22&lt;2,0))</f>
        <v>0</v>
      </c>
      <c r="M22" s="52" t="n">
        <f aca="false">SUM(G22*0.2+H22*0.3+J22*0.2+L22*0.3)</f>
        <v>0</v>
      </c>
      <c r="N22" s="53"/>
      <c r="O22" s="53"/>
      <c r="P22" s="53"/>
      <c r="Q22" s="53"/>
      <c r="R22" s="53"/>
      <c r="S22" s="53"/>
      <c r="T22" s="33" t="n">
        <f aca="false">IF((N22+O22+P22+Q22+S22)&gt;=2,1,IF((N22+O22+P22+Q22+S22)&lt;2,0))</f>
        <v>0</v>
      </c>
      <c r="U22" s="54"/>
      <c r="V22" s="55" t="n">
        <f aca="false">IF(U22&gt;=2,1,IF(U22&lt;2,0))</f>
        <v>0</v>
      </c>
      <c r="W22" s="51"/>
      <c r="X22" s="51"/>
      <c r="Y22" s="33" t="n">
        <f aca="false">IF((W22+X22)=2,1,IF((W22+X22)&lt;2,0))</f>
        <v>0</v>
      </c>
      <c r="Z22" s="51"/>
      <c r="AA22" s="51"/>
      <c r="AB22" s="52" t="n">
        <f aca="false">Z22*AA22</f>
        <v>0</v>
      </c>
      <c r="AC22" s="54"/>
      <c r="AD22" s="54"/>
      <c r="AE22" s="54"/>
      <c r="AF22" s="54"/>
      <c r="AG22" s="54"/>
      <c r="AH22" s="54"/>
      <c r="AI22" s="56" t="n">
        <f aca="false">IF(SUM(AC22:AH22)&gt;=3,1,IF(SUM(AC22:AH22)&lt;3,0))</f>
        <v>0</v>
      </c>
      <c r="AJ22" s="51"/>
      <c r="AK22" s="51"/>
      <c r="AL22" s="51"/>
      <c r="AM22" s="33" t="n">
        <f aca="false">IF(SUM(AJ22:AL22)&gt;=3,1,IF(SUM(AJ22:AL22)&lt;3,0))</f>
        <v>0</v>
      </c>
      <c r="AN22" s="57"/>
      <c r="AO22" s="58" t="n">
        <f aca="false">IF(AN22&gt;=3,1,0)</f>
        <v>0</v>
      </c>
      <c r="AP22" s="54"/>
      <c r="AQ22" s="58" t="n">
        <f aca="false">IF(AP22&gt;=4,1,0)</f>
        <v>0</v>
      </c>
      <c r="AR22" s="54"/>
      <c r="AS22" s="69"/>
      <c r="AT22" s="70" t="n">
        <f aca="false">(AO22*0.3)+(AQ22*0.3)+(AR22*0.2)+(AS22*0.2)</f>
        <v>0</v>
      </c>
      <c r="AU22" s="71" t="n">
        <v>0</v>
      </c>
      <c r="AV22" s="71" t="n">
        <v>0</v>
      </c>
      <c r="AW22" s="72" t="n">
        <f aca="false">+(AU22*0.6)+(AV22*0.4)</f>
        <v>0</v>
      </c>
      <c r="AX22" s="61"/>
      <c r="AY22" s="61"/>
      <c r="AZ22" s="61"/>
      <c r="BA22" s="61"/>
      <c r="BB22" s="45" t="n">
        <f aca="false">((M22*0.15)+(T22*0.05)+(V22*0.15)+(Y22*0.15)+(AB22*0.15)+(AI22*0.1)+(AM22*0.1)+(AT22*0.05)+(AW22*0.1)*100)</f>
        <v>0</v>
      </c>
      <c r="BC22" s="61"/>
      <c r="BD22" s="62"/>
    </row>
    <row r="23" s="63" customFormat="true" ht="22.5" hidden="false" customHeight="true" outlineLevel="0" collapsed="false">
      <c r="A23" s="46" t="s">
        <v>99</v>
      </c>
      <c r="B23" s="47"/>
      <c r="C23" s="48" t="s">
        <v>103</v>
      </c>
      <c r="D23" s="49" t="s">
        <v>79</v>
      </c>
      <c r="E23" s="50" t="s">
        <v>80</v>
      </c>
      <c r="F23" s="51"/>
      <c r="G23" s="52" t="n">
        <f aca="false">IF(F23&gt;=4,1,IF(F23&lt;4,0))</f>
        <v>0</v>
      </c>
      <c r="H23" s="51"/>
      <c r="I23" s="65"/>
      <c r="J23" s="52" t="n">
        <f aca="false">IF(I23&gt;=0.5,1,0)</f>
        <v>0</v>
      </c>
      <c r="K23" s="51"/>
      <c r="L23" s="52" t="n">
        <f aca="false">IF(K23&gt;=2,1,IF(K23&lt;2,0))</f>
        <v>0</v>
      </c>
      <c r="M23" s="52" t="n">
        <f aca="false">SUM(G23*0.2+H23*0.3+J23*0.2+L23*0.3)</f>
        <v>0</v>
      </c>
      <c r="N23" s="53"/>
      <c r="O23" s="53"/>
      <c r="P23" s="53"/>
      <c r="Q23" s="53"/>
      <c r="R23" s="53"/>
      <c r="S23" s="53"/>
      <c r="T23" s="33" t="n">
        <f aca="false">IF((N23+O23+P23+Q23+S23)&gt;=2,1,IF((N23+O23+P23+Q23+S23)&lt;2,0))</f>
        <v>0</v>
      </c>
      <c r="U23" s="54"/>
      <c r="V23" s="55" t="n">
        <f aca="false">IF(U23&gt;=2,1,IF(U23&lt;2,0))</f>
        <v>0</v>
      </c>
      <c r="W23" s="51"/>
      <c r="X23" s="51"/>
      <c r="Y23" s="33" t="n">
        <f aca="false">IF((W23+X23)=2,1,IF((W23+X23)&lt;2,0))</f>
        <v>0</v>
      </c>
      <c r="Z23" s="51"/>
      <c r="AA23" s="51"/>
      <c r="AB23" s="52" t="n">
        <f aca="false">Z23*AA23</f>
        <v>0</v>
      </c>
      <c r="AC23" s="54"/>
      <c r="AD23" s="54"/>
      <c r="AE23" s="54"/>
      <c r="AF23" s="54"/>
      <c r="AG23" s="54"/>
      <c r="AH23" s="54"/>
      <c r="AI23" s="56" t="n">
        <f aca="false">IF(SUM(AC23:AH23)&gt;=3,1,IF(SUM(AC23:AH23)&lt;3,0))</f>
        <v>0</v>
      </c>
      <c r="AJ23" s="51"/>
      <c r="AK23" s="51"/>
      <c r="AL23" s="51"/>
      <c r="AM23" s="33" t="n">
        <f aca="false">IF(SUM(AJ23:AL23)&gt;=3,1,IF(SUM(AJ23:AL23)&lt;3,0))</f>
        <v>0</v>
      </c>
      <c r="AN23" s="57"/>
      <c r="AO23" s="58" t="n">
        <f aca="false">IF(AN23&gt;=3,1,0)</f>
        <v>0</v>
      </c>
      <c r="AP23" s="54"/>
      <c r="AQ23" s="58" t="n">
        <f aca="false">IF(AP23&gt;=4,1,0)</f>
        <v>0</v>
      </c>
      <c r="AR23" s="73"/>
      <c r="AS23" s="74"/>
      <c r="AT23" s="75" t="n">
        <f aca="false">(AO23*0.3)+(AQ23*0.3)+(AR23*0.2)+(AS23*0.2)</f>
        <v>0</v>
      </c>
      <c r="AU23" s="76" t="n">
        <v>0</v>
      </c>
      <c r="AV23" s="76" t="n">
        <v>0</v>
      </c>
      <c r="AW23" s="77" t="n">
        <f aca="false">+(AU23*0.6)+(AV23*0.4)</f>
        <v>0</v>
      </c>
      <c r="AX23" s="61"/>
      <c r="AY23" s="61"/>
      <c r="AZ23" s="61"/>
      <c r="BA23" s="61"/>
      <c r="BB23" s="45" t="n">
        <f aca="false">((M23*0.15)+(T23*0.05)+(V23*0.15)+(Y23*0.15)+(AB23*0.15)+(AI23*0.1)+(AM23*0.1)+(AT23*0.05)+(AW23*0.1)*100)</f>
        <v>0</v>
      </c>
      <c r="BC23" s="61"/>
      <c r="BD23" s="62"/>
    </row>
    <row r="24" s="63" customFormat="true" ht="22.5" hidden="false" customHeight="true" outlineLevel="0" collapsed="false">
      <c r="A24" s="46" t="s">
        <v>99</v>
      </c>
      <c r="B24" s="47"/>
      <c r="C24" s="48" t="s">
        <v>104</v>
      </c>
      <c r="D24" s="49" t="s">
        <v>79</v>
      </c>
      <c r="E24" s="50" t="s">
        <v>82</v>
      </c>
      <c r="F24" s="51"/>
      <c r="G24" s="52" t="n">
        <f aca="false">IF(F24&gt;=4,1,IF(F24&lt;4,0))</f>
        <v>0</v>
      </c>
      <c r="H24" s="51"/>
      <c r="I24" s="65"/>
      <c r="J24" s="52" t="n">
        <f aca="false">IF(I24&gt;=0.5,1,0)</f>
        <v>0</v>
      </c>
      <c r="K24" s="51"/>
      <c r="L24" s="52" t="n">
        <f aca="false">IF(K24&gt;=2,1,IF(K24&lt;2,0))</f>
        <v>0</v>
      </c>
      <c r="M24" s="52" t="n">
        <f aca="false">SUM(G24*0.2+H24*0.3+J24*0.2+L24*0.3)</f>
        <v>0</v>
      </c>
      <c r="N24" s="53"/>
      <c r="O24" s="53"/>
      <c r="P24" s="53"/>
      <c r="Q24" s="53"/>
      <c r="R24" s="53"/>
      <c r="S24" s="53"/>
      <c r="T24" s="33" t="n">
        <f aca="false">IF((N24+O24+P24+Q24+S24)&gt;=2,1,IF((N24+O24+P24+Q24+S24)&lt;2,0))</f>
        <v>0</v>
      </c>
      <c r="U24" s="54"/>
      <c r="V24" s="55" t="n">
        <f aca="false">IF(U24&gt;=2,1,IF(U24&lt;2,0))</f>
        <v>0</v>
      </c>
      <c r="W24" s="51"/>
      <c r="X24" s="51"/>
      <c r="Y24" s="33" t="n">
        <f aca="false">IF((W24+X24)=2,1,IF((W24+X24)&lt;2,0))</f>
        <v>0</v>
      </c>
      <c r="Z24" s="51"/>
      <c r="AA24" s="51"/>
      <c r="AB24" s="52" t="n">
        <f aca="false">Z24*AA24</f>
        <v>0</v>
      </c>
      <c r="AC24" s="54"/>
      <c r="AD24" s="54"/>
      <c r="AE24" s="54"/>
      <c r="AF24" s="54"/>
      <c r="AG24" s="54"/>
      <c r="AH24" s="54"/>
      <c r="AI24" s="56" t="n">
        <f aca="false">IF(SUM(AC24:AH24)&gt;=3,1,IF(SUM(AC24:AH24)&lt;3,0))</f>
        <v>0</v>
      </c>
      <c r="AJ24" s="51"/>
      <c r="AK24" s="51"/>
      <c r="AL24" s="51"/>
      <c r="AM24" s="33" t="n">
        <f aca="false">IF(SUM(AJ24:AL24)&gt;=3,1,IF(SUM(AJ24:AL24)&lt;3,0))</f>
        <v>0</v>
      </c>
      <c r="AN24" s="57"/>
      <c r="AO24" s="58" t="n">
        <f aca="false">IF(AN24&gt;=3,1,0)</f>
        <v>0</v>
      </c>
      <c r="AP24" s="54"/>
      <c r="AQ24" s="58" t="n">
        <f aca="false">IF(AP24&gt;=4,1,0)</f>
        <v>0</v>
      </c>
      <c r="AR24" s="73"/>
      <c r="AS24" s="74"/>
      <c r="AT24" s="75" t="n">
        <f aca="false">(AO24*0.3)+(AQ24*0.3)+(AR24*0.2)+(AS24*0.2)</f>
        <v>0</v>
      </c>
      <c r="AU24" s="76" t="n">
        <v>0</v>
      </c>
      <c r="AV24" s="76" t="n">
        <v>0</v>
      </c>
      <c r="AW24" s="77" t="n">
        <f aca="false">+(AU24*0.6)+(AV24*0.4)</f>
        <v>0</v>
      </c>
      <c r="AX24" s="61"/>
      <c r="AY24" s="61"/>
      <c r="AZ24" s="61"/>
      <c r="BA24" s="45" t="n">
        <f aca="false">((M24*0.15)+(T24*0.05)+(V24*0.15)+(Y24*0.15)+(AB24*0.15)+(AI24*0.05)+(AM24*0.1)+(AT24*0.1)+(AW24*0.1)*100)</f>
        <v>0</v>
      </c>
      <c r="BB24" s="61"/>
      <c r="BC24" s="61"/>
      <c r="BD24" s="62"/>
    </row>
    <row r="25" s="63" customFormat="true" ht="22.5" hidden="false" customHeight="true" outlineLevel="0" collapsed="false">
      <c r="A25" s="46" t="s">
        <v>99</v>
      </c>
      <c r="B25" s="47"/>
      <c r="C25" s="48" t="s">
        <v>105</v>
      </c>
      <c r="D25" s="49" t="s">
        <v>79</v>
      </c>
      <c r="E25" s="50" t="s">
        <v>80</v>
      </c>
      <c r="F25" s="51"/>
      <c r="G25" s="52" t="n">
        <f aca="false">IF(F25&gt;=4,1,IF(F25&lt;4,0))</f>
        <v>0</v>
      </c>
      <c r="H25" s="51"/>
      <c r="I25" s="65"/>
      <c r="J25" s="52" t="n">
        <f aca="false">IF(I25&gt;=0.5,1,0)</f>
        <v>0</v>
      </c>
      <c r="K25" s="51"/>
      <c r="L25" s="52" t="n">
        <f aca="false">IF(K25&gt;=2,1,IF(K25&lt;2,0))</f>
        <v>0</v>
      </c>
      <c r="M25" s="52" t="n">
        <f aca="false">SUM(G25*0.2+H25*0.3+J25*0.2+L25*0.3)</f>
        <v>0</v>
      </c>
      <c r="N25" s="53"/>
      <c r="O25" s="53"/>
      <c r="P25" s="53"/>
      <c r="Q25" s="53"/>
      <c r="R25" s="53"/>
      <c r="S25" s="53"/>
      <c r="T25" s="33" t="n">
        <f aca="false">IF((N25+O25+P25+Q25+S25)&gt;=2,1,IF((N25+O25+P25+Q25+S25)&lt;2,0))</f>
        <v>0</v>
      </c>
      <c r="U25" s="54"/>
      <c r="V25" s="55" t="n">
        <f aca="false">IF(U25&gt;=2,1,IF(U25&lt;2,0))</f>
        <v>0</v>
      </c>
      <c r="W25" s="51"/>
      <c r="X25" s="51"/>
      <c r="Y25" s="33" t="n">
        <f aca="false">IF((W25+X25)=2,1,IF((W25+X25)&lt;2,0))</f>
        <v>0</v>
      </c>
      <c r="Z25" s="51"/>
      <c r="AA25" s="51"/>
      <c r="AB25" s="52" t="n">
        <f aca="false">Z25*AA25</f>
        <v>0</v>
      </c>
      <c r="AC25" s="54"/>
      <c r="AD25" s="54"/>
      <c r="AE25" s="54"/>
      <c r="AF25" s="54"/>
      <c r="AG25" s="54"/>
      <c r="AH25" s="54"/>
      <c r="AI25" s="56" t="n">
        <f aca="false">IF(SUM(AC25:AH25)&gt;=3,1,IF(SUM(AC25:AH25)&lt;3,0))</f>
        <v>0</v>
      </c>
      <c r="AJ25" s="51"/>
      <c r="AK25" s="51"/>
      <c r="AL25" s="51"/>
      <c r="AM25" s="33" t="n">
        <f aca="false">IF(SUM(AJ25:AL25)&gt;=3,1,IF(SUM(AJ25:AL25)&lt;3,0))</f>
        <v>0</v>
      </c>
      <c r="AN25" s="57"/>
      <c r="AO25" s="58" t="n">
        <f aca="false">IF(AN25&gt;=3,1,0)</f>
        <v>0</v>
      </c>
      <c r="AP25" s="54"/>
      <c r="AQ25" s="58" t="n">
        <f aca="false">IF(AP25&gt;=4,1,0)</f>
        <v>0</v>
      </c>
      <c r="AR25" s="73"/>
      <c r="AS25" s="74"/>
      <c r="AT25" s="75" t="n">
        <f aca="false">(AO25*0.3)+(AQ25*0.3)+(AR25*0.2)+(AS25*0.2)</f>
        <v>0</v>
      </c>
      <c r="AU25" s="76" t="n">
        <v>0</v>
      </c>
      <c r="AV25" s="76" t="n">
        <v>0</v>
      </c>
      <c r="AW25" s="77" t="n">
        <f aca="false">+(AU25*0.6)+(AV25*0.4)</f>
        <v>0</v>
      </c>
      <c r="AX25" s="61"/>
      <c r="AY25" s="61"/>
      <c r="AZ25" s="61"/>
      <c r="BA25" s="61"/>
      <c r="BB25" s="45" t="n">
        <f aca="false">((M25*0.15)+(T25*0.05)+(V25*0.15)+(Y25*0.15)+(AB25*0.15)+(AI25*0.1)+(AM25*0.1)+(AT25*0.05)+(AW25*0.1)*100)</f>
        <v>0</v>
      </c>
      <c r="BC25" s="61"/>
      <c r="BD25" s="62"/>
    </row>
    <row r="26" s="63" customFormat="true" ht="22.5" hidden="false" customHeight="true" outlineLevel="0" collapsed="false">
      <c r="A26" s="46" t="s">
        <v>99</v>
      </c>
      <c r="B26" s="47"/>
      <c r="C26" s="48" t="s">
        <v>106</v>
      </c>
      <c r="D26" s="49" t="s">
        <v>79</v>
      </c>
      <c r="E26" s="50" t="s">
        <v>107</v>
      </c>
      <c r="F26" s="51"/>
      <c r="G26" s="52" t="n">
        <f aca="false">IF(F26&gt;=4,1,IF(F26&lt;4,0))</f>
        <v>0</v>
      </c>
      <c r="H26" s="51"/>
      <c r="I26" s="65"/>
      <c r="J26" s="52" t="n">
        <f aca="false">IF(I26&gt;=0.5,1,0)</f>
        <v>0</v>
      </c>
      <c r="K26" s="51"/>
      <c r="L26" s="52" t="n">
        <f aca="false">IF(K26&gt;=2,1,IF(K26&lt;2,0))</f>
        <v>0</v>
      </c>
      <c r="M26" s="52" t="n">
        <f aca="false">SUM(G26*0.2+H26*0.3+J26*0.2+L26*0.3)</f>
        <v>0</v>
      </c>
      <c r="N26" s="53"/>
      <c r="O26" s="53"/>
      <c r="P26" s="53"/>
      <c r="Q26" s="53"/>
      <c r="R26" s="53"/>
      <c r="S26" s="53"/>
      <c r="T26" s="33" t="n">
        <f aca="false">IF((N26+O26+P26+Q26+S26)&gt;=2,1,IF((N26+O26+P26+Q26+S26)&lt;2,0))</f>
        <v>0</v>
      </c>
      <c r="U26" s="54"/>
      <c r="V26" s="55" t="n">
        <f aca="false">IF(U26&gt;=2,1,IF(U26&lt;2,0))</f>
        <v>0</v>
      </c>
      <c r="W26" s="51"/>
      <c r="X26" s="51"/>
      <c r="Y26" s="33" t="n">
        <f aca="false">IF((W26+X26)=2,1,IF((W26+X26)&lt;2,0))</f>
        <v>0</v>
      </c>
      <c r="Z26" s="51"/>
      <c r="AA26" s="51"/>
      <c r="AB26" s="52" t="n">
        <f aca="false">Z26*AA26</f>
        <v>0</v>
      </c>
      <c r="AC26" s="54"/>
      <c r="AD26" s="54"/>
      <c r="AE26" s="54"/>
      <c r="AF26" s="54"/>
      <c r="AG26" s="54"/>
      <c r="AH26" s="54"/>
      <c r="AI26" s="56" t="n">
        <f aca="false">IF(SUM(AC26:AH26)&gt;=3,1,IF(SUM(AC26:AH26)&lt;3,0))</f>
        <v>0</v>
      </c>
      <c r="AJ26" s="51"/>
      <c r="AK26" s="51"/>
      <c r="AL26" s="51"/>
      <c r="AM26" s="33" t="n">
        <f aca="false">IF(SUM(AJ26:AL26)&gt;=3,1,IF(SUM(AJ26:AL26)&lt;3,0))</f>
        <v>0</v>
      </c>
      <c r="AN26" s="57"/>
      <c r="AO26" s="58" t="n">
        <f aca="false">IF(AN26&gt;=3,1,0)</f>
        <v>0</v>
      </c>
      <c r="AP26" s="54"/>
      <c r="AQ26" s="58" t="n">
        <f aca="false">IF(AP26&gt;=4,1,0)</f>
        <v>0</v>
      </c>
      <c r="AR26" s="73"/>
      <c r="AS26" s="74"/>
      <c r="AT26" s="75" t="n">
        <f aca="false">(AO26*0.3)+(AQ26*0.3)+(AR26*0.2)+(AS26*0.2)</f>
        <v>0</v>
      </c>
      <c r="AU26" s="76" t="n">
        <v>0</v>
      </c>
      <c r="AV26" s="76" t="n">
        <v>0</v>
      </c>
      <c r="AW26" s="77" t="n">
        <f aca="false">+(AU26*0.6)+(AV26*0.4)</f>
        <v>0</v>
      </c>
      <c r="AX26" s="61"/>
      <c r="AY26" s="61"/>
      <c r="AZ26" s="61"/>
      <c r="BA26" s="45" t="n">
        <f aca="false">((M26*0.15)+(T26*0.05)+(V26*0.15)+(Y26*0.15)+(AB26*0.15)+(AI26*0.05)+(AM26*0.1)+(AT26*0.1)+(AW26*0.1)*100)</f>
        <v>0</v>
      </c>
      <c r="BB26" s="61"/>
      <c r="BC26" s="61"/>
      <c r="BD26" s="62"/>
    </row>
    <row r="27" s="63" customFormat="true" ht="22.5" hidden="false" customHeight="true" outlineLevel="0" collapsed="false">
      <c r="A27" s="46" t="s">
        <v>99</v>
      </c>
      <c r="B27" s="47"/>
      <c r="C27" s="48" t="s">
        <v>108</v>
      </c>
      <c r="D27" s="49" t="s">
        <v>79</v>
      </c>
      <c r="E27" s="50" t="s">
        <v>80</v>
      </c>
      <c r="F27" s="51"/>
      <c r="G27" s="52" t="n">
        <f aca="false">IF(F27&gt;=4,1,IF(F27&lt;4,0))</f>
        <v>0</v>
      </c>
      <c r="H27" s="51"/>
      <c r="I27" s="65"/>
      <c r="J27" s="52" t="n">
        <f aca="false">IF(I27&gt;=0.5,1,0)</f>
        <v>0</v>
      </c>
      <c r="K27" s="51"/>
      <c r="L27" s="52" t="n">
        <f aca="false">IF(K27&gt;=2,1,IF(K27&lt;2,0))</f>
        <v>0</v>
      </c>
      <c r="M27" s="52" t="n">
        <f aca="false">SUM(G27*0.2+H27*0.3+J27*0.2+L27*0.3)</f>
        <v>0</v>
      </c>
      <c r="N27" s="53"/>
      <c r="O27" s="53"/>
      <c r="P27" s="53"/>
      <c r="Q27" s="53"/>
      <c r="R27" s="53"/>
      <c r="S27" s="53"/>
      <c r="T27" s="33" t="n">
        <f aca="false">IF((N27+O27+P27+Q27+S27)&gt;=2,1,IF((N27+O27+P27+Q27+S27)&lt;2,0))</f>
        <v>0</v>
      </c>
      <c r="U27" s="54"/>
      <c r="V27" s="55" t="n">
        <f aca="false">IF(U27&gt;=2,1,IF(U27&lt;2,0))</f>
        <v>0</v>
      </c>
      <c r="W27" s="51"/>
      <c r="X27" s="51"/>
      <c r="Y27" s="33" t="n">
        <f aca="false">IF((W27+X27)=2,1,IF((W27+X27)&lt;2,0))</f>
        <v>0</v>
      </c>
      <c r="Z27" s="51"/>
      <c r="AA27" s="51"/>
      <c r="AB27" s="52" t="n">
        <f aca="false">Z27*AA27</f>
        <v>0</v>
      </c>
      <c r="AC27" s="54"/>
      <c r="AD27" s="54"/>
      <c r="AE27" s="54"/>
      <c r="AF27" s="54"/>
      <c r="AG27" s="54"/>
      <c r="AH27" s="54"/>
      <c r="AI27" s="56" t="n">
        <f aca="false">IF(SUM(AC27:AH27)&gt;=3,1,IF(SUM(AC27:AH27)&lt;3,0))</f>
        <v>0</v>
      </c>
      <c r="AJ27" s="51"/>
      <c r="AK27" s="51"/>
      <c r="AL27" s="51"/>
      <c r="AM27" s="33" t="n">
        <f aca="false">IF(SUM(AJ27:AL27)&gt;=3,1,IF(SUM(AJ27:AL27)&lt;3,0))</f>
        <v>0</v>
      </c>
      <c r="AN27" s="57"/>
      <c r="AO27" s="58" t="n">
        <f aca="false">IF(AN27&gt;=3,1,0)</f>
        <v>0</v>
      </c>
      <c r="AP27" s="54"/>
      <c r="AQ27" s="58" t="n">
        <f aca="false">IF(AP27&gt;=4,1,0)</f>
        <v>0</v>
      </c>
      <c r="AR27" s="73"/>
      <c r="AS27" s="74"/>
      <c r="AT27" s="75" t="n">
        <f aca="false">(AO27*0.3)+(AQ27*0.3)+(AR27*0.2)+(AS27*0.2)</f>
        <v>0</v>
      </c>
      <c r="AU27" s="76" t="n">
        <v>0</v>
      </c>
      <c r="AV27" s="76" t="n">
        <v>0</v>
      </c>
      <c r="AW27" s="77" t="n">
        <f aca="false">+(AU27*0.6)+(AV27*0.4)</f>
        <v>0</v>
      </c>
      <c r="AX27" s="61"/>
      <c r="AY27" s="61"/>
      <c r="AZ27" s="61"/>
      <c r="BA27" s="61"/>
      <c r="BB27" s="45" t="n">
        <f aca="false">((M27*0.15)+(T27*0.05)+(V27*0.15)+(Y27*0.15)+(AB27*0.15)+(AI27*0.1)+(AM27*0.1)+(AT27*0.05)+(AW27*0.1)*100)</f>
        <v>0</v>
      </c>
      <c r="BC27" s="61"/>
      <c r="BD27" s="62"/>
    </row>
    <row r="28" s="63" customFormat="true" ht="22.5" hidden="false" customHeight="true" outlineLevel="0" collapsed="false">
      <c r="A28" s="46" t="s">
        <v>99</v>
      </c>
      <c r="B28" s="78"/>
      <c r="C28" s="48" t="s">
        <v>109</v>
      </c>
      <c r="D28" s="49" t="s">
        <v>79</v>
      </c>
      <c r="E28" s="50" t="s">
        <v>80</v>
      </c>
      <c r="F28" s="51"/>
      <c r="G28" s="52" t="n">
        <f aca="false">IF(F28&gt;=4,1,IF(F28&lt;4,0))</f>
        <v>0</v>
      </c>
      <c r="H28" s="51"/>
      <c r="I28" s="65"/>
      <c r="J28" s="52" t="n">
        <f aca="false">IF(I28&gt;=0.5,1,0)</f>
        <v>0</v>
      </c>
      <c r="K28" s="51"/>
      <c r="L28" s="52" t="n">
        <f aca="false">IF(K28&gt;=2,1,IF(K28&lt;2,0))</f>
        <v>0</v>
      </c>
      <c r="M28" s="52" t="n">
        <f aca="false">SUM(G28*0.2+H28*0.3+J28*0.2+L28*0.3)</f>
        <v>0</v>
      </c>
      <c r="N28" s="53"/>
      <c r="O28" s="53"/>
      <c r="P28" s="53"/>
      <c r="Q28" s="53"/>
      <c r="R28" s="53"/>
      <c r="S28" s="53"/>
      <c r="T28" s="33" t="n">
        <f aca="false">IF((N28+O28+P28+Q28+S28)&gt;=2,1,IF((N28+O28+P28+Q28+S28)&lt;2,0))</f>
        <v>0</v>
      </c>
      <c r="U28" s="54"/>
      <c r="V28" s="55" t="n">
        <f aca="false">IF(U28&gt;=2,1,IF(U28&lt;2,0))</f>
        <v>0</v>
      </c>
      <c r="W28" s="51"/>
      <c r="X28" s="51"/>
      <c r="Y28" s="33" t="n">
        <f aca="false">IF((W28+X28)=2,1,IF((W28+X28)&lt;2,0))</f>
        <v>0</v>
      </c>
      <c r="Z28" s="51"/>
      <c r="AA28" s="51"/>
      <c r="AB28" s="52" t="n">
        <f aca="false">Z28*AA28</f>
        <v>0</v>
      </c>
      <c r="AC28" s="54"/>
      <c r="AD28" s="54"/>
      <c r="AE28" s="54"/>
      <c r="AF28" s="54"/>
      <c r="AG28" s="54"/>
      <c r="AH28" s="54"/>
      <c r="AI28" s="56" t="n">
        <f aca="false">IF(SUM(AC28:AH28)&gt;=3,1,IF(SUM(AC28:AH28)&lt;3,0))</f>
        <v>0</v>
      </c>
      <c r="AJ28" s="51"/>
      <c r="AK28" s="51"/>
      <c r="AL28" s="51"/>
      <c r="AM28" s="33" t="n">
        <f aca="false">IF(SUM(AJ28:AL28)&gt;=3,1,IF(SUM(AJ28:AL28)&lt;3,0))</f>
        <v>0</v>
      </c>
      <c r="AN28" s="79"/>
      <c r="AO28" s="80" t="n">
        <f aca="false">IF(AN28&gt;=3,1,0)</f>
        <v>0</v>
      </c>
      <c r="AP28" s="69"/>
      <c r="AQ28" s="80" t="n">
        <f aca="false">IF(AP28&gt;=4,1,0)</f>
        <v>0</v>
      </c>
      <c r="AR28" s="81"/>
      <c r="AS28" s="74"/>
      <c r="AT28" s="75" t="n">
        <f aca="false">(AO28*0.3)+(AQ28*0.3)+(AR28*0.2)+(AS28*0.2)</f>
        <v>0</v>
      </c>
      <c r="AU28" s="76" t="n">
        <v>0</v>
      </c>
      <c r="AV28" s="76" t="n">
        <v>0</v>
      </c>
      <c r="AW28" s="77" t="n">
        <f aca="false">+(AU28*0.6)+(AV28*0.4)</f>
        <v>0</v>
      </c>
      <c r="AX28" s="61"/>
      <c r="AY28" s="61"/>
      <c r="AZ28" s="61"/>
      <c r="BA28" s="61"/>
      <c r="BB28" s="45" t="n">
        <f aca="false">((M28*0.15)+(T28*0.05)+(V28*0.15)+(Y28*0.15)+(AB28*0.15)+(AI28*0.1)+(AM28*0.1)+(AT28*0.05)+(AW28*0.1)*100)</f>
        <v>0</v>
      </c>
      <c r="BC28" s="61"/>
      <c r="BD28" s="62"/>
    </row>
    <row r="29" s="63" customFormat="true" ht="22.5" hidden="false" customHeight="true" outlineLevel="0" collapsed="false">
      <c r="A29" s="46" t="s">
        <v>99</v>
      </c>
      <c r="B29" s="78"/>
      <c r="C29" s="48" t="s">
        <v>110</v>
      </c>
      <c r="D29" s="49" t="s">
        <v>79</v>
      </c>
      <c r="E29" s="50" t="s">
        <v>80</v>
      </c>
      <c r="F29" s="82"/>
      <c r="G29" s="52" t="n">
        <f aca="false">IF(F29&gt;=4,1,IF(F29&lt;4,0))</f>
        <v>0</v>
      </c>
      <c r="H29" s="51"/>
      <c r="I29" s="82"/>
      <c r="J29" s="52" t="n">
        <f aca="false">IF(I29&gt;=0.5,1,0)</f>
        <v>0</v>
      </c>
      <c r="K29" s="51"/>
      <c r="L29" s="52" t="n">
        <f aca="false">IF(K29&gt;=2,1,IF(K29&lt;2,0))</f>
        <v>0</v>
      </c>
      <c r="M29" s="52" t="n">
        <f aca="false">SUM(G29*0.2+H29*0.3+J29*0.2+L29*0.3)</f>
        <v>0</v>
      </c>
      <c r="N29" s="53"/>
      <c r="O29" s="53"/>
      <c r="P29" s="53"/>
      <c r="Q29" s="53"/>
      <c r="R29" s="53"/>
      <c r="S29" s="53"/>
      <c r="T29" s="33" t="n">
        <f aca="false">IF((N29+O29+P29+Q29+S29)&gt;=2,1,IF((N29+O29+P29+Q29+S29)&lt;2,0))</f>
        <v>0</v>
      </c>
      <c r="U29" s="54"/>
      <c r="V29" s="55" t="n">
        <f aca="false">IF(U29&gt;=2,1,IF(U29&lt;2,0))</f>
        <v>0</v>
      </c>
      <c r="W29" s="51"/>
      <c r="X29" s="51"/>
      <c r="Y29" s="33" t="n">
        <f aca="false">IF((W29+X29)=2,1,IF((W29+X29)&lt;2,0))</f>
        <v>0</v>
      </c>
      <c r="Z29" s="51"/>
      <c r="AA29" s="51"/>
      <c r="AB29" s="52" t="n">
        <f aca="false">Z29*AA29</f>
        <v>0</v>
      </c>
      <c r="AC29" s="54"/>
      <c r="AD29" s="54"/>
      <c r="AE29" s="54"/>
      <c r="AF29" s="54"/>
      <c r="AG29" s="54"/>
      <c r="AH29" s="54"/>
      <c r="AI29" s="56" t="n">
        <f aca="false">IF(SUM(AC29:AH29)&gt;=3,1,IF(SUM(AC29:AH29)&lt;3,0))</f>
        <v>0</v>
      </c>
      <c r="AJ29" s="51"/>
      <c r="AK29" s="51"/>
      <c r="AL29" s="51"/>
      <c r="AM29" s="33" t="n">
        <f aca="false">IF(SUM(AJ29:AL29)&gt;=3,1,IF(SUM(AJ29:AL29)&lt;3,0))</f>
        <v>0</v>
      </c>
      <c r="AN29" s="83"/>
      <c r="AO29" s="80" t="n">
        <f aca="false">IF(AN29&gt;=3,1,0)</f>
        <v>0</v>
      </c>
      <c r="AP29" s="84"/>
      <c r="AQ29" s="80" t="n">
        <f aca="false">IF(AP29&gt;=4,1,0)</f>
        <v>0</v>
      </c>
      <c r="AR29" s="85"/>
      <c r="AS29" s="84"/>
      <c r="AT29" s="75" t="n">
        <f aca="false">(AO29*0.3)+(AQ29*0.3)+(AR29*0.2)+(AS29*0.2)</f>
        <v>0</v>
      </c>
      <c r="AU29" s="76" t="n">
        <v>0</v>
      </c>
      <c r="AV29" s="76" t="n">
        <v>0</v>
      </c>
      <c r="AW29" s="77" t="n">
        <f aca="false">+(AU29*0.6)+(AV29*0.4)</f>
        <v>0</v>
      </c>
      <c r="AX29" s="61"/>
      <c r="AY29" s="61"/>
      <c r="AZ29" s="61"/>
      <c r="BA29" s="61"/>
      <c r="BB29" s="45" t="n">
        <f aca="false">((M29*0.15)+(T29*0.05)+(V29*0.15)+(Y29*0.15)+(AB29*0.15)+(AI29*0.1)+(AM29*0.1)+(AT29*0.05)+(AW29*0.1)*100)</f>
        <v>0</v>
      </c>
      <c r="BC29" s="61"/>
      <c r="BD29" s="62"/>
    </row>
    <row r="30" s="63" customFormat="true" ht="30" hidden="false" customHeight="true" outlineLevel="0" collapsed="false">
      <c r="A30" s="46" t="s">
        <v>99</v>
      </c>
      <c r="B30" s="78"/>
      <c r="C30" s="48" t="s">
        <v>111</v>
      </c>
      <c r="D30" s="49" t="s">
        <v>79</v>
      </c>
      <c r="E30" s="50" t="s">
        <v>82</v>
      </c>
      <c r="F30" s="54"/>
      <c r="G30" s="52" t="n">
        <f aca="false">IF(F30&gt;=4,1,IF(F30&lt;4,0))</f>
        <v>0</v>
      </c>
      <c r="H30" s="51"/>
      <c r="I30" s="54"/>
      <c r="J30" s="52" t="n">
        <f aca="false">IF(I30&gt;=0.5,1,0)</f>
        <v>0</v>
      </c>
      <c r="K30" s="51"/>
      <c r="L30" s="52" t="n">
        <f aca="false">IF(K30&gt;=2,1,IF(K30&lt;2,0))</f>
        <v>0</v>
      </c>
      <c r="M30" s="52" t="n">
        <f aca="false">SUM(G30*0.2+H30*0.3+J30*0.2+L30*0.3)</f>
        <v>0</v>
      </c>
      <c r="N30" s="53"/>
      <c r="O30" s="53"/>
      <c r="P30" s="53"/>
      <c r="Q30" s="53"/>
      <c r="R30" s="53"/>
      <c r="S30" s="53"/>
      <c r="T30" s="33" t="n">
        <f aca="false">IF((N30+O30+P30+Q30+S30)&gt;=2,1,IF((N30+O30+P30+Q30+S30)&lt;2,0))</f>
        <v>0</v>
      </c>
      <c r="U30" s="54"/>
      <c r="V30" s="55" t="n">
        <f aca="false">IF(U30&gt;=2,1,IF(U30&lt;2,0))</f>
        <v>0</v>
      </c>
      <c r="W30" s="51"/>
      <c r="X30" s="51"/>
      <c r="Y30" s="33" t="n">
        <f aca="false">IF((W30+X30)=2,1,IF((W30+X30)&lt;2,0))</f>
        <v>0</v>
      </c>
      <c r="Z30" s="51"/>
      <c r="AA30" s="51"/>
      <c r="AB30" s="52" t="n">
        <f aca="false">Z30*AA30</f>
        <v>0</v>
      </c>
      <c r="AC30" s="54"/>
      <c r="AD30" s="54"/>
      <c r="AE30" s="54"/>
      <c r="AF30" s="54"/>
      <c r="AG30" s="54"/>
      <c r="AH30" s="54"/>
      <c r="AI30" s="56" t="n">
        <f aca="false">IF(SUM(AC30:AH30)&gt;=3,1,IF(SUM(AC30:AH30)&lt;3,0))</f>
        <v>0</v>
      </c>
      <c r="AJ30" s="51"/>
      <c r="AK30" s="51"/>
      <c r="AL30" s="51"/>
      <c r="AM30" s="33" t="n">
        <f aca="false">IF(SUM(AJ30:AL30)&gt;=3,1,IF(SUM(AJ30:AL30)&lt;3,0))</f>
        <v>0</v>
      </c>
      <c r="AN30" s="86"/>
      <c r="AO30" s="80" t="n">
        <f aca="false">IF(AN30&gt;=3,1,0)</f>
        <v>0</v>
      </c>
      <c r="AP30" s="74"/>
      <c r="AQ30" s="80" t="n">
        <f aca="false">IF(AP30&gt;=4,1,0)</f>
        <v>0</v>
      </c>
      <c r="AR30" s="87"/>
      <c r="AS30" s="74"/>
      <c r="AT30" s="75" t="n">
        <f aca="false">(AO30*0.3)+(AQ30*0.3)+(AR30*0.2)+(AS30*0.2)</f>
        <v>0</v>
      </c>
      <c r="AU30" s="76" t="n">
        <v>0</v>
      </c>
      <c r="AV30" s="76" t="n">
        <v>0</v>
      </c>
      <c r="AW30" s="77" t="n">
        <f aca="false">+(AU30*0.6)+(AV30*0.4)</f>
        <v>0</v>
      </c>
      <c r="AX30" s="61"/>
      <c r="AY30" s="61"/>
      <c r="AZ30" s="61"/>
      <c r="BA30" s="45" t="n">
        <f aca="false">((M30*0.15)+(T30*0.05)+(V30*0.15)+(Y30*0.15)+(AB30*0.15)+(AI30*0.05)+(AM30*0.1)+(AT30*0.1)+(AW30*0.1)*100)</f>
        <v>0</v>
      </c>
      <c r="BB30" s="61"/>
      <c r="BC30" s="61"/>
      <c r="BD30" s="62"/>
    </row>
    <row r="31" s="63" customFormat="true" ht="15.75" hidden="false" customHeight="false" outlineLevel="0" collapsed="false">
      <c r="A31" s="88"/>
      <c r="B31" s="88"/>
      <c r="C31" s="88"/>
      <c r="D31" s="88"/>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row>
    <row r="32" s="63" customFormat="true" ht="15.75" hidden="false" customHeight="false" outlineLevel="0" collapsed="false">
      <c r="A32" s="88"/>
      <c r="B32" s="88"/>
      <c r="C32" s="88"/>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row>
    <row r="33" s="63" customFormat="true" ht="15.75" hidden="false" customHeight="false" outlineLevel="0" collapsed="false">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row>
    <row r="34" s="63" customFormat="true" ht="15.75" hidden="false" customHeight="false" outlineLevel="0" collapsed="false">
      <c r="A34" s="88"/>
      <c r="B34" s="88"/>
      <c r="C34" s="88"/>
      <c r="D34" s="88"/>
      <c r="E34" s="88"/>
      <c r="F34" s="88"/>
      <c r="G34" s="88"/>
      <c r="H34" s="88"/>
      <c r="I34" s="88"/>
      <c r="J34" s="88"/>
      <c r="K34" s="88"/>
      <c r="L34" s="88"/>
      <c r="M34" s="88"/>
      <c r="N34" s="88"/>
      <c r="O34" s="88"/>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row>
    <row r="35" s="63" customFormat="true" ht="15.75" hidden="false" customHeight="false" outlineLevel="0" collapsed="false">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row>
    <row r="36" s="63" customFormat="true" ht="15.75" hidden="false" customHeight="false" outlineLevel="0" collapsed="false">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row>
    <row r="37" s="63" customFormat="true" ht="15.75" hidden="false" customHeight="false" outlineLevel="0" collapsed="false">
      <c r="A37" s="88"/>
      <c r="B37" s="88"/>
      <c r="C37" s="88"/>
      <c r="D37" s="88"/>
      <c r="E37" s="88"/>
      <c r="F37" s="88"/>
      <c r="G37" s="88"/>
      <c r="H37" s="88"/>
      <c r="I37" s="88"/>
      <c r="J37" s="88"/>
      <c r="K37" s="88"/>
      <c r="L37" s="88"/>
      <c r="M37" s="88"/>
      <c r="N37" s="88"/>
      <c r="O37" s="88"/>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row>
    <row r="38" s="63" customFormat="true" ht="15.75" hidden="false" customHeight="false" outlineLevel="0" collapsed="false">
      <c r="A38" s="88"/>
      <c r="B38" s="88"/>
      <c r="C38" s="88"/>
      <c r="D38" s="88"/>
      <c r="E38" s="88"/>
      <c r="F38" s="88"/>
      <c r="G38" s="88"/>
      <c r="H38" s="88"/>
      <c r="I38" s="88"/>
      <c r="J38" s="88"/>
      <c r="K38" s="88"/>
      <c r="L38" s="88"/>
      <c r="M38" s="88"/>
      <c r="N38" s="88"/>
      <c r="O38" s="88"/>
      <c r="P38" s="88"/>
      <c r="Q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row>
    <row r="39" s="63" customFormat="true" ht="15.75" hidden="false" customHeight="false" outlineLevel="0" collapsed="false">
      <c r="A39" s="88"/>
      <c r="B39" s="88"/>
      <c r="C39" s="88"/>
      <c r="D39" s="88"/>
      <c r="E39" s="88"/>
      <c r="F39" s="88"/>
      <c r="G39" s="88"/>
      <c r="H39" s="88"/>
      <c r="I39" s="88"/>
      <c r="J39" s="88"/>
      <c r="K39" s="88"/>
      <c r="L39" s="88"/>
      <c r="M39" s="88"/>
      <c r="N39" s="88"/>
      <c r="O39" s="88"/>
      <c r="P39" s="88"/>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row>
    <row r="40" s="63" customFormat="true" ht="15.75" hidden="false" customHeight="false" outlineLevel="0" collapsed="false">
      <c r="A40" s="88"/>
      <c r="B40" s="88"/>
      <c r="C40" s="88"/>
      <c r="D40" s="88"/>
      <c r="E40" s="88"/>
      <c r="F40" s="88"/>
      <c r="G40" s="88"/>
      <c r="H40" s="88"/>
      <c r="I40" s="88"/>
      <c r="J40" s="88"/>
      <c r="K40" s="88"/>
      <c r="L40" s="88"/>
      <c r="M40" s="88"/>
      <c r="N40" s="88"/>
      <c r="O40" s="88"/>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row>
    <row r="41" s="63" customFormat="true" ht="15.75" hidden="false" customHeight="false" outlineLevel="0" collapsed="false">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row>
    <row r="42" s="63" customFormat="true" ht="15.75" hidden="false" customHeight="false" outlineLevel="0" collapsed="false">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row>
    <row r="43" s="63" customFormat="true" ht="15.75" hidden="false" customHeight="false" outlineLevel="0" collapsed="false">
      <c r="A43" s="88"/>
      <c r="B43" s="88"/>
      <c r="C43" s="88"/>
      <c r="D43" s="88"/>
      <c r="E43" s="88"/>
      <c r="F43" s="88"/>
      <c r="G43" s="88"/>
      <c r="H43" s="88"/>
      <c r="I43" s="88"/>
      <c r="J43" s="88"/>
      <c r="K43" s="88"/>
      <c r="L43" s="88"/>
      <c r="M43" s="88"/>
      <c r="N43" s="88"/>
      <c r="O43" s="88"/>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row>
    <row r="44" s="63" customFormat="true" ht="15.75" hidden="false" customHeight="false" outlineLevel="0" collapsed="false">
      <c r="A44" s="88"/>
      <c r="B44" s="88"/>
      <c r="C44" s="88"/>
      <c r="D44" s="88"/>
      <c r="E44" s="88"/>
      <c r="F44" s="88"/>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row>
    <row r="45" s="63" customFormat="true" ht="15.75" hidden="false" customHeight="false" outlineLevel="0" collapsed="false">
      <c r="A45" s="8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row>
    <row r="46" s="63" customFormat="true" ht="15.75" hidden="false" customHeight="false" outlineLevel="0" collapsed="false">
      <c r="A46" s="88"/>
      <c r="B46" s="88"/>
      <c r="C46" s="88"/>
      <c r="D46" s="88"/>
      <c r="E46" s="88"/>
      <c r="F46" s="88"/>
      <c r="G46" s="88"/>
      <c r="H46" s="88"/>
      <c r="I46" s="88"/>
      <c r="J46" s="88"/>
      <c r="K46" s="88"/>
      <c r="L46" s="88"/>
      <c r="M46" s="88"/>
      <c r="N46" s="88"/>
      <c r="O46" s="88"/>
      <c r="P46" s="88"/>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row>
    <row r="47" s="36" customFormat="true" ht="15.75" hidden="false" customHeight="false" outlineLevel="0" collapsed="false">
      <c r="A47" s="89"/>
      <c r="B47" s="89"/>
      <c r="C47" s="89"/>
      <c r="D47" s="89"/>
      <c r="E47" s="89"/>
      <c r="F47" s="89"/>
      <c r="G47" s="89"/>
      <c r="H47" s="89"/>
      <c r="I47" s="89"/>
      <c r="J47" s="89"/>
      <c r="K47" s="89"/>
      <c r="L47" s="89"/>
      <c r="M47" s="89"/>
      <c r="N47" s="89"/>
      <c r="O47" s="89"/>
      <c r="P47" s="89"/>
      <c r="Q47" s="89"/>
      <c r="R47" s="89"/>
      <c r="S47" s="89"/>
      <c r="T47" s="89"/>
      <c r="U47" s="89"/>
      <c r="V47" s="89"/>
      <c r="W47" s="89"/>
      <c r="X47" s="89"/>
      <c r="Y47" s="89"/>
      <c r="Z47" s="89"/>
      <c r="AA47" s="89"/>
      <c r="AB47" s="89"/>
      <c r="AC47" s="89"/>
      <c r="AD47" s="89"/>
      <c r="AE47" s="89"/>
      <c r="AF47" s="89"/>
      <c r="AG47" s="89"/>
      <c r="AH47" s="89"/>
      <c r="AI47" s="89"/>
      <c r="AJ47" s="89"/>
      <c r="AK47" s="89"/>
      <c r="AL47" s="89"/>
      <c r="AM47" s="89"/>
      <c r="AN47" s="89"/>
      <c r="AO47" s="89"/>
      <c r="AP47" s="89"/>
      <c r="AQ47" s="89"/>
      <c r="AR47" s="89"/>
      <c r="AS47" s="89"/>
      <c r="AT47" s="89"/>
      <c r="AU47" s="89"/>
      <c r="AV47" s="89"/>
      <c r="AW47" s="89"/>
      <c r="AX47" s="89"/>
    </row>
    <row r="48" s="36" customFormat="true" ht="15.75" hidden="false" customHeight="false" outlineLevel="0" collapsed="false">
      <c r="A48" s="89"/>
      <c r="B48" s="89"/>
      <c r="C48" s="89"/>
      <c r="D48" s="89"/>
      <c r="E48" s="89"/>
      <c r="F48" s="89"/>
      <c r="G48" s="89"/>
      <c r="H48" s="89"/>
      <c r="I48" s="89"/>
      <c r="J48" s="89"/>
      <c r="K48" s="89"/>
      <c r="L48" s="89"/>
      <c r="M48" s="89"/>
      <c r="N48" s="89"/>
      <c r="O48" s="89"/>
      <c r="P48" s="89"/>
      <c r="Q48" s="89"/>
      <c r="R48" s="89"/>
      <c r="S48" s="89"/>
      <c r="T48" s="89"/>
      <c r="U48" s="89"/>
      <c r="V48" s="89"/>
      <c r="W48" s="89"/>
      <c r="X48" s="89"/>
      <c r="Y48" s="89"/>
      <c r="Z48" s="89"/>
      <c r="AA48" s="89"/>
      <c r="AB48" s="89"/>
      <c r="AC48" s="89"/>
      <c r="AD48" s="89"/>
      <c r="AE48" s="89"/>
      <c r="AF48" s="89"/>
      <c r="AG48" s="89"/>
      <c r="AH48" s="89"/>
      <c r="AI48" s="89"/>
      <c r="AJ48" s="89"/>
      <c r="AK48" s="89"/>
      <c r="AL48" s="89"/>
      <c r="AM48" s="89"/>
      <c r="AN48" s="89"/>
      <c r="AO48" s="89"/>
      <c r="AP48" s="89"/>
      <c r="AQ48" s="89"/>
      <c r="AR48" s="89"/>
      <c r="AS48" s="89"/>
      <c r="AT48" s="89"/>
      <c r="AU48" s="89"/>
      <c r="AV48" s="89"/>
      <c r="AW48" s="89"/>
      <c r="AX48" s="89"/>
    </row>
    <row r="49" s="36" customFormat="true" ht="15.75" hidden="false" customHeight="false" outlineLevel="0" collapsed="false">
      <c r="A49" s="89"/>
      <c r="B49" s="89"/>
      <c r="C49" s="89"/>
      <c r="D49" s="89"/>
      <c r="E49" s="89"/>
      <c r="F49" s="89"/>
      <c r="G49" s="89"/>
      <c r="H49" s="89"/>
      <c r="I49" s="89"/>
      <c r="J49" s="89"/>
      <c r="K49" s="89"/>
      <c r="L49" s="89"/>
      <c r="M49" s="89"/>
      <c r="N49" s="89"/>
      <c r="O49" s="89"/>
      <c r="P49" s="89"/>
      <c r="Q49" s="89"/>
      <c r="R49" s="89"/>
      <c r="S49" s="89"/>
      <c r="T49" s="89"/>
      <c r="U49" s="89"/>
      <c r="V49" s="89"/>
      <c r="W49" s="89"/>
      <c r="X49" s="89"/>
      <c r="Y49" s="89"/>
      <c r="Z49" s="89"/>
      <c r="AA49" s="89"/>
      <c r="AB49" s="89"/>
      <c r="AC49" s="89"/>
      <c r="AD49" s="89"/>
      <c r="AE49" s="89"/>
      <c r="AF49" s="89"/>
      <c r="AG49" s="89"/>
      <c r="AH49" s="89"/>
      <c r="AI49" s="89"/>
      <c r="AJ49" s="89"/>
      <c r="AK49" s="89"/>
      <c r="AL49" s="89"/>
      <c r="AM49" s="89"/>
      <c r="AN49" s="89"/>
      <c r="AO49" s="89"/>
      <c r="AP49" s="89"/>
      <c r="AQ49" s="89"/>
      <c r="AR49" s="89"/>
      <c r="AS49" s="89"/>
      <c r="AT49" s="89"/>
      <c r="AU49" s="89"/>
      <c r="AV49" s="89"/>
      <c r="AW49" s="89"/>
      <c r="AX49" s="89"/>
    </row>
    <row r="50" s="36" customFormat="true" ht="15.75" hidden="false" customHeight="false" outlineLevel="0" collapsed="false">
      <c r="A50" s="89"/>
      <c r="B50" s="89"/>
      <c r="C50" s="89"/>
      <c r="D50" s="89"/>
      <c r="E50" s="89"/>
      <c r="F50" s="89"/>
      <c r="G50" s="89"/>
      <c r="H50" s="89"/>
      <c r="I50" s="89"/>
      <c r="J50" s="89"/>
      <c r="K50" s="89"/>
      <c r="L50" s="89"/>
      <c r="M50" s="89"/>
      <c r="N50" s="89"/>
      <c r="O50" s="89"/>
      <c r="P50" s="89"/>
      <c r="Q50" s="89"/>
      <c r="R50" s="89"/>
      <c r="S50" s="89"/>
      <c r="T50" s="89"/>
      <c r="U50" s="89"/>
      <c r="V50" s="89"/>
      <c r="W50" s="89"/>
      <c r="X50" s="89"/>
      <c r="Y50" s="89"/>
      <c r="Z50" s="89"/>
      <c r="AA50" s="89"/>
      <c r="AB50" s="89"/>
      <c r="AC50" s="89"/>
      <c r="AD50" s="89"/>
      <c r="AE50" s="89"/>
      <c r="AF50" s="89"/>
      <c r="AG50" s="89"/>
      <c r="AH50" s="89"/>
      <c r="AI50" s="89"/>
      <c r="AJ50" s="89"/>
      <c r="AK50" s="89"/>
      <c r="AL50" s="89"/>
      <c r="AM50" s="89"/>
      <c r="AN50" s="89"/>
      <c r="AO50" s="89"/>
      <c r="AP50" s="89"/>
      <c r="AQ50" s="89"/>
      <c r="AR50" s="89"/>
      <c r="AS50" s="89"/>
      <c r="AT50" s="89"/>
      <c r="AU50" s="89"/>
      <c r="AV50" s="89"/>
      <c r="AW50" s="89"/>
      <c r="AX50" s="89"/>
    </row>
    <row r="51" s="36" customFormat="true" ht="15.75" hidden="false" customHeight="false" outlineLevel="0" collapsed="false">
      <c r="A51" s="89"/>
      <c r="B51" s="89"/>
      <c r="C51" s="89"/>
      <c r="D51" s="89"/>
      <c r="E51" s="89"/>
      <c r="F51" s="89"/>
      <c r="G51" s="89"/>
      <c r="H51" s="89"/>
      <c r="I51" s="89"/>
      <c r="J51" s="89"/>
      <c r="K51" s="89"/>
      <c r="L51" s="89"/>
      <c r="M51" s="89"/>
      <c r="N51" s="89"/>
      <c r="O51" s="89"/>
      <c r="P51" s="89"/>
      <c r="Q51" s="89"/>
      <c r="R51" s="89"/>
      <c r="S51" s="89"/>
      <c r="T51" s="89"/>
      <c r="U51" s="89"/>
      <c r="V51" s="89"/>
      <c r="W51" s="89"/>
      <c r="X51" s="89"/>
      <c r="Y51" s="89"/>
      <c r="Z51" s="89"/>
      <c r="AA51" s="89"/>
      <c r="AB51" s="89"/>
      <c r="AC51" s="89"/>
      <c r="AD51" s="89"/>
      <c r="AE51" s="89"/>
      <c r="AF51" s="89"/>
      <c r="AG51" s="89"/>
      <c r="AH51" s="89"/>
      <c r="AI51" s="89"/>
      <c r="AJ51" s="89"/>
      <c r="AK51" s="89"/>
      <c r="AL51" s="89"/>
      <c r="AM51" s="89"/>
      <c r="AN51" s="89"/>
      <c r="AO51" s="89"/>
      <c r="AP51" s="89"/>
      <c r="AQ51" s="89"/>
      <c r="AR51" s="89"/>
      <c r="AS51" s="89"/>
      <c r="AT51" s="89"/>
      <c r="AU51" s="89"/>
      <c r="AV51" s="89"/>
      <c r="AW51" s="89"/>
      <c r="AX51" s="89"/>
    </row>
    <row r="52" s="36" customFormat="true" ht="15.75" hidden="false" customHeight="false" outlineLevel="0" collapsed="false">
      <c r="A52" s="89"/>
      <c r="B52" s="89"/>
      <c r="C52" s="89"/>
      <c r="D52" s="89"/>
      <c r="E52" s="89"/>
      <c r="F52" s="89"/>
      <c r="G52" s="89"/>
      <c r="H52" s="89"/>
      <c r="I52" s="89"/>
      <c r="J52" s="89"/>
      <c r="K52" s="89"/>
      <c r="L52" s="89"/>
      <c r="M52" s="89"/>
      <c r="N52" s="89"/>
      <c r="O52" s="89"/>
      <c r="P52" s="89"/>
      <c r="Q52" s="89"/>
      <c r="R52" s="89"/>
      <c r="S52" s="89"/>
      <c r="T52" s="89"/>
      <c r="U52" s="89"/>
      <c r="V52" s="89"/>
      <c r="W52" s="89"/>
      <c r="X52" s="89"/>
      <c r="Y52" s="89"/>
      <c r="Z52" s="89"/>
      <c r="AA52" s="89"/>
      <c r="AB52" s="89"/>
      <c r="AC52" s="89"/>
      <c r="AD52" s="89"/>
      <c r="AE52" s="89"/>
      <c r="AF52" s="89"/>
      <c r="AG52" s="89"/>
      <c r="AH52" s="89"/>
      <c r="AI52" s="89"/>
      <c r="AJ52" s="89"/>
      <c r="AK52" s="89"/>
      <c r="AL52" s="89"/>
      <c r="AM52" s="89"/>
      <c r="AN52" s="89"/>
      <c r="AO52" s="89"/>
      <c r="AP52" s="89"/>
      <c r="AQ52" s="89"/>
      <c r="AR52" s="89"/>
      <c r="AS52" s="89"/>
      <c r="AT52" s="89"/>
      <c r="AU52" s="89"/>
      <c r="AV52" s="89"/>
      <c r="AW52" s="89"/>
      <c r="AX52" s="89"/>
    </row>
    <row r="53" s="36" customFormat="true" ht="15.75" hidden="false" customHeight="false" outlineLevel="0" collapsed="false">
      <c r="A53" s="89"/>
      <c r="B53" s="89"/>
      <c r="C53" s="89"/>
      <c r="D53" s="89"/>
      <c r="E53" s="89"/>
      <c r="F53" s="89"/>
      <c r="G53" s="89"/>
      <c r="H53" s="89"/>
      <c r="I53" s="89"/>
      <c r="J53" s="89"/>
      <c r="K53" s="89"/>
      <c r="L53" s="89"/>
      <c r="M53" s="89"/>
      <c r="N53" s="89"/>
      <c r="O53" s="89"/>
      <c r="P53" s="89"/>
      <c r="Q53" s="89"/>
      <c r="R53" s="89"/>
      <c r="S53" s="89"/>
      <c r="T53" s="89"/>
      <c r="U53" s="89"/>
      <c r="V53" s="89"/>
      <c r="W53" s="89"/>
      <c r="X53" s="89"/>
      <c r="Y53" s="89"/>
      <c r="Z53" s="89"/>
      <c r="AA53" s="89"/>
      <c r="AB53" s="89"/>
      <c r="AC53" s="89"/>
      <c r="AD53" s="89"/>
      <c r="AE53" s="89"/>
      <c r="AF53" s="89"/>
      <c r="AG53" s="89"/>
      <c r="AH53" s="89"/>
      <c r="AI53" s="89"/>
      <c r="AJ53" s="89"/>
      <c r="AK53" s="89"/>
      <c r="AL53" s="89"/>
      <c r="AM53" s="89"/>
      <c r="AN53" s="89"/>
      <c r="AO53" s="89"/>
      <c r="AP53" s="89"/>
      <c r="AQ53" s="89"/>
      <c r="AR53" s="89"/>
      <c r="AS53" s="89"/>
      <c r="AT53" s="89"/>
      <c r="AU53" s="89"/>
      <c r="AV53" s="89"/>
      <c r="AW53" s="89"/>
      <c r="AX53" s="89"/>
    </row>
    <row r="54" s="36" customFormat="true" ht="15.75" hidden="false" customHeight="false" outlineLevel="0" collapsed="false">
      <c r="A54" s="89"/>
      <c r="B54" s="89"/>
      <c r="C54" s="89"/>
      <c r="D54" s="89"/>
      <c r="E54" s="89"/>
      <c r="F54" s="89"/>
      <c r="G54" s="89"/>
      <c r="H54" s="89"/>
      <c r="I54" s="89"/>
      <c r="J54" s="89"/>
      <c r="K54" s="89"/>
      <c r="L54" s="89"/>
      <c r="M54" s="89"/>
      <c r="N54" s="89"/>
      <c r="O54" s="89"/>
      <c r="P54" s="89"/>
      <c r="Q54" s="89"/>
      <c r="R54" s="89"/>
      <c r="S54" s="89"/>
      <c r="T54" s="89"/>
      <c r="U54" s="89"/>
      <c r="V54" s="89"/>
      <c r="W54" s="89"/>
      <c r="X54" s="89"/>
      <c r="Y54" s="89"/>
      <c r="Z54" s="89"/>
      <c r="AA54" s="89"/>
      <c r="AB54" s="89"/>
      <c r="AC54" s="89"/>
      <c r="AD54" s="89"/>
      <c r="AE54" s="89"/>
      <c r="AF54" s="89"/>
      <c r="AG54" s="89"/>
      <c r="AH54" s="89"/>
      <c r="AI54" s="89"/>
      <c r="AJ54" s="89"/>
      <c r="AK54" s="89"/>
      <c r="AL54" s="89"/>
      <c r="AM54" s="89"/>
      <c r="AN54" s="89"/>
      <c r="AO54" s="89"/>
      <c r="AP54" s="89"/>
      <c r="AQ54" s="89"/>
      <c r="AR54" s="89"/>
      <c r="AS54" s="89"/>
      <c r="AT54" s="89"/>
      <c r="AU54" s="89"/>
      <c r="AV54" s="89"/>
      <c r="AW54" s="89"/>
      <c r="AX54" s="89"/>
    </row>
    <row r="55" s="36" customFormat="true" ht="15.75" hidden="false" customHeight="false" outlineLevel="0" collapsed="false">
      <c r="A55" s="89"/>
      <c r="B55" s="89"/>
      <c r="C55" s="89"/>
      <c r="D55" s="89"/>
      <c r="E55" s="89"/>
      <c r="F55" s="89"/>
      <c r="G55" s="89"/>
      <c r="H55" s="89"/>
      <c r="I55" s="89"/>
      <c r="J55" s="89"/>
      <c r="K55" s="89"/>
      <c r="L55" s="89"/>
      <c r="M55" s="89"/>
      <c r="N55" s="89"/>
      <c r="O55" s="89"/>
      <c r="P55" s="89"/>
      <c r="Q55" s="89"/>
      <c r="R55" s="89"/>
      <c r="S55" s="89"/>
      <c r="T55" s="89"/>
      <c r="U55" s="89"/>
      <c r="V55" s="89"/>
      <c r="W55" s="89"/>
      <c r="X55" s="89"/>
      <c r="Y55" s="89"/>
      <c r="Z55" s="89"/>
      <c r="AA55" s="89"/>
      <c r="AB55" s="89"/>
      <c r="AC55" s="89"/>
      <c r="AD55" s="89"/>
      <c r="AE55" s="89"/>
      <c r="AF55" s="89"/>
      <c r="AG55" s="89"/>
      <c r="AH55" s="89"/>
      <c r="AI55" s="89"/>
      <c r="AJ55" s="89"/>
      <c r="AK55" s="89"/>
      <c r="AL55" s="89"/>
      <c r="AM55" s="89"/>
      <c r="AN55" s="89"/>
      <c r="AO55" s="89"/>
      <c r="AP55" s="89"/>
      <c r="AQ55" s="89"/>
      <c r="AR55" s="89"/>
      <c r="AS55" s="89"/>
      <c r="AT55" s="89"/>
      <c r="AU55" s="89"/>
      <c r="AV55" s="89"/>
      <c r="AW55" s="89"/>
      <c r="AX55" s="89"/>
    </row>
    <row r="56" s="36" customFormat="true" ht="15.75" hidden="false" customHeight="false" outlineLevel="0" collapsed="false">
      <c r="A56" s="89"/>
      <c r="B56" s="89"/>
      <c r="C56" s="89"/>
      <c r="D56" s="89"/>
      <c r="E56" s="89"/>
      <c r="F56" s="89"/>
      <c r="G56" s="89"/>
      <c r="H56" s="89"/>
      <c r="I56" s="89"/>
      <c r="J56" s="89"/>
      <c r="K56" s="89"/>
      <c r="L56" s="89"/>
      <c r="M56" s="89"/>
      <c r="N56" s="89"/>
      <c r="O56" s="89"/>
      <c r="P56" s="89"/>
      <c r="Q56" s="89"/>
      <c r="R56" s="89"/>
      <c r="S56" s="89"/>
      <c r="T56" s="89"/>
      <c r="U56" s="89"/>
      <c r="V56" s="89"/>
      <c r="W56" s="89"/>
      <c r="X56" s="89"/>
      <c r="Y56" s="89"/>
      <c r="Z56" s="89"/>
      <c r="AA56" s="89"/>
      <c r="AB56" s="89"/>
      <c r="AC56" s="89"/>
      <c r="AD56" s="89"/>
      <c r="AE56" s="89"/>
      <c r="AF56" s="89"/>
      <c r="AG56" s="89"/>
      <c r="AH56" s="89"/>
      <c r="AI56" s="89"/>
      <c r="AJ56" s="89"/>
      <c r="AK56" s="89"/>
      <c r="AL56" s="89"/>
      <c r="AM56" s="89"/>
      <c r="AN56" s="89"/>
      <c r="AO56" s="89"/>
      <c r="AP56" s="89"/>
      <c r="AQ56" s="89"/>
      <c r="AR56" s="89"/>
      <c r="AS56" s="89"/>
      <c r="AT56" s="89"/>
      <c r="AU56" s="89"/>
      <c r="AV56" s="89"/>
      <c r="AW56" s="89"/>
      <c r="AX56" s="89"/>
    </row>
    <row r="57" s="36" customFormat="true" ht="15.75" hidden="false" customHeight="false" outlineLevel="0" collapsed="false">
      <c r="A57" s="89"/>
      <c r="B57" s="89"/>
      <c r="C57" s="89"/>
      <c r="D57" s="89"/>
      <c r="E57" s="89"/>
      <c r="F57" s="89"/>
      <c r="G57" s="89"/>
      <c r="H57" s="89"/>
      <c r="I57" s="89"/>
      <c r="J57" s="89"/>
      <c r="K57" s="89"/>
      <c r="L57" s="89"/>
      <c r="M57" s="89"/>
      <c r="N57" s="89"/>
      <c r="O57" s="89"/>
      <c r="P57" s="89"/>
      <c r="Q57" s="89"/>
      <c r="R57" s="89"/>
      <c r="S57" s="89"/>
      <c r="T57" s="89"/>
      <c r="U57" s="89"/>
      <c r="V57" s="89"/>
      <c r="W57" s="89"/>
      <c r="X57" s="89"/>
      <c r="Y57" s="89"/>
      <c r="Z57" s="89"/>
      <c r="AA57" s="89"/>
      <c r="AB57" s="89"/>
      <c r="AC57" s="89"/>
      <c r="AD57" s="89"/>
      <c r="AE57" s="89"/>
      <c r="AF57" s="89"/>
      <c r="AG57" s="89"/>
      <c r="AH57" s="89"/>
      <c r="AI57" s="89"/>
      <c r="AJ57" s="89"/>
      <c r="AK57" s="89"/>
      <c r="AL57" s="89"/>
      <c r="AM57" s="89"/>
      <c r="AN57" s="89"/>
      <c r="AO57" s="89"/>
      <c r="AP57" s="89"/>
      <c r="AQ57" s="89"/>
      <c r="AR57" s="89"/>
      <c r="AS57" s="89"/>
      <c r="AT57" s="89"/>
      <c r="AU57" s="89"/>
      <c r="AV57" s="89"/>
      <c r="AW57" s="89"/>
      <c r="AX57" s="89"/>
    </row>
    <row r="58" s="36" customFormat="true" ht="15.75" hidden="false" customHeight="false" outlineLevel="0" collapsed="false">
      <c r="A58" s="89"/>
      <c r="B58" s="89"/>
      <c r="C58" s="89"/>
      <c r="D58" s="89"/>
      <c r="E58" s="89"/>
      <c r="F58" s="89"/>
      <c r="G58" s="89"/>
      <c r="H58" s="89"/>
      <c r="I58" s="89"/>
      <c r="J58" s="89"/>
      <c r="K58" s="89"/>
      <c r="L58" s="89"/>
      <c r="M58" s="89"/>
      <c r="N58" s="89"/>
      <c r="O58" s="89"/>
      <c r="P58" s="89"/>
      <c r="Q58" s="89"/>
      <c r="R58" s="89"/>
      <c r="S58" s="89"/>
      <c r="T58" s="89"/>
      <c r="U58" s="89"/>
      <c r="V58" s="89"/>
      <c r="W58" s="89"/>
      <c r="X58" s="89"/>
      <c r="Y58" s="89"/>
      <c r="Z58" s="89"/>
      <c r="AA58" s="89"/>
      <c r="AB58" s="89"/>
      <c r="AC58" s="89"/>
      <c r="AD58" s="89"/>
      <c r="AE58" s="89"/>
      <c r="AF58" s="89"/>
      <c r="AG58" s="89"/>
      <c r="AH58" s="89"/>
      <c r="AI58" s="89"/>
      <c r="AJ58" s="89"/>
      <c r="AK58" s="89"/>
      <c r="AL58" s="89"/>
      <c r="AM58" s="89"/>
      <c r="AN58" s="89"/>
      <c r="AO58" s="89"/>
      <c r="AP58" s="89"/>
      <c r="AQ58" s="89"/>
      <c r="AR58" s="89"/>
      <c r="AS58" s="89"/>
      <c r="AT58" s="89"/>
      <c r="AU58" s="89"/>
      <c r="AV58" s="89"/>
      <c r="AW58" s="89"/>
      <c r="AX58" s="89"/>
    </row>
    <row r="59" s="36" customFormat="true" ht="15.75" hidden="false" customHeight="false" outlineLevel="0" collapsed="false">
      <c r="A59" s="89"/>
      <c r="B59" s="89"/>
      <c r="C59" s="89"/>
      <c r="D59" s="89"/>
      <c r="E59" s="89"/>
      <c r="F59" s="89"/>
      <c r="G59" s="89"/>
      <c r="H59" s="89"/>
      <c r="I59" s="89"/>
      <c r="J59" s="89"/>
      <c r="K59" s="89"/>
      <c r="L59" s="89"/>
      <c r="M59" s="89"/>
      <c r="N59" s="89"/>
      <c r="O59" s="89"/>
      <c r="P59" s="89"/>
      <c r="Q59" s="89"/>
      <c r="R59" s="89"/>
      <c r="S59" s="89"/>
      <c r="T59" s="89"/>
      <c r="U59" s="89"/>
      <c r="V59" s="89"/>
      <c r="W59" s="89"/>
      <c r="X59" s="89"/>
      <c r="Y59" s="89"/>
      <c r="Z59" s="89"/>
      <c r="AA59" s="89"/>
      <c r="AB59" s="89"/>
      <c r="AC59" s="89"/>
      <c r="AD59" s="89"/>
      <c r="AE59" s="89"/>
      <c r="AF59" s="89"/>
      <c r="AG59" s="89"/>
      <c r="AH59" s="89"/>
      <c r="AI59" s="89"/>
      <c r="AJ59" s="89"/>
      <c r="AK59" s="89"/>
      <c r="AL59" s="89"/>
      <c r="AM59" s="89"/>
      <c r="AN59" s="89"/>
      <c r="AO59" s="89"/>
      <c r="AP59" s="89"/>
      <c r="AQ59" s="89"/>
      <c r="AR59" s="89"/>
      <c r="AS59" s="89"/>
      <c r="AT59" s="89"/>
      <c r="AU59" s="89"/>
      <c r="AV59" s="89"/>
      <c r="AW59" s="89"/>
      <c r="AX59" s="89"/>
    </row>
    <row r="60" s="36" customFormat="true" ht="15.75" hidden="false" customHeight="false" outlineLevel="0" collapsed="false">
      <c r="A60" s="89"/>
      <c r="B60" s="89"/>
      <c r="C60" s="89"/>
      <c r="D60" s="89"/>
      <c r="E60" s="89"/>
      <c r="F60" s="89"/>
      <c r="G60" s="89"/>
      <c r="H60" s="89"/>
      <c r="I60" s="89"/>
      <c r="J60" s="89"/>
      <c r="K60" s="89"/>
      <c r="L60" s="89"/>
      <c r="M60" s="89"/>
      <c r="N60" s="89"/>
      <c r="O60" s="89"/>
      <c r="P60" s="89"/>
      <c r="Q60" s="89"/>
      <c r="R60" s="89"/>
      <c r="S60" s="89"/>
      <c r="T60" s="89"/>
      <c r="U60" s="89"/>
      <c r="V60" s="89"/>
      <c r="W60" s="89"/>
      <c r="X60" s="89"/>
      <c r="Y60" s="89"/>
      <c r="Z60" s="89"/>
      <c r="AA60" s="89"/>
      <c r="AB60" s="89"/>
      <c r="AC60" s="89"/>
      <c r="AD60" s="89"/>
      <c r="AE60" s="89"/>
      <c r="AF60" s="89"/>
      <c r="AG60" s="89"/>
      <c r="AH60" s="89"/>
      <c r="AI60" s="89"/>
      <c r="AJ60" s="89"/>
      <c r="AK60" s="89"/>
      <c r="AL60" s="89"/>
      <c r="AM60" s="89"/>
      <c r="AN60" s="89"/>
      <c r="AO60" s="89"/>
      <c r="AP60" s="89"/>
      <c r="AQ60" s="89"/>
      <c r="AR60" s="89"/>
      <c r="AS60" s="89"/>
      <c r="AT60" s="89"/>
      <c r="AU60" s="89"/>
      <c r="AV60" s="89"/>
      <c r="AW60" s="89"/>
      <c r="AX60" s="89"/>
    </row>
    <row r="61" s="36" customFormat="true" ht="15.75" hidden="false" customHeight="false" outlineLevel="0" collapsed="false">
      <c r="A61" s="89"/>
      <c r="B61" s="89"/>
      <c r="C61" s="89"/>
      <c r="D61" s="89"/>
      <c r="E61" s="89"/>
      <c r="F61" s="89"/>
      <c r="G61" s="89"/>
      <c r="H61" s="89"/>
      <c r="I61" s="89"/>
      <c r="J61" s="89"/>
      <c r="K61" s="89"/>
      <c r="L61" s="89"/>
      <c r="M61" s="89"/>
      <c r="N61" s="89"/>
      <c r="O61" s="89"/>
      <c r="P61" s="89"/>
      <c r="Q61" s="89"/>
      <c r="R61" s="89"/>
      <c r="S61" s="89"/>
      <c r="T61" s="89"/>
      <c r="U61" s="89"/>
      <c r="V61" s="89"/>
      <c r="W61" s="89"/>
      <c r="X61" s="89"/>
      <c r="Y61" s="89"/>
      <c r="Z61" s="89"/>
      <c r="AA61" s="89"/>
      <c r="AB61" s="89"/>
      <c r="AC61" s="89"/>
      <c r="AD61" s="89"/>
      <c r="AE61" s="89"/>
      <c r="AF61" s="89"/>
      <c r="AG61" s="89"/>
      <c r="AH61" s="89"/>
      <c r="AI61" s="89"/>
      <c r="AJ61" s="89"/>
      <c r="AK61" s="89"/>
      <c r="AL61" s="89"/>
      <c r="AM61" s="89"/>
      <c r="AN61" s="89"/>
      <c r="AO61" s="89"/>
      <c r="AP61" s="89"/>
      <c r="AQ61" s="89"/>
      <c r="AR61" s="89"/>
      <c r="AS61" s="89"/>
      <c r="AT61" s="89"/>
      <c r="AU61" s="89"/>
      <c r="AV61" s="89"/>
      <c r="AW61" s="89"/>
      <c r="AX61" s="89"/>
    </row>
    <row r="62" s="36" customFormat="true" ht="15.75" hidden="false" customHeight="false" outlineLevel="0" collapsed="false">
      <c r="A62" s="89"/>
      <c r="B62" s="89"/>
      <c r="C62" s="89"/>
      <c r="D62" s="89"/>
      <c r="E62" s="89"/>
      <c r="F62" s="89"/>
      <c r="G62" s="89"/>
      <c r="H62" s="89"/>
      <c r="I62" s="89"/>
      <c r="J62" s="89"/>
      <c r="K62" s="89"/>
      <c r="L62" s="89"/>
      <c r="M62" s="89"/>
      <c r="N62" s="89"/>
      <c r="O62" s="89"/>
      <c r="P62" s="89"/>
      <c r="Q62" s="89"/>
      <c r="R62" s="89"/>
      <c r="S62" s="89"/>
      <c r="T62" s="89"/>
      <c r="U62" s="89"/>
      <c r="V62" s="89"/>
      <c r="W62" s="89"/>
      <c r="X62" s="89"/>
      <c r="Y62" s="89"/>
      <c r="Z62" s="89"/>
      <c r="AA62" s="89"/>
      <c r="AB62" s="89"/>
      <c r="AC62" s="89"/>
      <c r="AD62" s="89"/>
      <c r="AE62" s="89"/>
      <c r="AF62" s="89"/>
      <c r="AG62" s="89"/>
      <c r="AH62" s="89"/>
      <c r="AI62" s="89"/>
      <c r="AJ62" s="89"/>
      <c r="AK62" s="89"/>
      <c r="AL62" s="89"/>
      <c r="AM62" s="89"/>
      <c r="AN62" s="89"/>
      <c r="AO62" s="89"/>
      <c r="AP62" s="89"/>
      <c r="AQ62" s="89"/>
      <c r="AR62" s="89"/>
      <c r="AS62" s="89"/>
      <c r="AT62" s="89"/>
      <c r="AU62" s="89"/>
      <c r="AV62" s="89"/>
      <c r="AW62" s="89"/>
      <c r="AX62" s="89"/>
    </row>
    <row r="63" s="36" customFormat="true" ht="15.75" hidden="false" customHeight="false" outlineLevel="0" collapsed="false">
      <c r="A63" s="89"/>
      <c r="B63" s="89"/>
      <c r="C63" s="89"/>
      <c r="D63" s="89"/>
      <c r="E63" s="89"/>
      <c r="F63" s="89"/>
      <c r="G63" s="89"/>
      <c r="H63" s="89"/>
      <c r="I63" s="89"/>
      <c r="J63" s="89"/>
      <c r="K63" s="89"/>
      <c r="L63" s="89"/>
      <c r="M63" s="89"/>
      <c r="N63" s="89"/>
      <c r="O63" s="89"/>
      <c r="P63" s="89"/>
      <c r="Q63" s="89"/>
      <c r="R63" s="89"/>
      <c r="S63" s="89"/>
      <c r="T63" s="89"/>
      <c r="U63" s="89"/>
      <c r="V63" s="89"/>
      <c r="W63" s="89"/>
      <c r="X63" s="89"/>
      <c r="Y63" s="89"/>
      <c r="Z63" s="89"/>
      <c r="AA63" s="89"/>
      <c r="AB63" s="89"/>
      <c r="AC63" s="89"/>
      <c r="AD63" s="89"/>
      <c r="AE63" s="89"/>
      <c r="AF63" s="89"/>
      <c r="AG63" s="89"/>
      <c r="AH63" s="89"/>
      <c r="AI63" s="89"/>
      <c r="AJ63" s="89"/>
      <c r="AK63" s="89"/>
      <c r="AL63" s="89"/>
      <c r="AM63" s="89"/>
      <c r="AN63" s="89"/>
      <c r="AO63" s="89"/>
      <c r="AP63" s="89"/>
      <c r="AQ63" s="89"/>
      <c r="AR63" s="89"/>
      <c r="AS63" s="89"/>
      <c r="AT63" s="89"/>
      <c r="AU63" s="89"/>
      <c r="AV63" s="89"/>
      <c r="AW63" s="89"/>
      <c r="AX63" s="89"/>
    </row>
    <row r="64" s="36" customFormat="true" ht="15.75" hidden="false" customHeight="false" outlineLevel="0" collapsed="false">
      <c r="A64" s="89"/>
      <c r="B64" s="89"/>
      <c r="C64" s="89"/>
      <c r="D64" s="89"/>
      <c r="E64" s="89"/>
      <c r="F64" s="89"/>
      <c r="G64" s="89"/>
      <c r="H64" s="89"/>
      <c r="I64" s="89"/>
      <c r="J64" s="89"/>
      <c r="K64" s="89"/>
      <c r="L64" s="89"/>
      <c r="M64" s="89"/>
      <c r="N64" s="89"/>
      <c r="O64" s="89"/>
      <c r="P64" s="89"/>
      <c r="Q64" s="89"/>
      <c r="R64" s="89"/>
      <c r="S64" s="89"/>
      <c r="T64" s="89"/>
      <c r="U64" s="89"/>
      <c r="V64" s="89"/>
      <c r="W64" s="89"/>
      <c r="X64" s="89"/>
      <c r="Y64" s="89"/>
      <c r="Z64" s="89"/>
      <c r="AA64" s="89"/>
      <c r="AB64" s="89"/>
      <c r="AC64" s="89"/>
      <c r="AD64" s="89"/>
      <c r="AE64" s="89"/>
      <c r="AF64" s="89"/>
      <c r="AG64" s="89"/>
      <c r="AH64" s="89"/>
      <c r="AI64" s="89"/>
      <c r="AJ64" s="89"/>
      <c r="AK64" s="89"/>
      <c r="AL64" s="89"/>
      <c r="AM64" s="89"/>
      <c r="AN64" s="89"/>
      <c r="AO64" s="89"/>
      <c r="AP64" s="89"/>
      <c r="AQ64" s="89"/>
      <c r="AR64" s="89"/>
      <c r="AS64" s="89"/>
      <c r="AT64" s="89"/>
      <c r="AU64" s="89"/>
      <c r="AV64" s="89"/>
      <c r="AW64" s="89"/>
      <c r="AX64" s="89"/>
    </row>
    <row r="65" s="36" customFormat="true" ht="15.75" hidden="false" customHeight="false" outlineLevel="0" collapsed="false">
      <c r="A65" s="89"/>
      <c r="B65" s="89"/>
      <c r="C65" s="89"/>
      <c r="D65" s="89"/>
      <c r="E65" s="89"/>
      <c r="F65" s="89"/>
      <c r="G65" s="89"/>
      <c r="H65" s="89"/>
      <c r="I65" s="89"/>
      <c r="J65" s="89"/>
      <c r="K65" s="89"/>
      <c r="L65" s="89"/>
      <c r="M65" s="89"/>
      <c r="N65" s="89"/>
      <c r="O65" s="89"/>
      <c r="P65" s="89"/>
      <c r="Q65" s="89"/>
      <c r="R65" s="89"/>
      <c r="S65" s="89"/>
      <c r="T65" s="89"/>
      <c r="U65" s="89"/>
      <c r="V65" s="89"/>
      <c r="W65" s="89"/>
      <c r="X65" s="89"/>
      <c r="Y65" s="89"/>
      <c r="Z65" s="89"/>
      <c r="AA65" s="89"/>
      <c r="AB65" s="89"/>
      <c r="AC65" s="89"/>
      <c r="AD65" s="89"/>
      <c r="AE65" s="89"/>
      <c r="AF65" s="89"/>
      <c r="AG65" s="89"/>
      <c r="AH65" s="89"/>
      <c r="AI65" s="89"/>
      <c r="AJ65" s="89"/>
      <c r="AK65" s="89"/>
      <c r="AL65" s="89"/>
      <c r="AM65" s="89"/>
      <c r="AN65" s="89"/>
      <c r="AO65" s="89"/>
      <c r="AP65" s="89"/>
      <c r="AQ65" s="89"/>
      <c r="AR65" s="89"/>
      <c r="AS65" s="89"/>
      <c r="AT65" s="89"/>
      <c r="AU65" s="89"/>
      <c r="AV65" s="89"/>
      <c r="AW65" s="89"/>
      <c r="AX65" s="89"/>
    </row>
    <row r="66" s="36" customFormat="true" ht="15.75" hidden="false" customHeight="false" outlineLevel="0" collapsed="false">
      <c r="A66" s="89"/>
      <c r="B66" s="89"/>
      <c r="C66" s="89"/>
      <c r="D66" s="89"/>
      <c r="E66" s="89"/>
      <c r="F66" s="89"/>
      <c r="G66" s="89"/>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89"/>
      <c r="AH66" s="89"/>
      <c r="AI66" s="89"/>
      <c r="AJ66" s="89"/>
      <c r="AK66" s="89"/>
      <c r="AL66" s="89"/>
      <c r="AM66" s="89"/>
      <c r="AN66" s="89"/>
      <c r="AO66" s="89"/>
      <c r="AP66" s="89"/>
      <c r="AQ66" s="89"/>
      <c r="AR66" s="89"/>
      <c r="AS66" s="89"/>
      <c r="AT66" s="89"/>
      <c r="AU66" s="89"/>
      <c r="AV66" s="89"/>
      <c r="AW66" s="89"/>
      <c r="AX66" s="89"/>
    </row>
    <row r="67" s="36" customFormat="true" ht="15.75" hidden="false" customHeight="false" outlineLevel="0" collapsed="false">
      <c r="A67" s="89"/>
      <c r="B67" s="89"/>
      <c r="C67" s="89"/>
      <c r="D67" s="89"/>
      <c r="E67" s="89"/>
      <c r="F67" s="89"/>
      <c r="G67" s="89"/>
      <c r="H67" s="89"/>
      <c r="I67" s="89"/>
      <c r="J67" s="89"/>
      <c r="K67" s="89"/>
      <c r="L67" s="89"/>
      <c r="M67" s="89"/>
      <c r="N67" s="89"/>
      <c r="O67" s="89"/>
      <c r="P67" s="89"/>
      <c r="Q67" s="89"/>
      <c r="R67" s="89"/>
      <c r="S67" s="89"/>
      <c r="T67" s="89"/>
      <c r="U67" s="89"/>
      <c r="V67" s="89"/>
      <c r="W67" s="89"/>
      <c r="X67" s="89"/>
      <c r="Y67" s="89"/>
      <c r="Z67" s="89"/>
      <c r="AA67" s="89"/>
      <c r="AB67" s="89"/>
      <c r="AC67" s="89"/>
      <c r="AD67" s="89"/>
      <c r="AE67" s="89"/>
      <c r="AF67" s="89"/>
      <c r="AG67" s="89"/>
      <c r="AH67" s="89"/>
      <c r="AI67" s="89"/>
      <c r="AJ67" s="89"/>
      <c r="AK67" s="89"/>
      <c r="AL67" s="89"/>
      <c r="AM67" s="89"/>
      <c r="AN67" s="89"/>
      <c r="AO67" s="89"/>
      <c r="AP67" s="89"/>
      <c r="AQ67" s="89"/>
      <c r="AR67" s="89"/>
      <c r="AS67" s="89"/>
      <c r="AT67" s="89"/>
      <c r="AU67" s="89"/>
      <c r="AV67" s="89"/>
      <c r="AW67" s="89"/>
      <c r="AX67" s="89"/>
    </row>
    <row r="68" s="36" customFormat="true" ht="15.75" hidden="false" customHeight="false" outlineLevel="0" collapsed="false">
      <c r="A68" s="89"/>
      <c r="B68" s="89"/>
      <c r="C68" s="89"/>
      <c r="D68" s="89"/>
      <c r="E68" s="89"/>
      <c r="F68" s="89"/>
      <c r="G68" s="89"/>
      <c r="H68" s="89"/>
      <c r="I68" s="89"/>
      <c r="J68" s="89"/>
      <c r="K68" s="89"/>
      <c r="L68" s="89"/>
      <c r="M68" s="89"/>
      <c r="N68" s="89"/>
      <c r="O68" s="89"/>
      <c r="P68" s="89"/>
      <c r="Q68" s="89"/>
      <c r="R68" s="89"/>
      <c r="S68" s="89"/>
      <c r="T68" s="89"/>
      <c r="U68" s="89"/>
      <c r="V68" s="89"/>
      <c r="W68" s="89"/>
      <c r="X68" s="89"/>
      <c r="Y68" s="89"/>
      <c r="Z68" s="89"/>
      <c r="AA68" s="89"/>
      <c r="AB68" s="89"/>
      <c r="AC68" s="89"/>
      <c r="AD68" s="89"/>
      <c r="AE68" s="89"/>
      <c r="AF68" s="89"/>
      <c r="AG68" s="89"/>
      <c r="AH68" s="89"/>
      <c r="AI68" s="89"/>
      <c r="AJ68" s="89"/>
      <c r="AK68" s="89"/>
      <c r="AL68" s="89"/>
      <c r="AM68" s="89"/>
      <c r="AN68" s="89"/>
      <c r="AO68" s="89"/>
      <c r="AP68" s="89"/>
      <c r="AQ68" s="89"/>
      <c r="AR68" s="89"/>
      <c r="AS68" s="89"/>
      <c r="AT68" s="89"/>
      <c r="AU68" s="89"/>
      <c r="AV68" s="89"/>
      <c r="AW68" s="89"/>
      <c r="AX68" s="89"/>
    </row>
    <row r="69" s="36" customFormat="true" ht="15.75" hidden="false" customHeight="false" outlineLevel="0" collapsed="false">
      <c r="A69" s="89"/>
      <c r="B69" s="89"/>
      <c r="C69" s="89"/>
      <c r="D69" s="89"/>
      <c r="E69" s="89"/>
      <c r="F69" s="89"/>
      <c r="G69" s="89"/>
      <c r="H69" s="89"/>
      <c r="I69" s="89"/>
      <c r="J69" s="89"/>
      <c r="K69" s="89"/>
      <c r="L69" s="89"/>
      <c r="M69" s="89"/>
      <c r="N69" s="89"/>
      <c r="O69" s="89"/>
      <c r="P69" s="89"/>
      <c r="Q69" s="89"/>
      <c r="R69" s="89"/>
      <c r="S69" s="89"/>
      <c r="T69" s="89"/>
      <c r="U69" s="89"/>
      <c r="V69" s="89"/>
      <c r="W69" s="89"/>
      <c r="X69" s="89"/>
      <c r="Y69" s="89"/>
      <c r="Z69" s="89"/>
      <c r="AA69" s="89"/>
      <c r="AB69" s="89"/>
      <c r="AC69" s="89"/>
      <c r="AD69" s="89"/>
      <c r="AE69" s="89"/>
      <c r="AF69" s="89"/>
      <c r="AG69" s="89"/>
      <c r="AH69" s="89"/>
      <c r="AI69" s="89"/>
      <c r="AJ69" s="89"/>
      <c r="AK69" s="89"/>
      <c r="AL69" s="89"/>
      <c r="AM69" s="89"/>
      <c r="AN69" s="89"/>
      <c r="AO69" s="89"/>
      <c r="AP69" s="89"/>
      <c r="AQ69" s="89"/>
      <c r="AR69" s="89"/>
      <c r="AS69" s="89"/>
      <c r="AT69" s="89"/>
      <c r="AU69" s="89"/>
      <c r="AV69" s="89"/>
      <c r="AW69" s="89"/>
      <c r="AX69" s="89"/>
    </row>
    <row r="70" s="36" customFormat="true" ht="15.75" hidden="false" customHeight="false" outlineLevel="0" collapsed="false">
      <c r="A70" s="89"/>
      <c r="B70" s="89"/>
      <c r="C70" s="89"/>
      <c r="D70" s="89"/>
      <c r="E70" s="89"/>
      <c r="F70" s="89"/>
      <c r="G70" s="89"/>
      <c r="H70" s="89"/>
      <c r="I70" s="89"/>
      <c r="J70" s="89"/>
      <c r="K70" s="89"/>
      <c r="L70" s="89"/>
      <c r="M70" s="89"/>
      <c r="N70" s="89"/>
      <c r="O70" s="89"/>
      <c r="P70" s="89"/>
      <c r="Q70" s="89"/>
      <c r="R70" s="89"/>
      <c r="S70" s="89"/>
      <c r="T70" s="89"/>
      <c r="U70" s="89"/>
      <c r="V70" s="89"/>
      <c r="W70" s="89"/>
      <c r="X70" s="89"/>
      <c r="Y70" s="89"/>
      <c r="Z70" s="89"/>
      <c r="AA70" s="89"/>
      <c r="AB70" s="89"/>
      <c r="AC70" s="89"/>
      <c r="AD70" s="89"/>
      <c r="AE70" s="89"/>
      <c r="AF70" s="89"/>
      <c r="AG70" s="89"/>
      <c r="AH70" s="89"/>
      <c r="AI70" s="89"/>
      <c r="AJ70" s="89"/>
      <c r="AK70" s="89"/>
      <c r="AL70" s="89"/>
      <c r="AM70" s="89"/>
      <c r="AN70" s="89"/>
      <c r="AO70" s="89"/>
      <c r="AP70" s="89"/>
      <c r="AQ70" s="89"/>
      <c r="AR70" s="89"/>
      <c r="AS70" s="89"/>
      <c r="AT70" s="89"/>
      <c r="AU70" s="89"/>
      <c r="AV70" s="89"/>
      <c r="AW70" s="89"/>
      <c r="AX70" s="89"/>
    </row>
    <row r="71" s="36" customFormat="true" ht="15.75" hidden="false" customHeight="false" outlineLevel="0" collapsed="false">
      <c r="A71" s="89"/>
      <c r="B71" s="89"/>
      <c r="C71" s="89"/>
      <c r="D71" s="89"/>
      <c r="E71" s="89"/>
      <c r="F71" s="89"/>
      <c r="G71" s="89"/>
      <c r="H71" s="89"/>
      <c r="I71" s="89"/>
      <c r="J71" s="89"/>
      <c r="K71" s="89"/>
      <c r="L71" s="89"/>
      <c r="M71" s="89"/>
      <c r="N71" s="89"/>
      <c r="O71" s="89"/>
      <c r="P71" s="89"/>
      <c r="Q71" s="89"/>
      <c r="R71" s="89"/>
      <c r="S71" s="89"/>
      <c r="T71" s="89"/>
      <c r="U71" s="89"/>
      <c r="V71" s="89"/>
      <c r="W71" s="89"/>
      <c r="X71" s="89"/>
      <c r="Y71" s="89"/>
      <c r="Z71" s="89"/>
      <c r="AA71" s="89"/>
      <c r="AB71" s="89"/>
      <c r="AC71" s="89"/>
      <c r="AD71" s="89"/>
      <c r="AE71" s="89"/>
      <c r="AF71" s="89"/>
      <c r="AG71" s="89"/>
      <c r="AH71" s="89"/>
      <c r="AI71" s="89"/>
      <c r="AJ71" s="89"/>
      <c r="AK71" s="89"/>
      <c r="AL71" s="89"/>
      <c r="AM71" s="89"/>
      <c r="AN71" s="89"/>
      <c r="AO71" s="89"/>
      <c r="AP71" s="89"/>
      <c r="AQ71" s="89"/>
      <c r="AR71" s="89"/>
      <c r="AS71" s="89"/>
      <c r="AT71" s="89"/>
      <c r="AU71" s="89"/>
      <c r="AV71" s="89"/>
      <c r="AW71" s="89"/>
      <c r="AX71" s="89"/>
    </row>
    <row r="72" s="36" customFormat="true" ht="15.75" hidden="false" customHeight="false" outlineLevel="0" collapsed="false">
      <c r="A72" s="89"/>
      <c r="B72" s="89"/>
      <c r="C72" s="89"/>
      <c r="D72" s="89"/>
      <c r="E72" s="89"/>
      <c r="F72" s="89"/>
      <c r="G72" s="89"/>
      <c r="H72" s="89"/>
      <c r="I72" s="89"/>
      <c r="J72" s="89"/>
      <c r="K72" s="89"/>
      <c r="L72" s="89"/>
      <c r="M72" s="89"/>
      <c r="N72" s="89"/>
      <c r="O72" s="89"/>
      <c r="P72" s="89"/>
      <c r="Q72" s="89"/>
      <c r="R72" s="89"/>
      <c r="S72" s="89"/>
      <c r="T72" s="89"/>
      <c r="U72" s="89"/>
      <c r="V72" s="89"/>
      <c r="W72" s="89"/>
      <c r="X72" s="89"/>
      <c r="Y72" s="89"/>
      <c r="Z72" s="89"/>
      <c r="AA72" s="89"/>
      <c r="AB72" s="89"/>
      <c r="AC72" s="89"/>
      <c r="AD72" s="89"/>
      <c r="AE72" s="89"/>
      <c r="AF72" s="89"/>
      <c r="AG72" s="89"/>
      <c r="AH72" s="89"/>
      <c r="AI72" s="89"/>
      <c r="AJ72" s="89"/>
      <c r="AK72" s="89"/>
      <c r="AL72" s="89"/>
      <c r="AM72" s="89"/>
      <c r="AN72" s="89"/>
      <c r="AO72" s="89"/>
      <c r="AP72" s="89"/>
      <c r="AQ72" s="89"/>
      <c r="AR72" s="89"/>
      <c r="AS72" s="89"/>
      <c r="AT72" s="89"/>
      <c r="AU72" s="89"/>
      <c r="AV72" s="89"/>
      <c r="AW72" s="89"/>
      <c r="AX72" s="89"/>
    </row>
    <row r="73" s="36" customFormat="true" ht="15.75" hidden="false" customHeight="false" outlineLevel="0" collapsed="false">
      <c r="A73" s="89"/>
      <c r="B73" s="89"/>
      <c r="C73" s="89"/>
      <c r="D73" s="89"/>
      <c r="E73" s="89"/>
      <c r="F73" s="89"/>
      <c r="G73" s="89"/>
      <c r="H73" s="89"/>
      <c r="I73" s="89"/>
      <c r="J73" s="89"/>
      <c r="K73" s="89"/>
      <c r="L73" s="89"/>
      <c r="M73" s="89"/>
      <c r="N73" s="89"/>
      <c r="O73" s="89"/>
      <c r="P73" s="89"/>
      <c r="Q73" s="89"/>
      <c r="R73" s="89"/>
      <c r="S73" s="89"/>
      <c r="T73" s="89"/>
      <c r="U73" s="89"/>
      <c r="V73" s="89"/>
      <c r="W73" s="89"/>
      <c r="X73" s="89"/>
      <c r="Y73" s="89"/>
      <c r="Z73" s="89"/>
      <c r="AA73" s="89"/>
      <c r="AB73" s="89"/>
      <c r="AC73" s="89"/>
      <c r="AD73" s="89"/>
      <c r="AE73" s="89"/>
      <c r="AF73" s="89"/>
      <c r="AG73" s="89"/>
      <c r="AH73" s="89"/>
      <c r="AI73" s="89"/>
      <c r="AJ73" s="89"/>
      <c r="AK73" s="89"/>
      <c r="AL73" s="89"/>
      <c r="AM73" s="89"/>
      <c r="AN73" s="89"/>
      <c r="AO73" s="89"/>
      <c r="AP73" s="89"/>
      <c r="AQ73" s="89"/>
      <c r="AR73" s="89"/>
      <c r="AS73" s="89"/>
      <c r="AT73" s="89"/>
      <c r="AU73" s="89"/>
      <c r="AV73" s="89"/>
      <c r="AW73" s="89"/>
      <c r="AX73" s="89"/>
    </row>
    <row r="74" s="36" customFormat="true" ht="15.75" hidden="false" customHeight="false" outlineLevel="0" collapsed="false">
      <c r="A74" s="89"/>
      <c r="B74" s="89"/>
      <c r="C74" s="89"/>
      <c r="D74" s="89"/>
      <c r="E74" s="89"/>
      <c r="F74" s="89"/>
      <c r="G74" s="89"/>
      <c r="H74" s="89"/>
      <c r="I74" s="89"/>
      <c r="J74" s="89"/>
      <c r="K74" s="89"/>
      <c r="L74" s="89"/>
      <c r="M74" s="89"/>
      <c r="N74" s="89"/>
      <c r="O74" s="89"/>
      <c r="P74" s="89"/>
      <c r="Q74" s="89"/>
      <c r="R74" s="89"/>
      <c r="S74" s="89"/>
      <c r="T74" s="89"/>
      <c r="U74" s="89"/>
      <c r="V74" s="89"/>
      <c r="W74" s="89"/>
      <c r="X74" s="89"/>
      <c r="Y74" s="89"/>
      <c r="Z74" s="89"/>
      <c r="AA74" s="89"/>
      <c r="AB74" s="89"/>
      <c r="AC74" s="89"/>
      <c r="AD74" s="89"/>
      <c r="AE74" s="89"/>
      <c r="AF74" s="89"/>
      <c r="AG74" s="89"/>
      <c r="AH74" s="89"/>
      <c r="AI74" s="89"/>
      <c r="AJ74" s="89"/>
      <c r="AK74" s="89"/>
      <c r="AL74" s="89"/>
      <c r="AM74" s="89"/>
      <c r="AN74" s="89"/>
      <c r="AO74" s="89"/>
      <c r="AP74" s="89"/>
      <c r="AQ74" s="89"/>
      <c r="AR74" s="89"/>
      <c r="AS74" s="89"/>
      <c r="AT74" s="89"/>
      <c r="AU74" s="89"/>
      <c r="AV74" s="89"/>
      <c r="AW74" s="89"/>
      <c r="AX74" s="89"/>
    </row>
    <row r="75" s="36" customFormat="true" ht="15.75" hidden="false" customHeight="false" outlineLevel="0" collapsed="false">
      <c r="A75" s="89"/>
      <c r="B75" s="89"/>
      <c r="C75" s="89"/>
      <c r="D75" s="89"/>
      <c r="E75" s="89"/>
      <c r="F75" s="89"/>
      <c r="G75" s="89"/>
      <c r="H75" s="89"/>
      <c r="I75" s="89"/>
      <c r="J75" s="89"/>
      <c r="K75" s="89"/>
      <c r="L75" s="89"/>
      <c r="M75" s="89"/>
      <c r="N75" s="89"/>
      <c r="O75" s="89"/>
      <c r="P75" s="89"/>
      <c r="Q75" s="89"/>
      <c r="R75" s="89"/>
      <c r="S75" s="89"/>
      <c r="T75" s="89"/>
      <c r="U75" s="89"/>
      <c r="V75" s="89"/>
      <c r="W75" s="89"/>
      <c r="X75" s="89"/>
      <c r="Y75" s="89"/>
      <c r="Z75" s="89"/>
      <c r="AA75" s="89"/>
      <c r="AB75" s="89"/>
      <c r="AC75" s="89"/>
      <c r="AD75" s="89"/>
      <c r="AE75" s="89"/>
      <c r="AF75" s="89"/>
      <c r="AG75" s="89"/>
      <c r="AH75" s="89"/>
      <c r="AI75" s="89"/>
      <c r="AJ75" s="89"/>
      <c r="AK75" s="89"/>
      <c r="AL75" s="89"/>
      <c r="AM75" s="89"/>
      <c r="AN75" s="89"/>
      <c r="AO75" s="89"/>
      <c r="AP75" s="89"/>
      <c r="AQ75" s="89"/>
      <c r="AR75" s="89"/>
      <c r="AS75" s="89"/>
      <c r="AT75" s="89"/>
      <c r="AU75" s="89"/>
      <c r="AV75" s="89"/>
      <c r="AW75" s="89"/>
      <c r="AX75" s="89"/>
    </row>
    <row r="76" s="36" customFormat="true" ht="15.75" hidden="false" customHeight="false" outlineLevel="0" collapsed="false">
      <c r="A76" s="89"/>
      <c r="B76" s="89"/>
      <c r="C76" s="89"/>
      <c r="D76" s="89"/>
      <c r="E76" s="89"/>
      <c r="F76" s="89"/>
      <c r="G76" s="89"/>
      <c r="H76" s="89"/>
      <c r="I76" s="89"/>
      <c r="J76" s="89"/>
      <c r="K76" s="89"/>
      <c r="L76" s="89"/>
      <c r="M76" s="89"/>
      <c r="N76" s="89"/>
      <c r="O76" s="89"/>
      <c r="P76" s="89"/>
      <c r="Q76" s="89"/>
      <c r="R76" s="89"/>
      <c r="S76" s="89"/>
      <c r="T76" s="89"/>
      <c r="U76" s="89"/>
      <c r="V76" s="89"/>
      <c r="W76" s="89"/>
      <c r="X76" s="89"/>
      <c r="Y76" s="89"/>
      <c r="Z76" s="89"/>
      <c r="AA76" s="89"/>
      <c r="AB76" s="89"/>
      <c r="AC76" s="89"/>
      <c r="AD76" s="89"/>
      <c r="AE76" s="89"/>
      <c r="AF76" s="89"/>
      <c r="AG76" s="89"/>
      <c r="AH76" s="89"/>
      <c r="AI76" s="89"/>
      <c r="AJ76" s="89"/>
      <c r="AK76" s="89"/>
      <c r="AL76" s="89"/>
      <c r="AM76" s="89"/>
      <c r="AN76" s="89"/>
      <c r="AO76" s="89"/>
      <c r="AP76" s="89"/>
      <c r="AQ76" s="89"/>
      <c r="AR76" s="89"/>
      <c r="AS76" s="89"/>
      <c r="AT76" s="89"/>
      <c r="AU76" s="89"/>
      <c r="AV76" s="89"/>
      <c r="AW76" s="89"/>
      <c r="AX76" s="89"/>
    </row>
    <row r="77" s="36" customFormat="true" ht="15.75" hidden="false" customHeight="false" outlineLevel="0" collapsed="false">
      <c r="A77" s="89"/>
      <c r="B77" s="89"/>
      <c r="C77" s="89"/>
      <c r="D77" s="89"/>
      <c r="E77" s="89"/>
      <c r="F77" s="89"/>
      <c r="G77" s="89"/>
      <c r="H77" s="89"/>
      <c r="I77" s="89"/>
      <c r="J77" s="89"/>
      <c r="K77" s="89"/>
      <c r="L77" s="89"/>
      <c r="M77" s="89"/>
      <c r="N77" s="89"/>
      <c r="O77" s="89"/>
      <c r="P77" s="89"/>
      <c r="Q77" s="89"/>
      <c r="R77" s="89"/>
      <c r="S77" s="89"/>
      <c r="T77" s="89"/>
      <c r="U77" s="89"/>
      <c r="V77" s="89"/>
      <c r="W77" s="89"/>
      <c r="X77" s="89"/>
      <c r="Y77" s="89"/>
      <c r="Z77" s="89"/>
      <c r="AA77" s="89"/>
      <c r="AB77" s="89"/>
      <c r="AC77" s="89"/>
      <c r="AD77" s="89"/>
      <c r="AE77" s="89"/>
      <c r="AF77" s="89"/>
      <c r="AG77" s="89"/>
      <c r="AH77" s="89"/>
      <c r="AI77" s="89"/>
      <c r="AJ77" s="89"/>
      <c r="AK77" s="89"/>
      <c r="AL77" s="89"/>
      <c r="AM77" s="89"/>
      <c r="AN77" s="89"/>
      <c r="AO77" s="89"/>
      <c r="AP77" s="89"/>
      <c r="AQ77" s="89"/>
      <c r="AR77" s="89"/>
      <c r="AS77" s="89"/>
      <c r="AT77" s="89"/>
      <c r="AU77" s="89"/>
      <c r="AV77" s="89"/>
      <c r="AW77" s="89"/>
      <c r="AX77" s="89"/>
    </row>
    <row r="78" s="36" customFormat="true" ht="15.75" hidden="false" customHeight="false" outlineLevel="0" collapsed="false">
      <c r="A78" s="89"/>
      <c r="B78" s="89"/>
      <c r="C78" s="89"/>
      <c r="D78" s="89"/>
      <c r="E78" s="89"/>
      <c r="F78" s="89"/>
      <c r="G78" s="89"/>
      <c r="H78" s="89"/>
      <c r="I78" s="89"/>
      <c r="J78" s="89"/>
      <c r="K78" s="89"/>
      <c r="L78" s="89"/>
      <c r="M78" s="89"/>
      <c r="N78" s="89"/>
      <c r="O78" s="89"/>
      <c r="P78" s="89"/>
      <c r="Q78" s="89"/>
      <c r="R78" s="89"/>
      <c r="S78" s="89"/>
      <c r="T78" s="89"/>
      <c r="U78" s="89"/>
      <c r="V78" s="89"/>
      <c r="W78" s="89"/>
      <c r="X78" s="89"/>
      <c r="Y78" s="89"/>
      <c r="Z78" s="89"/>
      <c r="AA78" s="89"/>
      <c r="AB78" s="89"/>
      <c r="AC78" s="89"/>
      <c r="AD78" s="89"/>
      <c r="AE78" s="89"/>
      <c r="AF78" s="89"/>
      <c r="AG78" s="89"/>
      <c r="AH78" s="89"/>
      <c r="AI78" s="89"/>
      <c r="AJ78" s="89"/>
      <c r="AK78" s="89"/>
      <c r="AL78" s="89"/>
      <c r="AM78" s="89"/>
      <c r="AN78" s="89"/>
      <c r="AO78" s="89"/>
      <c r="AP78" s="89"/>
      <c r="AQ78" s="89"/>
      <c r="AR78" s="89"/>
      <c r="AS78" s="89"/>
      <c r="AT78" s="89"/>
      <c r="AU78" s="89"/>
      <c r="AV78" s="89"/>
      <c r="AW78" s="89"/>
      <c r="AX78" s="89"/>
    </row>
    <row r="79" s="36" customFormat="true" ht="15.75" hidden="false" customHeight="false" outlineLevel="0" collapsed="false">
      <c r="A79" s="89"/>
      <c r="B79" s="89"/>
      <c r="C79" s="89"/>
      <c r="D79" s="89"/>
      <c r="E79" s="89"/>
      <c r="F79" s="89"/>
      <c r="G79" s="89"/>
      <c r="H79" s="89"/>
      <c r="I79" s="89"/>
      <c r="J79" s="89"/>
      <c r="K79" s="89"/>
      <c r="L79" s="89"/>
      <c r="M79" s="89"/>
      <c r="N79" s="89"/>
      <c r="O79" s="89"/>
      <c r="P79" s="89"/>
      <c r="Q79" s="89"/>
      <c r="R79" s="89"/>
      <c r="S79" s="89"/>
      <c r="T79" s="89"/>
      <c r="U79" s="89"/>
      <c r="V79" s="89"/>
      <c r="W79" s="89"/>
      <c r="X79" s="89"/>
      <c r="Y79" s="89"/>
      <c r="Z79" s="89"/>
      <c r="AA79" s="89"/>
      <c r="AB79" s="89"/>
      <c r="AC79" s="89"/>
      <c r="AD79" s="89"/>
      <c r="AE79" s="89"/>
      <c r="AF79" s="89"/>
      <c r="AG79" s="89"/>
      <c r="AH79" s="89"/>
      <c r="AI79" s="89"/>
      <c r="AJ79" s="89"/>
      <c r="AK79" s="89"/>
      <c r="AL79" s="89"/>
      <c r="AM79" s="89"/>
      <c r="AN79" s="89"/>
      <c r="AO79" s="89"/>
      <c r="AP79" s="89"/>
      <c r="AQ79" s="89"/>
      <c r="AR79" s="89"/>
      <c r="AS79" s="89"/>
      <c r="AT79" s="89"/>
      <c r="AU79" s="89"/>
      <c r="AV79" s="89"/>
      <c r="AW79" s="89"/>
      <c r="AX79" s="89"/>
    </row>
    <row r="80" s="36" customFormat="true" ht="15.75" hidden="false" customHeight="false" outlineLevel="0" collapsed="false">
      <c r="A80" s="89"/>
      <c r="B80" s="89"/>
      <c r="C80" s="89"/>
      <c r="D80" s="89"/>
      <c r="E80" s="89"/>
      <c r="F80" s="89"/>
      <c r="G80" s="89"/>
      <c r="H80" s="89"/>
      <c r="I80" s="89"/>
      <c r="J80" s="89"/>
      <c r="K80" s="89"/>
      <c r="L80" s="89"/>
      <c r="M80" s="89"/>
      <c r="N80" s="89"/>
      <c r="O80" s="89"/>
      <c r="P80" s="89"/>
      <c r="Q80" s="89"/>
      <c r="R80" s="89"/>
      <c r="S80" s="89"/>
      <c r="T80" s="89"/>
      <c r="U80" s="89"/>
      <c r="V80" s="89"/>
      <c r="W80" s="89"/>
      <c r="X80" s="89"/>
      <c r="Y80" s="89"/>
      <c r="Z80" s="89"/>
      <c r="AA80" s="89"/>
      <c r="AB80" s="89"/>
      <c r="AC80" s="89"/>
      <c r="AD80" s="89"/>
      <c r="AE80" s="89"/>
      <c r="AF80" s="89"/>
      <c r="AG80" s="89"/>
      <c r="AH80" s="89"/>
      <c r="AI80" s="89"/>
      <c r="AJ80" s="89"/>
      <c r="AK80" s="89"/>
      <c r="AL80" s="89"/>
      <c r="AM80" s="89"/>
      <c r="AN80" s="89"/>
      <c r="AO80" s="89"/>
      <c r="AP80" s="89"/>
      <c r="AQ80" s="89"/>
      <c r="AR80" s="89"/>
      <c r="AS80" s="89"/>
      <c r="AT80" s="89"/>
      <c r="AU80" s="89"/>
      <c r="AV80" s="89"/>
      <c r="AW80" s="89"/>
      <c r="AX80" s="89"/>
    </row>
    <row r="81" s="36" customFormat="true" ht="15.75" hidden="false" customHeight="false" outlineLevel="0" collapsed="false">
      <c r="A81" s="89"/>
      <c r="B81" s="89"/>
      <c r="C81" s="89"/>
      <c r="D81" s="89"/>
      <c r="E81" s="89"/>
      <c r="F81" s="89"/>
      <c r="G81" s="89"/>
      <c r="H81" s="89"/>
      <c r="I81" s="89"/>
      <c r="J81" s="89"/>
      <c r="K81" s="89"/>
      <c r="L81" s="89"/>
      <c r="M81" s="89"/>
      <c r="N81" s="89"/>
      <c r="O81" s="89"/>
      <c r="P81" s="89"/>
      <c r="Q81" s="89"/>
      <c r="R81" s="89"/>
      <c r="S81" s="89"/>
      <c r="T81" s="89"/>
      <c r="U81" s="89"/>
      <c r="V81" s="89"/>
      <c r="W81" s="89"/>
      <c r="X81" s="89"/>
      <c r="Y81" s="89"/>
      <c r="Z81" s="89"/>
      <c r="AA81" s="89"/>
      <c r="AB81" s="89"/>
      <c r="AC81" s="89"/>
      <c r="AD81" s="89"/>
      <c r="AE81" s="89"/>
      <c r="AF81" s="89"/>
      <c r="AG81" s="89"/>
      <c r="AH81" s="89"/>
      <c r="AI81" s="89"/>
      <c r="AJ81" s="89"/>
      <c r="AK81" s="89"/>
      <c r="AL81" s="89"/>
      <c r="AM81" s="89"/>
      <c r="AN81" s="89"/>
      <c r="AO81" s="89"/>
      <c r="AP81" s="89"/>
      <c r="AQ81" s="89"/>
      <c r="AR81" s="89"/>
      <c r="AS81" s="89"/>
      <c r="AT81" s="89"/>
      <c r="AU81" s="89"/>
      <c r="AV81" s="89"/>
      <c r="AW81" s="89"/>
      <c r="AX81" s="89"/>
    </row>
    <row r="82" s="36" customFormat="true" ht="15.75" hidden="false" customHeight="false" outlineLevel="0" collapsed="false">
      <c r="A82" s="89"/>
      <c r="B82" s="89"/>
      <c r="C82" s="89"/>
      <c r="D82" s="89"/>
      <c r="E82" s="89"/>
      <c r="F82" s="89"/>
      <c r="G82" s="89"/>
      <c r="H82" s="89"/>
      <c r="I82" s="89"/>
      <c r="J82" s="89"/>
      <c r="K82" s="89"/>
      <c r="L82" s="89"/>
      <c r="M82" s="89"/>
      <c r="N82" s="89"/>
      <c r="O82" s="89"/>
      <c r="P82" s="89"/>
      <c r="Q82" s="89"/>
      <c r="R82" s="89"/>
      <c r="S82" s="89"/>
      <c r="T82" s="89"/>
      <c r="U82" s="89"/>
      <c r="V82" s="89"/>
      <c r="W82" s="89"/>
      <c r="X82" s="89"/>
      <c r="Y82" s="89"/>
      <c r="Z82" s="89"/>
      <c r="AA82" s="89"/>
      <c r="AB82" s="89"/>
      <c r="AC82" s="89"/>
      <c r="AD82" s="89"/>
      <c r="AE82" s="89"/>
      <c r="AF82" s="89"/>
      <c r="AG82" s="89"/>
      <c r="AH82" s="89"/>
      <c r="AI82" s="89"/>
      <c r="AJ82" s="89"/>
      <c r="AK82" s="89"/>
      <c r="AL82" s="89"/>
      <c r="AM82" s="89"/>
      <c r="AN82" s="89"/>
      <c r="AO82" s="89"/>
      <c r="AP82" s="89"/>
      <c r="AQ82" s="89"/>
      <c r="AR82" s="89"/>
      <c r="AS82" s="89"/>
      <c r="AT82" s="89"/>
      <c r="AU82" s="89"/>
      <c r="AV82" s="89"/>
      <c r="AW82" s="89"/>
      <c r="AX82" s="89"/>
    </row>
    <row r="83" s="36" customFormat="true" ht="15.75" hidden="false" customHeight="false" outlineLevel="0" collapsed="false">
      <c r="A83" s="89"/>
      <c r="B83" s="89"/>
      <c r="C83" s="89"/>
      <c r="D83" s="89"/>
      <c r="E83" s="89"/>
      <c r="F83" s="89"/>
      <c r="G83" s="89"/>
      <c r="H83" s="89"/>
      <c r="I83" s="89"/>
      <c r="J83" s="89"/>
      <c r="K83" s="89"/>
      <c r="L83" s="89"/>
      <c r="M83" s="89"/>
      <c r="N83" s="89"/>
      <c r="O83" s="89"/>
      <c r="P83" s="89"/>
      <c r="Q83" s="89"/>
      <c r="R83" s="89"/>
      <c r="S83" s="89"/>
      <c r="T83" s="89"/>
      <c r="U83" s="89"/>
      <c r="V83" s="89"/>
      <c r="W83" s="89"/>
      <c r="X83" s="89"/>
      <c r="Y83" s="89"/>
      <c r="Z83" s="89"/>
      <c r="AA83" s="89"/>
      <c r="AB83" s="89"/>
      <c r="AC83" s="89"/>
      <c r="AD83" s="89"/>
      <c r="AE83" s="89"/>
      <c r="AF83" s="89"/>
      <c r="AG83" s="89"/>
      <c r="AH83" s="89"/>
      <c r="AI83" s="89"/>
      <c r="AJ83" s="89"/>
      <c r="AK83" s="89"/>
      <c r="AL83" s="89"/>
      <c r="AM83" s="89"/>
      <c r="AN83" s="89"/>
      <c r="AO83" s="89"/>
      <c r="AP83" s="89"/>
      <c r="AQ83" s="89"/>
      <c r="AR83" s="89"/>
      <c r="AS83" s="89"/>
      <c r="AT83" s="89"/>
      <c r="AU83" s="89"/>
      <c r="AV83" s="89"/>
      <c r="AW83" s="89"/>
      <c r="AX83" s="89"/>
    </row>
    <row r="84" s="36" customFormat="true" ht="15.75" hidden="false" customHeight="false" outlineLevel="0" collapsed="false">
      <c r="A84" s="89"/>
      <c r="B84" s="89"/>
      <c r="C84" s="89"/>
      <c r="D84" s="89"/>
      <c r="E84" s="89"/>
      <c r="F84" s="89"/>
      <c r="G84" s="89"/>
      <c r="H84" s="89"/>
      <c r="I84" s="89"/>
      <c r="J84" s="89"/>
      <c r="K84" s="89"/>
      <c r="L84" s="89"/>
      <c r="M84" s="89"/>
      <c r="N84" s="89"/>
      <c r="O84" s="89"/>
      <c r="P84" s="89"/>
      <c r="Q84" s="89"/>
      <c r="R84" s="89"/>
      <c r="S84" s="89"/>
      <c r="T84" s="89"/>
      <c r="U84" s="89"/>
      <c r="V84" s="89"/>
      <c r="W84" s="89"/>
      <c r="X84" s="89"/>
      <c r="Y84" s="89"/>
      <c r="Z84" s="89"/>
      <c r="AA84" s="89"/>
      <c r="AB84" s="89"/>
      <c r="AC84" s="89"/>
      <c r="AD84" s="89"/>
      <c r="AE84" s="89"/>
      <c r="AF84" s="89"/>
      <c r="AG84" s="89"/>
      <c r="AH84" s="89"/>
      <c r="AI84" s="89"/>
      <c r="AJ84" s="89"/>
      <c r="AK84" s="89"/>
      <c r="AL84" s="89"/>
      <c r="AM84" s="89"/>
      <c r="AN84" s="89"/>
      <c r="AO84" s="89"/>
      <c r="AP84" s="89"/>
      <c r="AQ84" s="89"/>
      <c r="AR84" s="89"/>
      <c r="AS84" s="89"/>
      <c r="AT84" s="89"/>
      <c r="AU84" s="89"/>
      <c r="AV84" s="89"/>
      <c r="AW84" s="89"/>
      <c r="AX84" s="89"/>
    </row>
    <row r="85" s="36" customFormat="true" ht="15.75" hidden="false" customHeight="false" outlineLevel="0" collapsed="false">
      <c r="A85" s="89"/>
      <c r="B85" s="89"/>
      <c r="C85" s="89"/>
      <c r="D85" s="89"/>
      <c r="E85" s="89"/>
      <c r="F85" s="89"/>
      <c r="G85" s="89"/>
      <c r="H85" s="89"/>
      <c r="I85" s="89"/>
      <c r="J85" s="89"/>
      <c r="K85" s="89"/>
      <c r="L85" s="89"/>
      <c r="M85" s="89"/>
      <c r="N85" s="89"/>
      <c r="O85" s="89"/>
      <c r="P85" s="89"/>
      <c r="Q85" s="89"/>
      <c r="R85" s="89"/>
      <c r="S85" s="89"/>
      <c r="T85" s="89"/>
      <c r="U85" s="89"/>
      <c r="V85" s="89"/>
      <c r="W85" s="89"/>
      <c r="X85" s="89"/>
      <c r="Y85" s="89"/>
      <c r="Z85" s="89"/>
      <c r="AA85" s="89"/>
      <c r="AB85" s="89"/>
      <c r="AC85" s="89"/>
      <c r="AD85" s="89"/>
      <c r="AE85" s="89"/>
      <c r="AF85" s="89"/>
      <c r="AG85" s="89"/>
      <c r="AH85" s="89"/>
      <c r="AI85" s="89"/>
      <c r="AJ85" s="89"/>
      <c r="AK85" s="89"/>
      <c r="AL85" s="89"/>
      <c r="AM85" s="89"/>
      <c r="AN85" s="89"/>
      <c r="AO85" s="89"/>
      <c r="AP85" s="89"/>
      <c r="AQ85" s="89"/>
      <c r="AR85" s="89"/>
      <c r="AS85" s="89"/>
      <c r="AT85" s="89"/>
      <c r="AU85" s="89"/>
      <c r="AV85" s="89"/>
      <c r="AW85" s="89"/>
      <c r="AX85" s="89"/>
    </row>
    <row r="86" s="36" customFormat="true" ht="15.75" hidden="false" customHeight="false" outlineLevel="0" collapsed="false">
      <c r="A86" s="89"/>
      <c r="B86" s="89"/>
      <c r="C86" s="89"/>
      <c r="D86" s="89"/>
      <c r="E86" s="89"/>
      <c r="F86" s="89"/>
      <c r="G86" s="89"/>
      <c r="H86" s="89"/>
      <c r="I86" s="89"/>
      <c r="J86" s="89"/>
      <c r="K86" s="89"/>
      <c r="L86" s="89"/>
      <c r="M86" s="89"/>
      <c r="N86" s="89"/>
      <c r="O86" s="89"/>
      <c r="P86" s="89"/>
      <c r="Q86" s="89"/>
      <c r="R86" s="89"/>
      <c r="S86" s="89"/>
      <c r="T86" s="89"/>
      <c r="U86" s="89"/>
      <c r="V86" s="89"/>
      <c r="W86" s="89"/>
      <c r="X86" s="89"/>
      <c r="Y86" s="89"/>
      <c r="Z86" s="89"/>
      <c r="AA86" s="89"/>
      <c r="AB86" s="89"/>
      <c r="AC86" s="89"/>
      <c r="AD86" s="89"/>
      <c r="AE86" s="89"/>
      <c r="AF86" s="89"/>
      <c r="AG86" s="89"/>
      <c r="AH86" s="89"/>
      <c r="AI86" s="89"/>
      <c r="AJ86" s="89"/>
      <c r="AK86" s="89"/>
      <c r="AL86" s="89"/>
      <c r="AM86" s="89"/>
      <c r="AN86" s="89"/>
      <c r="AO86" s="89"/>
      <c r="AP86" s="89"/>
      <c r="AQ86" s="89"/>
      <c r="AR86" s="89"/>
      <c r="AS86" s="89"/>
      <c r="AT86" s="89"/>
      <c r="AU86" s="89"/>
      <c r="AV86" s="89"/>
      <c r="AW86" s="89"/>
      <c r="AX86" s="89"/>
    </row>
    <row r="87" s="36" customFormat="true" ht="15.75" hidden="false" customHeight="false" outlineLevel="0" collapsed="false">
      <c r="A87" s="89"/>
      <c r="B87" s="89"/>
      <c r="C87" s="89"/>
      <c r="D87" s="89"/>
      <c r="E87" s="89"/>
      <c r="F87" s="89"/>
      <c r="G87" s="89"/>
      <c r="H87" s="89"/>
      <c r="I87" s="89"/>
      <c r="J87" s="89"/>
      <c r="K87" s="89"/>
      <c r="L87" s="89"/>
      <c r="M87" s="89"/>
      <c r="N87" s="89"/>
      <c r="O87" s="89"/>
      <c r="P87" s="89"/>
      <c r="Q87" s="89"/>
      <c r="R87" s="89"/>
      <c r="S87" s="89"/>
      <c r="T87" s="89"/>
      <c r="U87" s="89"/>
      <c r="V87" s="89"/>
      <c r="W87" s="89"/>
      <c r="X87" s="89"/>
      <c r="Y87" s="89"/>
      <c r="Z87" s="89"/>
      <c r="AA87" s="89"/>
      <c r="AB87" s="89"/>
      <c r="AC87" s="89"/>
      <c r="AD87" s="89"/>
      <c r="AE87" s="89"/>
      <c r="AF87" s="89"/>
      <c r="AG87" s="89"/>
      <c r="AH87" s="89"/>
      <c r="AI87" s="89"/>
      <c r="AJ87" s="89"/>
      <c r="AK87" s="89"/>
      <c r="AL87" s="89"/>
      <c r="AM87" s="89"/>
      <c r="AN87" s="89"/>
      <c r="AO87" s="89"/>
      <c r="AP87" s="89"/>
      <c r="AQ87" s="89"/>
      <c r="AR87" s="89"/>
      <c r="AS87" s="89"/>
      <c r="AT87" s="89"/>
      <c r="AU87" s="89"/>
      <c r="AV87" s="89"/>
      <c r="AW87" s="89"/>
      <c r="AX87" s="89"/>
    </row>
    <row r="88" s="36" customFormat="true" ht="15.75" hidden="false" customHeight="false" outlineLevel="0" collapsed="false">
      <c r="A88" s="89"/>
      <c r="B88" s="89"/>
      <c r="C88" s="89"/>
      <c r="D88" s="89"/>
      <c r="E88" s="89"/>
      <c r="F88" s="89"/>
      <c r="G88" s="89"/>
      <c r="H88" s="89"/>
      <c r="I88" s="89"/>
      <c r="J88" s="89"/>
      <c r="K88" s="89"/>
      <c r="L88" s="89"/>
      <c r="M88" s="89"/>
      <c r="N88" s="89"/>
      <c r="O88" s="89"/>
      <c r="P88" s="89"/>
      <c r="Q88" s="89"/>
      <c r="R88" s="89"/>
      <c r="S88" s="89"/>
      <c r="T88" s="89"/>
      <c r="U88" s="89"/>
      <c r="V88" s="89"/>
      <c r="W88" s="89"/>
      <c r="X88" s="89"/>
      <c r="Y88" s="89"/>
      <c r="Z88" s="89"/>
      <c r="AA88" s="89"/>
      <c r="AB88" s="89"/>
      <c r="AC88" s="89"/>
      <c r="AD88" s="89"/>
      <c r="AE88" s="89"/>
      <c r="AF88" s="89"/>
      <c r="AG88" s="89"/>
      <c r="AH88" s="89"/>
      <c r="AI88" s="89"/>
      <c r="AJ88" s="89"/>
      <c r="AK88" s="89"/>
      <c r="AL88" s="89"/>
      <c r="AM88" s="89"/>
      <c r="AN88" s="89"/>
      <c r="AO88" s="89"/>
      <c r="AP88" s="89"/>
      <c r="AQ88" s="89"/>
      <c r="AR88" s="89"/>
      <c r="AS88" s="89"/>
      <c r="AT88" s="89"/>
      <c r="AU88" s="89"/>
      <c r="AV88" s="89"/>
      <c r="AW88" s="89"/>
      <c r="AX88" s="89"/>
    </row>
    <row r="89" s="36" customFormat="true" ht="15.75" hidden="false" customHeight="false" outlineLevel="0" collapsed="false">
      <c r="A89" s="89"/>
      <c r="B89" s="89"/>
      <c r="C89" s="89"/>
      <c r="D89" s="89"/>
      <c r="E89" s="89"/>
      <c r="F89" s="89"/>
      <c r="G89" s="89"/>
      <c r="H89" s="89"/>
      <c r="I89" s="89"/>
      <c r="J89" s="89"/>
      <c r="K89" s="89"/>
      <c r="L89" s="89"/>
      <c r="M89" s="89"/>
      <c r="N89" s="89"/>
      <c r="O89" s="89"/>
      <c r="P89" s="89"/>
      <c r="Q89" s="89"/>
      <c r="R89" s="89"/>
      <c r="S89" s="89"/>
      <c r="T89" s="89"/>
      <c r="U89" s="89"/>
      <c r="V89" s="89"/>
      <c r="W89" s="89"/>
      <c r="X89" s="89"/>
      <c r="Y89" s="89"/>
      <c r="Z89" s="89"/>
      <c r="AA89" s="89"/>
      <c r="AB89" s="89"/>
      <c r="AC89" s="89"/>
      <c r="AD89" s="89"/>
      <c r="AE89" s="89"/>
      <c r="AF89" s="89"/>
      <c r="AG89" s="89"/>
      <c r="AH89" s="89"/>
      <c r="AI89" s="89"/>
      <c r="AJ89" s="89"/>
      <c r="AK89" s="89"/>
      <c r="AL89" s="89"/>
      <c r="AM89" s="89"/>
      <c r="AN89" s="89"/>
      <c r="AO89" s="89"/>
      <c r="AP89" s="89"/>
      <c r="AQ89" s="89"/>
      <c r="AR89" s="89"/>
      <c r="AS89" s="89"/>
      <c r="AT89" s="89"/>
      <c r="AU89" s="89"/>
      <c r="AV89" s="89"/>
      <c r="AW89" s="89"/>
      <c r="AX89" s="89"/>
    </row>
    <row r="90" s="36" customFormat="true" ht="15.75" hidden="false" customHeight="false" outlineLevel="0" collapsed="false">
      <c r="A90" s="89"/>
      <c r="B90" s="89"/>
      <c r="C90" s="89"/>
      <c r="D90" s="89"/>
      <c r="E90" s="89"/>
      <c r="F90" s="89"/>
      <c r="G90" s="89"/>
      <c r="H90" s="89"/>
      <c r="I90" s="89"/>
      <c r="J90" s="89"/>
      <c r="K90" s="89"/>
      <c r="L90" s="89"/>
      <c r="M90" s="89"/>
      <c r="N90" s="89"/>
      <c r="O90" s="89"/>
      <c r="P90" s="89"/>
      <c r="Q90" s="89"/>
      <c r="R90" s="89"/>
      <c r="S90" s="89"/>
      <c r="T90" s="89"/>
      <c r="U90" s="89"/>
      <c r="V90" s="89"/>
      <c r="W90" s="89"/>
      <c r="X90" s="89"/>
      <c r="Y90" s="89"/>
      <c r="Z90" s="89"/>
      <c r="AA90" s="89"/>
      <c r="AB90" s="89"/>
      <c r="AC90" s="89"/>
      <c r="AD90" s="89"/>
      <c r="AE90" s="89"/>
      <c r="AF90" s="89"/>
      <c r="AG90" s="89"/>
      <c r="AH90" s="89"/>
      <c r="AI90" s="89"/>
      <c r="AJ90" s="89"/>
      <c r="AK90" s="89"/>
      <c r="AL90" s="89"/>
      <c r="AM90" s="89"/>
      <c r="AN90" s="89"/>
      <c r="AO90" s="89"/>
      <c r="AP90" s="89"/>
      <c r="AQ90" s="89"/>
      <c r="AR90" s="89"/>
      <c r="AS90" s="89"/>
      <c r="AT90" s="89"/>
      <c r="AU90" s="89"/>
      <c r="AV90" s="89"/>
      <c r="AW90" s="89"/>
      <c r="AX90" s="89"/>
    </row>
    <row r="91" s="36" customFormat="true" ht="15.75" hidden="false" customHeight="false" outlineLevel="0" collapsed="false">
      <c r="A91" s="89"/>
      <c r="B91" s="89"/>
      <c r="C91" s="89"/>
      <c r="D91" s="89"/>
      <c r="E91" s="89"/>
      <c r="F91" s="89"/>
      <c r="G91" s="89"/>
      <c r="H91" s="89"/>
      <c r="I91" s="89"/>
      <c r="J91" s="89"/>
      <c r="K91" s="89"/>
      <c r="L91" s="89"/>
      <c r="M91" s="89"/>
      <c r="N91" s="89"/>
      <c r="O91" s="89"/>
      <c r="P91" s="89"/>
      <c r="Q91" s="89"/>
      <c r="R91" s="89"/>
      <c r="S91" s="89"/>
      <c r="T91" s="89"/>
      <c r="U91" s="89"/>
      <c r="V91" s="89"/>
      <c r="W91" s="89"/>
      <c r="X91" s="89"/>
      <c r="Y91" s="89"/>
      <c r="Z91" s="89"/>
      <c r="AA91" s="89"/>
      <c r="AB91" s="89"/>
      <c r="AC91" s="89"/>
      <c r="AD91" s="89"/>
      <c r="AE91" s="89"/>
      <c r="AF91" s="89"/>
      <c r="AG91" s="89"/>
      <c r="AH91" s="89"/>
      <c r="AI91" s="89"/>
      <c r="AJ91" s="89"/>
      <c r="AK91" s="89"/>
      <c r="AL91" s="89"/>
      <c r="AM91" s="89"/>
      <c r="AN91" s="89"/>
      <c r="AO91" s="89"/>
      <c r="AP91" s="89"/>
      <c r="AQ91" s="89"/>
      <c r="AR91" s="89"/>
      <c r="AS91" s="89"/>
      <c r="AT91" s="89"/>
      <c r="AU91" s="89"/>
      <c r="AV91" s="89"/>
      <c r="AW91" s="89"/>
      <c r="AX91" s="89"/>
    </row>
    <row r="92" s="36" customFormat="true" ht="15.75" hidden="false" customHeight="false" outlineLevel="0" collapsed="false">
      <c r="A92" s="89"/>
      <c r="B92" s="89"/>
      <c r="C92" s="89"/>
      <c r="D92" s="89"/>
      <c r="E92" s="89"/>
      <c r="F92" s="89"/>
      <c r="G92" s="89"/>
      <c r="H92" s="89"/>
      <c r="I92" s="89"/>
      <c r="J92" s="89"/>
      <c r="K92" s="89"/>
      <c r="L92" s="89"/>
      <c r="M92" s="89"/>
      <c r="N92" s="89"/>
      <c r="O92" s="89"/>
      <c r="P92" s="89"/>
      <c r="Q92" s="89"/>
      <c r="R92" s="89"/>
      <c r="S92" s="89"/>
      <c r="T92" s="89"/>
      <c r="U92" s="89"/>
      <c r="V92" s="89"/>
      <c r="W92" s="89"/>
      <c r="X92" s="89"/>
      <c r="Y92" s="89"/>
      <c r="Z92" s="89"/>
      <c r="AA92" s="89"/>
      <c r="AB92" s="89"/>
      <c r="AC92" s="89"/>
      <c r="AD92" s="89"/>
      <c r="AE92" s="89"/>
      <c r="AF92" s="89"/>
      <c r="AG92" s="89"/>
      <c r="AH92" s="89"/>
      <c r="AI92" s="89"/>
      <c r="AJ92" s="89"/>
      <c r="AK92" s="89"/>
      <c r="AL92" s="89"/>
      <c r="AM92" s="89"/>
      <c r="AN92" s="89"/>
      <c r="AO92" s="89"/>
      <c r="AP92" s="89"/>
      <c r="AQ92" s="89"/>
      <c r="AR92" s="89"/>
      <c r="AS92" s="89"/>
      <c r="AT92" s="89"/>
      <c r="AU92" s="89"/>
      <c r="AV92" s="89"/>
      <c r="AW92" s="89"/>
      <c r="AX92" s="89"/>
    </row>
    <row r="93" s="36" customFormat="true" ht="15.75" hidden="false" customHeight="false" outlineLevel="0" collapsed="false">
      <c r="A93" s="89"/>
      <c r="B93" s="89"/>
      <c r="C93" s="89"/>
      <c r="D93" s="89"/>
      <c r="E93" s="89"/>
      <c r="F93" s="89"/>
      <c r="G93" s="89"/>
      <c r="H93" s="89"/>
      <c r="I93" s="89"/>
      <c r="J93" s="89"/>
      <c r="K93" s="89"/>
      <c r="L93" s="89"/>
      <c r="M93" s="89"/>
      <c r="N93" s="89"/>
      <c r="O93" s="89"/>
      <c r="P93" s="89"/>
      <c r="Q93" s="89"/>
      <c r="R93" s="89"/>
      <c r="S93" s="89"/>
      <c r="T93" s="89"/>
      <c r="U93" s="89"/>
      <c r="V93" s="89"/>
      <c r="W93" s="89"/>
      <c r="X93" s="89"/>
      <c r="Y93" s="89"/>
      <c r="Z93" s="89"/>
      <c r="AA93" s="89"/>
      <c r="AB93" s="89"/>
      <c r="AC93" s="89"/>
      <c r="AD93" s="89"/>
      <c r="AE93" s="89"/>
      <c r="AF93" s="89"/>
      <c r="AG93" s="89"/>
      <c r="AH93" s="89"/>
      <c r="AI93" s="89"/>
      <c r="AJ93" s="89"/>
      <c r="AK93" s="89"/>
      <c r="AL93" s="89"/>
      <c r="AM93" s="89"/>
      <c r="AN93" s="89"/>
      <c r="AO93" s="89"/>
      <c r="AP93" s="89"/>
      <c r="AQ93" s="89"/>
      <c r="AR93" s="89"/>
      <c r="AS93" s="89"/>
      <c r="AT93" s="89"/>
      <c r="AU93" s="89"/>
      <c r="AV93" s="89"/>
      <c r="AW93" s="89"/>
      <c r="AX93" s="89"/>
    </row>
    <row r="94" s="36" customFormat="true" ht="15.75" hidden="false" customHeight="false" outlineLevel="0" collapsed="false">
      <c r="A94" s="89"/>
      <c r="B94" s="89"/>
      <c r="C94" s="89"/>
      <c r="D94" s="89"/>
      <c r="E94" s="89"/>
      <c r="F94" s="89"/>
      <c r="G94" s="89"/>
      <c r="H94" s="89"/>
      <c r="I94" s="89"/>
      <c r="J94" s="89"/>
      <c r="K94" s="89"/>
      <c r="L94" s="89"/>
      <c r="M94" s="89"/>
      <c r="N94" s="89"/>
      <c r="O94" s="89"/>
      <c r="P94" s="89"/>
      <c r="Q94" s="89"/>
      <c r="R94" s="89"/>
      <c r="S94" s="89"/>
      <c r="T94" s="89"/>
      <c r="U94" s="89"/>
      <c r="V94" s="89"/>
      <c r="W94" s="89"/>
      <c r="X94" s="89"/>
      <c r="Y94" s="89"/>
      <c r="Z94" s="89"/>
      <c r="AA94" s="89"/>
      <c r="AB94" s="89"/>
      <c r="AC94" s="89"/>
      <c r="AD94" s="89"/>
      <c r="AE94" s="89"/>
      <c r="AF94" s="89"/>
      <c r="AG94" s="89"/>
      <c r="AH94" s="89"/>
      <c r="AI94" s="89"/>
      <c r="AJ94" s="89"/>
      <c r="AK94" s="89"/>
      <c r="AL94" s="89"/>
      <c r="AM94" s="89"/>
      <c r="AN94" s="89"/>
      <c r="AO94" s="89"/>
      <c r="AP94" s="89"/>
      <c r="AQ94" s="89"/>
      <c r="AR94" s="89"/>
      <c r="AS94" s="89"/>
      <c r="AT94" s="89"/>
      <c r="AU94" s="89"/>
      <c r="AV94" s="89"/>
      <c r="AW94" s="89"/>
      <c r="AX94" s="89"/>
    </row>
    <row r="95" s="36" customFormat="true" ht="15.75" hidden="false" customHeight="false" outlineLevel="0" collapsed="false">
      <c r="A95" s="89"/>
      <c r="B95" s="89"/>
      <c r="C95" s="89"/>
      <c r="D95" s="89"/>
      <c r="E95" s="89"/>
      <c r="F95" s="89"/>
      <c r="G95" s="89"/>
      <c r="H95" s="89"/>
      <c r="I95" s="89"/>
      <c r="J95" s="89"/>
      <c r="K95" s="89"/>
      <c r="L95" s="89"/>
      <c r="M95" s="89"/>
      <c r="N95" s="89"/>
      <c r="O95" s="89"/>
      <c r="P95" s="89"/>
      <c r="Q95" s="89"/>
      <c r="R95" s="89"/>
      <c r="S95" s="89"/>
      <c r="T95" s="89"/>
      <c r="U95" s="89"/>
      <c r="V95" s="89"/>
      <c r="W95" s="89"/>
      <c r="X95" s="89"/>
      <c r="Y95" s="89"/>
      <c r="Z95" s="89"/>
      <c r="AA95" s="89"/>
      <c r="AB95" s="89"/>
      <c r="AC95" s="89"/>
      <c r="AD95" s="89"/>
      <c r="AE95" s="89"/>
      <c r="AF95" s="89"/>
      <c r="AG95" s="89"/>
      <c r="AH95" s="89"/>
      <c r="AI95" s="89"/>
      <c r="AJ95" s="89"/>
      <c r="AK95" s="89"/>
      <c r="AL95" s="89"/>
      <c r="AM95" s="89"/>
      <c r="AN95" s="89"/>
      <c r="AO95" s="89"/>
      <c r="AP95" s="89"/>
      <c r="AQ95" s="89"/>
      <c r="AR95" s="89"/>
      <c r="AS95" s="89"/>
      <c r="AT95" s="89"/>
      <c r="AU95" s="89"/>
      <c r="AV95" s="89"/>
      <c r="AW95" s="89"/>
      <c r="AX95" s="89"/>
    </row>
    <row r="96" s="36" customFormat="true" ht="15.75" hidden="false" customHeight="false" outlineLevel="0" collapsed="false">
      <c r="A96" s="89"/>
      <c r="B96" s="89"/>
      <c r="C96" s="89"/>
      <c r="D96" s="89"/>
      <c r="E96" s="89"/>
      <c r="F96" s="89"/>
      <c r="G96" s="89"/>
      <c r="H96" s="89"/>
      <c r="I96" s="89"/>
      <c r="J96" s="89"/>
      <c r="K96" s="89"/>
      <c r="L96" s="89"/>
      <c r="M96" s="89"/>
      <c r="N96" s="89"/>
      <c r="O96" s="89"/>
      <c r="P96" s="89"/>
      <c r="Q96" s="89"/>
      <c r="R96" s="89"/>
      <c r="S96" s="89"/>
      <c r="T96" s="89"/>
      <c r="U96" s="89"/>
      <c r="V96" s="89"/>
      <c r="W96" s="89"/>
      <c r="X96" s="89"/>
      <c r="Y96" s="89"/>
      <c r="Z96" s="89"/>
      <c r="AA96" s="89"/>
      <c r="AB96" s="89"/>
      <c r="AC96" s="89"/>
      <c r="AD96" s="89"/>
      <c r="AE96" s="89"/>
      <c r="AF96" s="89"/>
      <c r="AG96" s="89"/>
      <c r="AH96" s="89"/>
      <c r="AI96" s="89"/>
      <c r="AJ96" s="89"/>
      <c r="AK96" s="89"/>
      <c r="AL96" s="89"/>
      <c r="AM96" s="89"/>
      <c r="AN96" s="89"/>
      <c r="AO96" s="89"/>
      <c r="AP96" s="89"/>
      <c r="AQ96" s="89"/>
      <c r="AR96" s="89"/>
      <c r="AS96" s="89"/>
      <c r="AT96" s="89"/>
      <c r="AU96" s="89"/>
      <c r="AV96" s="89"/>
      <c r="AW96" s="89"/>
      <c r="AX96" s="89"/>
    </row>
    <row r="97" s="36" customFormat="true" ht="15.75" hidden="false" customHeight="false" outlineLevel="0" collapsed="false">
      <c r="A97" s="89"/>
      <c r="B97" s="89"/>
      <c r="C97" s="89"/>
      <c r="D97" s="89"/>
      <c r="E97" s="89"/>
      <c r="F97" s="89"/>
      <c r="G97" s="89"/>
      <c r="H97" s="89"/>
      <c r="I97" s="89"/>
      <c r="J97" s="89"/>
      <c r="K97" s="89"/>
      <c r="L97" s="89"/>
      <c r="M97" s="89"/>
      <c r="N97" s="89"/>
      <c r="O97" s="89"/>
      <c r="P97" s="89"/>
      <c r="Q97" s="89"/>
      <c r="R97" s="89"/>
      <c r="S97" s="89"/>
      <c r="T97" s="89"/>
      <c r="U97" s="89"/>
      <c r="V97" s="89"/>
      <c r="W97" s="89"/>
      <c r="X97" s="89"/>
      <c r="Y97" s="89"/>
      <c r="Z97" s="89"/>
      <c r="AA97" s="89"/>
      <c r="AB97" s="89"/>
      <c r="AC97" s="89"/>
      <c r="AD97" s="89"/>
      <c r="AE97" s="89"/>
      <c r="AF97" s="89"/>
      <c r="AG97" s="89"/>
      <c r="AH97" s="89"/>
      <c r="AI97" s="89"/>
      <c r="AJ97" s="89"/>
      <c r="AK97" s="89"/>
      <c r="AL97" s="89"/>
      <c r="AM97" s="89"/>
      <c r="AN97" s="89"/>
      <c r="AO97" s="89"/>
      <c r="AP97" s="89"/>
      <c r="AQ97" s="89"/>
      <c r="AR97" s="89"/>
      <c r="AS97" s="89"/>
      <c r="AT97" s="89"/>
      <c r="AU97" s="89"/>
      <c r="AV97" s="89"/>
      <c r="AW97" s="89"/>
      <c r="AX97" s="89"/>
    </row>
    <row r="98" s="36" customFormat="true" ht="15.75" hidden="false" customHeight="false" outlineLevel="0" collapsed="false">
      <c r="A98" s="89"/>
      <c r="B98" s="89"/>
      <c r="C98" s="89"/>
      <c r="D98" s="89"/>
      <c r="E98" s="89"/>
      <c r="F98" s="89"/>
      <c r="G98" s="89"/>
      <c r="H98" s="89"/>
      <c r="I98" s="89"/>
      <c r="J98" s="89"/>
      <c r="K98" s="89"/>
      <c r="L98" s="89"/>
      <c r="M98" s="89"/>
      <c r="N98" s="89"/>
      <c r="O98" s="89"/>
      <c r="P98" s="89"/>
      <c r="Q98" s="89"/>
      <c r="R98" s="89"/>
      <c r="S98" s="89"/>
      <c r="T98" s="89"/>
      <c r="U98" s="89"/>
      <c r="V98" s="89"/>
      <c r="W98" s="89"/>
      <c r="X98" s="89"/>
      <c r="Y98" s="89"/>
      <c r="Z98" s="89"/>
      <c r="AA98" s="89"/>
      <c r="AB98" s="89"/>
      <c r="AC98" s="89"/>
      <c r="AD98" s="89"/>
      <c r="AE98" s="89"/>
      <c r="AF98" s="89"/>
      <c r="AG98" s="89"/>
      <c r="AH98" s="89"/>
      <c r="AI98" s="89"/>
      <c r="AJ98" s="89"/>
      <c r="AK98" s="89"/>
      <c r="AL98" s="89"/>
      <c r="AM98" s="89"/>
      <c r="AN98" s="89"/>
      <c r="AO98" s="89"/>
      <c r="AP98" s="89"/>
      <c r="AQ98" s="89"/>
      <c r="AR98" s="89"/>
      <c r="AS98" s="89"/>
      <c r="AT98" s="89"/>
      <c r="AU98" s="89"/>
      <c r="AV98" s="89"/>
      <c r="AW98" s="89"/>
      <c r="AX98" s="89"/>
    </row>
    <row r="99" s="36" customFormat="true" ht="15.75" hidden="false" customHeight="false" outlineLevel="0" collapsed="false">
      <c r="A99" s="89"/>
      <c r="B99" s="89"/>
      <c r="C99" s="89"/>
      <c r="D99" s="89"/>
      <c r="E99" s="89"/>
      <c r="F99" s="89"/>
      <c r="G99" s="89"/>
      <c r="H99" s="89"/>
      <c r="I99" s="89"/>
      <c r="J99" s="89"/>
      <c r="K99" s="89"/>
      <c r="L99" s="89"/>
      <c r="M99" s="89"/>
      <c r="N99" s="89"/>
      <c r="O99" s="89"/>
      <c r="P99" s="89"/>
      <c r="Q99" s="89"/>
      <c r="R99" s="89"/>
      <c r="S99" s="89"/>
      <c r="T99" s="89"/>
      <c r="U99" s="89"/>
      <c r="V99" s="89"/>
      <c r="W99" s="89"/>
      <c r="X99" s="89"/>
      <c r="Y99" s="89"/>
      <c r="Z99" s="89"/>
      <c r="AA99" s="89"/>
      <c r="AB99" s="89"/>
      <c r="AC99" s="89"/>
      <c r="AD99" s="89"/>
      <c r="AE99" s="89"/>
      <c r="AF99" s="89"/>
      <c r="AG99" s="89"/>
      <c r="AH99" s="89"/>
      <c r="AI99" s="89"/>
      <c r="AJ99" s="89"/>
      <c r="AK99" s="89"/>
      <c r="AL99" s="89"/>
      <c r="AM99" s="89"/>
      <c r="AN99" s="89"/>
      <c r="AO99" s="89"/>
      <c r="AP99" s="89"/>
      <c r="AQ99" s="89"/>
      <c r="AR99" s="89"/>
      <c r="AS99" s="89"/>
      <c r="AT99" s="89"/>
      <c r="AU99" s="89"/>
      <c r="AV99" s="89"/>
      <c r="AW99" s="89"/>
      <c r="AX99" s="89"/>
    </row>
    <row r="100" s="36" customFormat="true" ht="15.75" hidden="false" customHeight="false" outlineLevel="0" collapsed="false">
      <c r="A100" s="89"/>
      <c r="B100" s="89"/>
      <c r="C100" s="89"/>
      <c r="D100" s="89"/>
      <c r="E100" s="89"/>
      <c r="F100" s="89"/>
      <c r="G100" s="89"/>
      <c r="H100" s="89"/>
      <c r="I100" s="89"/>
      <c r="J100" s="89"/>
      <c r="K100" s="89"/>
      <c r="L100" s="89"/>
      <c r="M100" s="89"/>
      <c r="N100" s="89"/>
      <c r="O100" s="89"/>
      <c r="P100" s="89"/>
      <c r="Q100" s="89"/>
      <c r="R100" s="89"/>
      <c r="S100" s="89"/>
      <c r="T100" s="89"/>
      <c r="U100" s="89"/>
      <c r="V100" s="89"/>
      <c r="W100" s="89"/>
      <c r="X100" s="89"/>
      <c r="Y100" s="89"/>
      <c r="Z100" s="89"/>
      <c r="AA100" s="89"/>
      <c r="AB100" s="89"/>
      <c r="AC100" s="89"/>
      <c r="AD100" s="89"/>
      <c r="AE100" s="89"/>
      <c r="AF100" s="89"/>
      <c r="AG100" s="89"/>
      <c r="AH100" s="89"/>
      <c r="AI100" s="89"/>
      <c r="AJ100" s="89"/>
      <c r="AK100" s="89"/>
      <c r="AL100" s="89"/>
      <c r="AM100" s="89"/>
      <c r="AN100" s="89"/>
      <c r="AO100" s="89"/>
      <c r="AP100" s="89"/>
      <c r="AQ100" s="89"/>
      <c r="AR100" s="89"/>
      <c r="AS100" s="89"/>
      <c r="AT100" s="89"/>
      <c r="AU100" s="89"/>
      <c r="AV100" s="89"/>
      <c r="AW100" s="89"/>
      <c r="AX100" s="89"/>
    </row>
    <row r="101" s="36" customFormat="true" ht="15.75" hidden="false" customHeight="false" outlineLevel="0" collapsed="false">
      <c r="A101" s="89"/>
      <c r="B101" s="89"/>
      <c r="C101" s="89"/>
      <c r="D101" s="89"/>
      <c r="E101" s="89"/>
      <c r="F101" s="89"/>
      <c r="G101" s="89"/>
      <c r="H101" s="89"/>
      <c r="I101" s="89"/>
      <c r="J101" s="89"/>
      <c r="K101" s="89"/>
      <c r="L101" s="89"/>
      <c r="M101" s="89"/>
      <c r="N101" s="89"/>
      <c r="O101" s="89"/>
      <c r="P101" s="89"/>
      <c r="Q101" s="89"/>
      <c r="R101" s="89"/>
      <c r="S101" s="89"/>
      <c r="T101" s="89"/>
      <c r="U101" s="89"/>
      <c r="V101" s="89"/>
      <c r="W101" s="89"/>
      <c r="X101" s="89"/>
      <c r="Y101" s="89"/>
      <c r="Z101" s="89"/>
      <c r="AA101" s="89"/>
      <c r="AB101" s="89"/>
      <c r="AC101" s="89"/>
      <c r="AD101" s="89"/>
      <c r="AE101" s="89"/>
      <c r="AF101" s="89"/>
      <c r="AG101" s="89"/>
      <c r="AH101" s="89"/>
      <c r="AI101" s="89"/>
      <c r="AJ101" s="89"/>
      <c r="AK101" s="89"/>
      <c r="AL101" s="89"/>
      <c r="AM101" s="89"/>
      <c r="AN101" s="89"/>
      <c r="AO101" s="89"/>
      <c r="AP101" s="89"/>
      <c r="AQ101" s="89"/>
      <c r="AR101" s="89"/>
      <c r="AS101" s="89"/>
      <c r="AT101" s="89"/>
      <c r="AU101" s="89"/>
      <c r="AV101" s="89"/>
      <c r="AW101" s="89"/>
      <c r="AX101" s="89"/>
    </row>
    <row r="102" s="36" customFormat="true" ht="15.75" hidden="false" customHeight="false" outlineLevel="0" collapsed="false">
      <c r="A102" s="89"/>
      <c r="B102" s="89"/>
      <c r="C102" s="89"/>
      <c r="D102" s="89"/>
      <c r="E102" s="89"/>
      <c r="F102" s="89"/>
      <c r="G102" s="89"/>
      <c r="H102" s="89"/>
      <c r="I102" s="89"/>
      <c r="J102" s="89"/>
      <c r="K102" s="89"/>
      <c r="L102" s="89"/>
      <c r="M102" s="89"/>
      <c r="N102" s="89"/>
      <c r="O102" s="89"/>
      <c r="P102" s="89"/>
      <c r="Q102" s="89"/>
      <c r="R102" s="89"/>
      <c r="S102" s="89"/>
      <c r="T102" s="89"/>
      <c r="U102" s="89"/>
      <c r="V102" s="89"/>
      <c r="W102" s="89"/>
      <c r="X102" s="89"/>
      <c r="Y102" s="89"/>
      <c r="Z102" s="89"/>
      <c r="AA102" s="89"/>
      <c r="AB102" s="89"/>
      <c r="AC102" s="89"/>
      <c r="AD102" s="89"/>
      <c r="AE102" s="89"/>
      <c r="AF102" s="89"/>
      <c r="AG102" s="89"/>
      <c r="AH102" s="89"/>
      <c r="AI102" s="89"/>
      <c r="AJ102" s="89"/>
      <c r="AK102" s="89"/>
      <c r="AL102" s="89"/>
      <c r="AM102" s="89"/>
      <c r="AN102" s="89"/>
      <c r="AO102" s="89"/>
      <c r="AP102" s="89"/>
      <c r="AQ102" s="89"/>
      <c r="AR102" s="89"/>
      <c r="AS102" s="89"/>
      <c r="AT102" s="89"/>
      <c r="AU102" s="89"/>
      <c r="AV102" s="89"/>
      <c r="AW102" s="89"/>
      <c r="AX102" s="89"/>
    </row>
    <row r="103" s="36" customFormat="true" ht="15.75" hidden="false" customHeight="false" outlineLevel="0" collapsed="false">
      <c r="A103" s="89"/>
      <c r="B103" s="89"/>
      <c r="C103" s="89"/>
      <c r="D103" s="89"/>
      <c r="E103" s="89"/>
      <c r="F103" s="89"/>
      <c r="G103" s="89"/>
      <c r="H103" s="89"/>
      <c r="I103" s="89"/>
      <c r="J103" s="89"/>
      <c r="K103" s="89"/>
      <c r="L103" s="89"/>
      <c r="M103" s="89"/>
      <c r="N103" s="89"/>
      <c r="O103" s="89"/>
      <c r="P103" s="89"/>
      <c r="Q103" s="89"/>
      <c r="R103" s="89"/>
      <c r="S103" s="89"/>
      <c r="T103" s="89"/>
      <c r="U103" s="89"/>
      <c r="V103" s="89"/>
      <c r="W103" s="89"/>
      <c r="X103" s="89"/>
      <c r="Y103" s="89"/>
      <c r="Z103" s="89"/>
      <c r="AA103" s="89"/>
      <c r="AB103" s="89"/>
      <c r="AC103" s="89"/>
      <c r="AD103" s="89"/>
      <c r="AE103" s="89"/>
      <c r="AF103" s="89"/>
      <c r="AG103" s="89"/>
      <c r="AH103" s="89"/>
      <c r="AI103" s="89"/>
      <c r="AJ103" s="89"/>
      <c r="AK103" s="89"/>
      <c r="AL103" s="89"/>
      <c r="AM103" s="89"/>
      <c r="AN103" s="89"/>
      <c r="AO103" s="89"/>
      <c r="AP103" s="89"/>
      <c r="AQ103" s="89"/>
      <c r="AR103" s="89"/>
      <c r="AS103" s="89"/>
      <c r="AT103" s="89"/>
      <c r="AU103" s="89"/>
      <c r="AV103" s="89"/>
      <c r="AW103" s="89"/>
      <c r="AX103" s="89"/>
    </row>
    <row r="104" s="36" customFormat="true" ht="15.75" hidden="false" customHeight="false" outlineLevel="0" collapsed="false">
      <c r="A104" s="89"/>
      <c r="B104" s="89"/>
      <c r="C104" s="89"/>
      <c r="D104" s="89"/>
      <c r="E104" s="89"/>
      <c r="F104" s="89"/>
      <c r="G104" s="89"/>
      <c r="H104" s="89"/>
      <c r="I104" s="89"/>
      <c r="J104" s="89"/>
      <c r="K104" s="89"/>
      <c r="L104" s="89"/>
      <c r="M104" s="89"/>
      <c r="N104" s="89"/>
      <c r="O104" s="89"/>
      <c r="P104" s="89"/>
      <c r="Q104" s="89"/>
      <c r="R104" s="89"/>
      <c r="S104" s="89"/>
      <c r="T104" s="89"/>
      <c r="U104" s="89"/>
      <c r="V104" s="89"/>
      <c r="W104" s="89"/>
      <c r="X104" s="89"/>
      <c r="Y104" s="89"/>
      <c r="Z104" s="89"/>
      <c r="AA104" s="89"/>
      <c r="AB104" s="89"/>
      <c r="AC104" s="89"/>
      <c r="AD104" s="89"/>
      <c r="AE104" s="89"/>
      <c r="AF104" s="89"/>
      <c r="AG104" s="89"/>
      <c r="AH104" s="89"/>
      <c r="AI104" s="89"/>
      <c r="AJ104" s="89"/>
      <c r="AK104" s="89"/>
      <c r="AL104" s="89"/>
      <c r="AM104" s="89"/>
      <c r="AN104" s="89"/>
      <c r="AO104" s="89"/>
      <c r="AP104" s="89"/>
      <c r="AQ104" s="89"/>
      <c r="AR104" s="89"/>
      <c r="AS104" s="89"/>
      <c r="AT104" s="89"/>
      <c r="AU104" s="89"/>
      <c r="AV104" s="89"/>
      <c r="AW104" s="89"/>
      <c r="AX104" s="89"/>
    </row>
    <row r="105" s="36" customFormat="true" ht="15.75" hidden="false" customHeight="false" outlineLevel="0" collapsed="false">
      <c r="A105" s="89"/>
      <c r="B105" s="89"/>
      <c r="C105" s="89"/>
      <c r="D105" s="89"/>
      <c r="E105" s="89"/>
      <c r="F105" s="89"/>
      <c r="G105" s="89"/>
      <c r="H105" s="89"/>
      <c r="I105" s="89"/>
      <c r="J105" s="89"/>
      <c r="K105" s="89"/>
      <c r="L105" s="89"/>
      <c r="M105" s="89"/>
      <c r="N105" s="89"/>
      <c r="O105" s="89"/>
      <c r="P105" s="89"/>
      <c r="Q105" s="89"/>
      <c r="R105" s="89"/>
      <c r="S105" s="89"/>
      <c r="T105" s="89"/>
      <c r="U105" s="89"/>
      <c r="V105" s="89"/>
      <c r="W105" s="89"/>
      <c r="X105" s="89"/>
      <c r="Y105" s="89"/>
      <c r="Z105" s="89"/>
      <c r="AA105" s="89"/>
      <c r="AB105" s="89"/>
      <c r="AC105" s="89"/>
      <c r="AD105" s="89"/>
      <c r="AE105" s="89"/>
      <c r="AF105" s="89"/>
      <c r="AG105" s="89"/>
      <c r="AH105" s="89"/>
      <c r="AI105" s="89"/>
      <c r="AJ105" s="89"/>
      <c r="AK105" s="89"/>
      <c r="AL105" s="89"/>
      <c r="AM105" s="89"/>
      <c r="AN105" s="89"/>
      <c r="AO105" s="89"/>
      <c r="AP105" s="89"/>
      <c r="AQ105" s="89"/>
      <c r="AR105" s="89"/>
      <c r="AS105" s="89"/>
      <c r="AT105" s="89"/>
      <c r="AU105" s="89"/>
      <c r="AV105" s="89"/>
      <c r="AW105" s="89"/>
      <c r="AX105" s="89"/>
    </row>
    <row r="106" s="36" customFormat="true" ht="15.75" hidden="false" customHeight="false" outlineLevel="0" collapsed="false">
      <c r="A106" s="89"/>
      <c r="B106" s="89"/>
      <c r="C106" s="89"/>
      <c r="D106" s="89"/>
      <c r="E106" s="89"/>
      <c r="F106" s="89"/>
      <c r="G106" s="89"/>
      <c r="H106" s="89"/>
      <c r="I106" s="89"/>
      <c r="J106" s="89"/>
      <c r="K106" s="89"/>
      <c r="L106" s="89"/>
      <c r="M106" s="89"/>
      <c r="N106" s="89"/>
      <c r="O106" s="89"/>
      <c r="P106" s="89"/>
      <c r="Q106" s="89"/>
      <c r="R106" s="89"/>
      <c r="S106" s="89"/>
      <c r="T106" s="89"/>
      <c r="U106" s="89"/>
      <c r="V106" s="89"/>
      <c r="W106" s="89"/>
      <c r="X106" s="89"/>
      <c r="Y106" s="89"/>
      <c r="Z106" s="89"/>
      <c r="AA106" s="89"/>
      <c r="AB106" s="89"/>
      <c r="AC106" s="89"/>
      <c r="AD106" s="89"/>
      <c r="AE106" s="89"/>
      <c r="AF106" s="89"/>
      <c r="AG106" s="89"/>
      <c r="AH106" s="89"/>
      <c r="AI106" s="89"/>
      <c r="AJ106" s="89"/>
      <c r="AK106" s="89"/>
      <c r="AL106" s="89"/>
      <c r="AM106" s="89"/>
      <c r="AN106" s="89"/>
      <c r="AO106" s="89"/>
      <c r="AP106" s="89"/>
      <c r="AQ106" s="89"/>
      <c r="AR106" s="89"/>
      <c r="AS106" s="89"/>
      <c r="AT106" s="89"/>
      <c r="AU106" s="89"/>
      <c r="AV106" s="89"/>
      <c r="AW106" s="89"/>
      <c r="AX106" s="89"/>
    </row>
    <row r="107" s="36" customFormat="true" ht="15.75" hidden="false" customHeight="false" outlineLevel="0" collapsed="false">
      <c r="A107" s="89"/>
      <c r="B107" s="89"/>
      <c r="C107" s="89"/>
      <c r="D107" s="89"/>
      <c r="E107" s="89"/>
      <c r="F107" s="89"/>
      <c r="G107" s="89"/>
      <c r="H107" s="89"/>
      <c r="I107" s="89"/>
      <c r="J107" s="89"/>
      <c r="K107" s="89"/>
      <c r="L107" s="89"/>
      <c r="M107" s="89"/>
      <c r="N107" s="89"/>
      <c r="O107" s="89"/>
      <c r="P107" s="89"/>
      <c r="Q107" s="89"/>
      <c r="R107" s="89"/>
      <c r="S107" s="89"/>
      <c r="T107" s="89"/>
      <c r="U107" s="89"/>
      <c r="V107" s="89"/>
      <c r="W107" s="89"/>
      <c r="X107" s="89"/>
      <c r="Y107" s="89"/>
      <c r="Z107" s="89"/>
      <c r="AA107" s="89"/>
      <c r="AB107" s="89"/>
      <c r="AC107" s="89"/>
      <c r="AD107" s="89"/>
      <c r="AE107" s="89"/>
      <c r="AF107" s="89"/>
      <c r="AG107" s="89"/>
      <c r="AH107" s="89"/>
      <c r="AI107" s="89"/>
      <c r="AJ107" s="89"/>
      <c r="AK107" s="89"/>
      <c r="AL107" s="89"/>
      <c r="AM107" s="89"/>
      <c r="AN107" s="89"/>
      <c r="AO107" s="89"/>
      <c r="AP107" s="89"/>
      <c r="AQ107" s="89"/>
      <c r="AR107" s="89"/>
      <c r="AS107" s="89"/>
      <c r="AT107" s="89"/>
      <c r="AU107" s="89"/>
      <c r="AV107" s="89"/>
      <c r="AW107" s="89"/>
      <c r="AX107" s="89"/>
    </row>
    <row r="108" s="36" customFormat="true" ht="15.75" hidden="false" customHeight="false" outlineLevel="0" collapsed="false">
      <c r="A108" s="89"/>
      <c r="B108" s="89"/>
      <c r="C108" s="89"/>
      <c r="D108" s="89"/>
      <c r="E108" s="89"/>
      <c r="F108" s="89"/>
      <c r="G108" s="89"/>
      <c r="H108" s="89"/>
      <c r="I108" s="89"/>
      <c r="J108" s="89"/>
      <c r="K108" s="89"/>
      <c r="L108" s="89"/>
      <c r="M108" s="89"/>
      <c r="N108" s="89"/>
      <c r="O108" s="89"/>
      <c r="P108" s="89"/>
      <c r="Q108" s="89"/>
      <c r="R108" s="89"/>
      <c r="S108" s="89"/>
      <c r="T108" s="89"/>
      <c r="U108" s="89"/>
      <c r="V108" s="89"/>
      <c r="W108" s="89"/>
      <c r="X108" s="89"/>
      <c r="Y108" s="89"/>
      <c r="Z108" s="89"/>
      <c r="AA108" s="89"/>
      <c r="AB108" s="89"/>
      <c r="AC108" s="89"/>
      <c r="AD108" s="89"/>
      <c r="AE108" s="89"/>
      <c r="AF108" s="89"/>
      <c r="AG108" s="89"/>
      <c r="AH108" s="89"/>
      <c r="AI108" s="89"/>
      <c r="AJ108" s="89"/>
      <c r="AK108" s="89"/>
      <c r="AL108" s="89"/>
      <c r="AM108" s="89"/>
      <c r="AN108" s="89"/>
      <c r="AO108" s="89"/>
      <c r="AP108" s="89"/>
      <c r="AQ108" s="89"/>
      <c r="AR108" s="89"/>
      <c r="AS108" s="89"/>
      <c r="AT108" s="89"/>
      <c r="AU108" s="89"/>
      <c r="AV108" s="89"/>
      <c r="AW108" s="89"/>
      <c r="AX108" s="89"/>
    </row>
    <row r="109" s="36" customFormat="true" ht="15.75" hidden="false" customHeight="false" outlineLevel="0" collapsed="false">
      <c r="A109" s="89"/>
      <c r="B109" s="89"/>
      <c r="C109" s="89"/>
      <c r="D109" s="89"/>
      <c r="E109" s="89"/>
      <c r="F109" s="89"/>
      <c r="G109" s="89"/>
      <c r="H109" s="89"/>
      <c r="I109" s="89"/>
      <c r="J109" s="89"/>
      <c r="K109" s="89"/>
      <c r="L109" s="89"/>
      <c r="M109" s="89"/>
      <c r="N109" s="89"/>
      <c r="O109" s="89"/>
      <c r="P109" s="89"/>
      <c r="Q109" s="89"/>
      <c r="R109" s="89"/>
      <c r="S109" s="89"/>
      <c r="T109" s="89"/>
      <c r="U109" s="89"/>
      <c r="V109" s="89"/>
      <c r="W109" s="89"/>
      <c r="X109" s="89"/>
      <c r="Y109" s="89"/>
      <c r="Z109" s="89"/>
      <c r="AA109" s="89"/>
      <c r="AB109" s="89"/>
      <c r="AC109" s="89"/>
      <c r="AD109" s="89"/>
      <c r="AE109" s="89"/>
      <c r="AF109" s="89"/>
      <c r="AG109" s="89"/>
      <c r="AH109" s="89"/>
      <c r="AI109" s="89"/>
      <c r="AJ109" s="89"/>
      <c r="AK109" s="89"/>
      <c r="AL109" s="89"/>
      <c r="AM109" s="89"/>
      <c r="AN109" s="89"/>
      <c r="AO109" s="89"/>
      <c r="AP109" s="89"/>
      <c r="AQ109" s="89"/>
      <c r="AR109" s="89"/>
      <c r="AS109" s="89"/>
      <c r="AT109" s="89"/>
      <c r="AU109" s="89"/>
      <c r="AV109" s="89"/>
      <c r="AW109" s="89"/>
      <c r="AX109" s="89"/>
    </row>
    <row r="110" s="36" customFormat="true" ht="15.75" hidden="false" customHeight="false" outlineLevel="0" collapsed="false">
      <c r="A110" s="89"/>
      <c r="B110" s="89"/>
      <c r="C110" s="89"/>
      <c r="D110" s="89"/>
      <c r="E110" s="89"/>
      <c r="F110" s="89"/>
      <c r="G110" s="89"/>
      <c r="H110" s="89"/>
      <c r="I110" s="89"/>
      <c r="J110" s="89"/>
      <c r="K110" s="89"/>
      <c r="L110" s="89"/>
      <c r="M110" s="89"/>
      <c r="N110" s="89"/>
      <c r="O110" s="89"/>
      <c r="P110" s="89"/>
      <c r="Q110" s="89"/>
      <c r="R110" s="89"/>
      <c r="S110" s="89"/>
      <c r="T110" s="89"/>
      <c r="U110" s="89"/>
      <c r="V110" s="89"/>
      <c r="W110" s="89"/>
      <c r="X110" s="89"/>
      <c r="Y110" s="89"/>
      <c r="Z110" s="89"/>
      <c r="AA110" s="89"/>
      <c r="AB110" s="89"/>
      <c r="AC110" s="89"/>
      <c r="AD110" s="89"/>
      <c r="AE110" s="89"/>
      <c r="AF110" s="89"/>
      <c r="AG110" s="89"/>
      <c r="AH110" s="89"/>
      <c r="AI110" s="89"/>
      <c r="AJ110" s="89"/>
      <c r="AK110" s="89"/>
      <c r="AL110" s="89"/>
      <c r="AM110" s="89"/>
      <c r="AN110" s="89"/>
      <c r="AO110" s="89"/>
      <c r="AP110" s="89"/>
      <c r="AQ110" s="89"/>
      <c r="AR110" s="89"/>
      <c r="AS110" s="89"/>
      <c r="AT110" s="89"/>
      <c r="AU110" s="89"/>
      <c r="AV110" s="89"/>
      <c r="AW110" s="89"/>
      <c r="AX110" s="89"/>
    </row>
    <row r="111" s="36" customFormat="true" ht="15.75" hidden="false" customHeight="false" outlineLevel="0" collapsed="false">
      <c r="A111" s="89"/>
      <c r="B111" s="89"/>
      <c r="C111" s="89"/>
      <c r="D111" s="89"/>
      <c r="E111" s="89"/>
      <c r="F111" s="89"/>
      <c r="G111" s="89"/>
      <c r="H111" s="89"/>
      <c r="I111" s="89"/>
      <c r="J111" s="89"/>
      <c r="K111" s="89"/>
      <c r="L111" s="89"/>
      <c r="M111" s="89"/>
      <c r="N111" s="89"/>
      <c r="O111" s="89"/>
      <c r="P111" s="89"/>
      <c r="Q111" s="89"/>
      <c r="R111" s="89"/>
      <c r="S111" s="89"/>
      <c r="T111" s="89"/>
      <c r="U111" s="89"/>
      <c r="V111" s="89"/>
      <c r="W111" s="89"/>
      <c r="X111" s="89"/>
      <c r="Y111" s="89"/>
      <c r="Z111" s="89"/>
      <c r="AA111" s="89"/>
      <c r="AB111" s="89"/>
      <c r="AC111" s="89"/>
      <c r="AD111" s="89"/>
      <c r="AE111" s="89"/>
      <c r="AF111" s="89"/>
      <c r="AG111" s="89"/>
      <c r="AH111" s="89"/>
      <c r="AI111" s="89"/>
      <c r="AJ111" s="89"/>
      <c r="AK111" s="89"/>
      <c r="AL111" s="89"/>
      <c r="AM111" s="89"/>
      <c r="AN111" s="89"/>
      <c r="AO111" s="89"/>
      <c r="AP111" s="89"/>
      <c r="AQ111" s="89"/>
      <c r="AR111" s="89"/>
      <c r="AS111" s="89"/>
      <c r="AT111" s="89"/>
      <c r="AU111" s="89"/>
      <c r="AV111" s="89"/>
      <c r="AW111" s="89"/>
      <c r="AX111" s="89"/>
    </row>
    <row r="112" s="36" customFormat="true" ht="15.75" hidden="false" customHeight="false" outlineLevel="0" collapsed="false">
      <c r="A112" s="89"/>
      <c r="B112" s="89"/>
      <c r="C112" s="89"/>
      <c r="D112" s="89"/>
      <c r="E112" s="89"/>
      <c r="F112" s="89"/>
      <c r="G112" s="89"/>
      <c r="H112" s="89"/>
      <c r="I112" s="89"/>
      <c r="J112" s="89"/>
      <c r="K112" s="89"/>
      <c r="L112" s="89"/>
      <c r="M112" s="89"/>
      <c r="N112" s="89"/>
      <c r="O112" s="89"/>
      <c r="P112" s="89"/>
      <c r="Q112" s="89"/>
      <c r="R112" s="89"/>
      <c r="S112" s="89"/>
      <c r="T112" s="89"/>
      <c r="U112" s="89"/>
      <c r="V112" s="89"/>
      <c r="W112" s="89"/>
      <c r="X112" s="89"/>
      <c r="Y112" s="89"/>
      <c r="Z112" s="89"/>
      <c r="AA112" s="89"/>
      <c r="AB112" s="89"/>
      <c r="AC112" s="89"/>
      <c r="AD112" s="89"/>
      <c r="AE112" s="89"/>
      <c r="AF112" s="89"/>
      <c r="AG112" s="89"/>
      <c r="AH112" s="89"/>
      <c r="AI112" s="89"/>
      <c r="AJ112" s="89"/>
      <c r="AK112" s="89"/>
      <c r="AL112" s="89"/>
      <c r="AM112" s="89"/>
      <c r="AN112" s="89"/>
      <c r="AO112" s="89"/>
      <c r="AP112" s="89"/>
      <c r="AQ112" s="89"/>
      <c r="AR112" s="89"/>
      <c r="AS112" s="89"/>
      <c r="AT112" s="89"/>
      <c r="AU112" s="89"/>
      <c r="AV112" s="89"/>
      <c r="AW112" s="89"/>
      <c r="AX112" s="89"/>
    </row>
    <row r="113" s="36" customFormat="true" ht="15.75" hidden="false" customHeight="false" outlineLevel="0" collapsed="false">
      <c r="A113" s="89"/>
      <c r="B113" s="89"/>
      <c r="C113" s="89"/>
      <c r="D113" s="89"/>
      <c r="E113" s="89"/>
      <c r="F113" s="89"/>
      <c r="G113" s="89"/>
      <c r="H113" s="89"/>
      <c r="I113" s="89"/>
      <c r="J113" s="89"/>
      <c r="K113" s="89"/>
      <c r="L113" s="89"/>
      <c r="M113" s="89"/>
      <c r="N113" s="89"/>
      <c r="O113" s="89"/>
      <c r="P113" s="89"/>
      <c r="Q113" s="89"/>
      <c r="R113" s="89"/>
      <c r="S113" s="89"/>
      <c r="T113" s="89"/>
      <c r="U113" s="89"/>
      <c r="V113" s="89"/>
      <c r="W113" s="89"/>
      <c r="X113" s="89"/>
      <c r="Y113" s="89"/>
      <c r="Z113" s="89"/>
      <c r="AA113" s="89"/>
      <c r="AB113" s="89"/>
      <c r="AC113" s="89"/>
      <c r="AD113" s="89"/>
      <c r="AE113" s="89"/>
      <c r="AF113" s="89"/>
      <c r="AG113" s="89"/>
      <c r="AH113" s="89"/>
      <c r="AI113" s="89"/>
      <c r="AJ113" s="89"/>
      <c r="AK113" s="89"/>
      <c r="AL113" s="89"/>
      <c r="AM113" s="89"/>
      <c r="AN113" s="89"/>
      <c r="AO113" s="89"/>
      <c r="AP113" s="89"/>
      <c r="AQ113" s="89"/>
      <c r="AR113" s="89"/>
      <c r="AS113" s="89"/>
      <c r="AT113" s="89"/>
      <c r="AU113" s="89"/>
      <c r="AV113" s="89"/>
      <c r="AW113" s="89"/>
      <c r="AX113" s="89"/>
    </row>
    <row r="114" s="36" customFormat="true" ht="15.75" hidden="false" customHeight="false" outlineLevel="0" collapsed="false">
      <c r="A114" s="89"/>
      <c r="B114" s="89"/>
      <c r="C114" s="89"/>
      <c r="D114" s="89"/>
      <c r="E114" s="89"/>
      <c r="F114" s="89"/>
      <c r="G114" s="89"/>
      <c r="H114" s="89"/>
      <c r="I114" s="89"/>
      <c r="J114" s="89"/>
      <c r="K114" s="89"/>
      <c r="L114" s="89"/>
      <c r="M114" s="89"/>
      <c r="N114" s="89"/>
      <c r="O114" s="89"/>
      <c r="P114" s="89"/>
      <c r="Q114" s="89"/>
      <c r="R114" s="89"/>
      <c r="S114" s="89"/>
      <c r="T114" s="89"/>
      <c r="U114" s="89"/>
      <c r="V114" s="89"/>
      <c r="W114" s="89"/>
      <c r="X114" s="89"/>
      <c r="Y114" s="89"/>
      <c r="Z114" s="89"/>
      <c r="AA114" s="89"/>
      <c r="AB114" s="89"/>
      <c r="AC114" s="89"/>
      <c r="AD114" s="89"/>
      <c r="AE114" s="89"/>
      <c r="AF114" s="89"/>
      <c r="AG114" s="89"/>
      <c r="AH114" s="89"/>
      <c r="AI114" s="89"/>
      <c r="AJ114" s="89"/>
      <c r="AK114" s="89"/>
      <c r="AL114" s="89"/>
      <c r="AM114" s="89"/>
      <c r="AN114" s="89"/>
      <c r="AO114" s="89"/>
      <c r="AP114" s="89"/>
      <c r="AQ114" s="89"/>
      <c r="AR114" s="89"/>
      <c r="AS114" s="89"/>
      <c r="AT114" s="89"/>
      <c r="AU114" s="89"/>
      <c r="AV114" s="89"/>
      <c r="AW114" s="89"/>
      <c r="AX114" s="89"/>
    </row>
    <row r="115" s="36" customFormat="true" ht="15.75" hidden="false" customHeight="false" outlineLevel="0" collapsed="false">
      <c r="A115" s="89"/>
      <c r="B115" s="89"/>
      <c r="C115" s="89"/>
      <c r="D115" s="89"/>
      <c r="E115" s="89"/>
      <c r="F115" s="89"/>
      <c r="G115" s="89"/>
      <c r="H115" s="89"/>
      <c r="I115" s="89"/>
      <c r="J115" s="89"/>
      <c r="K115" s="89"/>
      <c r="L115" s="89"/>
      <c r="M115" s="89"/>
      <c r="N115" s="89"/>
      <c r="O115" s="89"/>
      <c r="P115" s="89"/>
      <c r="Q115" s="89"/>
      <c r="R115" s="89"/>
      <c r="S115" s="89"/>
      <c r="T115" s="89"/>
      <c r="U115" s="89"/>
      <c r="V115" s="89"/>
      <c r="W115" s="89"/>
      <c r="X115" s="89"/>
      <c r="Y115" s="89"/>
      <c r="Z115" s="89"/>
      <c r="AA115" s="89"/>
      <c r="AB115" s="89"/>
      <c r="AC115" s="89"/>
      <c r="AD115" s="89"/>
      <c r="AE115" s="89"/>
      <c r="AF115" s="89"/>
      <c r="AG115" s="89"/>
      <c r="AH115" s="89"/>
      <c r="AI115" s="89"/>
      <c r="AJ115" s="89"/>
      <c r="AK115" s="89"/>
      <c r="AL115" s="89"/>
      <c r="AM115" s="89"/>
      <c r="AN115" s="89"/>
      <c r="AO115" s="89"/>
      <c r="AP115" s="89"/>
      <c r="AQ115" s="89"/>
      <c r="AR115" s="89"/>
      <c r="AS115" s="89"/>
      <c r="AT115" s="89"/>
      <c r="AU115" s="89"/>
      <c r="AV115" s="89"/>
      <c r="AW115" s="89"/>
      <c r="AX115" s="89"/>
    </row>
    <row r="116" s="36" customFormat="true" ht="15.75" hidden="false" customHeight="false" outlineLevel="0" collapsed="false">
      <c r="A116" s="89"/>
      <c r="B116" s="89"/>
      <c r="C116" s="89"/>
      <c r="D116" s="89"/>
      <c r="E116" s="89"/>
      <c r="F116" s="89"/>
      <c r="G116" s="89"/>
      <c r="H116" s="89"/>
      <c r="I116" s="89"/>
      <c r="J116" s="89"/>
      <c r="K116" s="89"/>
      <c r="L116" s="89"/>
      <c r="M116" s="89"/>
      <c r="N116" s="89"/>
      <c r="O116" s="89"/>
      <c r="P116" s="89"/>
      <c r="Q116" s="89"/>
      <c r="R116" s="89"/>
      <c r="S116" s="89"/>
      <c r="T116" s="89"/>
      <c r="U116" s="89"/>
      <c r="V116" s="89"/>
      <c r="W116" s="89"/>
      <c r="X116" s="89"/>
      <c r="Y116" s="89"/>
      <c r="Z116" s="89"/>
      <c r="AA116" s="89"/>
      <c r="AB116" s="89"/>
      <c r="AC116" s="89"/>
      <c r="AD116" s="89"/>
      <c r="AE116" s="89"/>
      <c r="AF116" s="89"/>
      <c r="AG116" s="89"/>
      <c r="AH116" s="89"/>
      <c r="AI116" s="89"/>
      <c r="AJ116" s="89"/>
      <c r="AK116" s="89"/>
      <c r="AL116" s="89"/>
      <c r="AM116" s="89"/>
      <c r="AN116" s="89"/>
      <c r="AO116" s="89"/>
      <c r="AP116" s="89"/>
      <c r="AQ116" s="89"/>
      <c r="AR116" s="89"/>
      <c r="AS116" s="89"/>
      <c r="AT116" s="89"/>
      <c r="AU116" s="89"/>
      <c r="AV116" s="89"/>
      <c r="AW116" s="89"/>
      <c r="AX116" s="89"/>
    </row>
    <row r="117" s="36" customFormat="true" ht="15.75" hidden="false" customHeight="false" outlineLevel="0" collapsed="false">
      <c r="A117" s="89"/>
      <c r="B117" s="89"/>
      <c r="C117" s="89"/>
      <c r="D117" s="89"/>
      <c r="E117" s="89"/>
      <c r="F117" s="89"/>
      <c r="G117" s="89"/>
      <c r="H117" s="89"/>
      <c r="I117" s="89"/>
      <c r="J117" s="89"/>
      <c r="K117" s="89"/>
      <c r="L117" s="89"/>
      <c r="M117" s="89"/>
      <c r="N117" s="89"/>
      <c r="O117" s="89"/>
      <c r="P117" s="89"/>
      <c r="Q117" s="89"/>
      <c r="R117" s="89"/>
      <c r="S117" s="89"/>
      <c r="T117" s="89"/>
      <c r="U117" s="89"/>
      <c r="V117" s="89"/>
      <c r="W117" s="89"/>
      <c r="X117" s="89"/>
      <c r="Y117" s="89"/>
      <c r="Z117" s="89"/>
      <c r="AA117" s="89"/>
      <c r="AB117" s="89"/>
      <c r="AC117" s="89"/>
      <c r="AD117" s="89"/>
      <c r="AE117" s="89"/>
      <c r="AF117" s="89"/>
      <c r="AG117" s="89"/>
      <c r="AH117" s="89"/>
      <c r="AI117" s="89"/>
      <c r="AJ117" s="89"/>
      <c r="AK117" s="89"/>
      <c r="AL117" s="89"/>
      <c r="AM117" s="89"/>
      <c r="AN117" s="89"/>
      <c r="AO117" s="89"/>
      <c r="AP117" s="89"/>
      <c r="AQ117" s="89"/>
      <c r="AR117" s="89"/>
      <c r="AS117" s="89"/>
      <c r="AT117" s="89"/>
      <c r="AU117" s="89"/>
      <c r="AV117" s="89"/>
      <c r="AW117" s="89"/>
      <c r="AX117" s="89"/>
    </row>
    <row r="118" s="36" customFormat="true" ht="15.75" hidden="false" customHeight="false" outlineLevel="0" collapsed="false">
      <c r="A118" s="89"/>
      <c r="B118" s="89"/>
      <c r="C118" s="89"/>
      <c r="D118" s="89"/>
      <c r="E118" s="89"/>
      <c r="F118" s="89"/>
      <c r="G118" s="89"/>
      <c r="H118" s="89"/>
      <c r="I118" s="89"/>
      <c r="J118" s="89"/>
      <c r="K118" s="89"/>
      <c r="L118" s="89"/>
      <c r="M118" s="89"/>
      <c r="N118" s="89"/>
      <c r="O118" s="89"/>
      <c r="P118" s="89"/>
      <c r="Q118" s="89"/>
      <c r="R118" s="89"/>
      <c r="S118" s="89"/>
      <c r="T118" s="89"/>
      <c r="U118" s="89"/>
      <c r="V118" s="89"/>
      <c r="W118" s="89"/>
      <c r="X118" s="89"/>
      <c r="Y118" s="89"/>
      <c r="Z118" s="89"/>
      <c r="AA118" s="89"/>
      <c r="AB118" s="89"/>
      <c r="AC118" s="89"/>
      <c r="AD118" s="89"/>
      <c r="AE118" s="89"/>
      <c r="AF118" s="89"/>
      <c r="AG118" s="89"/>
      <c r="AH118" s="89"/>
      <c r="AI118" s="89"/>
      <c r="AJ118" s="89"/>
      <c r="AK118" s="89"/>
      <c r="AL118" s="89"/>
      <c r="AM118" s="89"/>
      <c r="AN118" s="89"/>
      <c r="AO118" s="89"/>
      <c r="AP118" s="89"/>
      <c r="AQ118" s="89"/>
      <c r="AR118" s="89"/>
      <c r="AS118" s="89"/>
      <c r="AT118" s="89"/>
      <c r="AU118" s="89"/>
      <c r="AV118" s="89"/>
      <c r="AW118" s="89"/>
      <c r="AX118" s="89"/>
    </row>
    <row r="119" s="36" customFormat="true" ht="15.75" hidden="false" customHeight="false" outlineLevel="0" collapsed="false">
      <c r="A119" s="89"/>
      <c r="B119" s="89"/>
      <c r="C119" s="89"/>
      <c r="D119" s="89"/>
      <c r="E119" s="89"/>
      <c r="F119" s="89"/>
      <c r="G119" s="89"/>
      <c r="H119" s="89"/>
      <c r="I119" s="89"/>
      <c r="J119" s="89"/>
      <c r="K119" s="89"/>
      <c r="L119" s="89"/>
      <c r="M119" s="89"/>
      <c r="N119" s="89"/>
      <c r="O119" s="89"/>
      <c r="P119" s="89"/>
      <c r="Q119" s="89"/>
      <c r="R119" s="89"/>
      <c r="S119" s="89"/>
      <c r="T119" s="89"/>
      <c r="U119" s="89"/>
      <c r="V119" s="89"/>
      <c r="W119" s="89"/>
      <c r="X119" s="89"/>
      <c r="Y119" s="89"/>
      <c r="Z119" s="89"/>
      <c r="AA119" s="89"/>
      <c r="AB119" s="89"/>
      <c r="AC119" s="89"/>
      <c r="AD119" s="89"/>
      <c r="AE119" s="89"/>
      <c r="AF119" s="89"/>
      <c r="AG119" s="89"/>
      <c r="AH119" s="89"/>
      <c r="AI119" s="89"/>
      <c r="AJ119" s="89"/>
      <c r="AK119" s="89"/>
      <c r="AL119" s="89"/>
      <c r="AM119" s="89"/>
      <c r="AN119" s="89"/>
      <c r="AO119" s="89"/>
      <c r="AP119" s="89"/>
      <c r="AQ119" s="89"/>
      <c r="AR119" s="89"/>
      <c r="AS119" s="89"/>
      <c r="AT119" s="89"/>
      <c r="AU119" s="89"/>
      <c r="AV119" s="89"/>
      <c r="AW119" s="89"/>
      <c r="AX119" s="89"/>
    </row>
    <row r="120" s="36" customFormat="true" ht="15.75" hidden="false" customHeight="false" outlineLevel="0" collapsed="false">
      <c r="A120" s="89"/>
      <c r="B120" s="89"/>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c r="AA120" s="89"/>
      <c r="AB120" s="89"/>
      <c r="AC120" s="89"/>
      <c r="AD120" s="89"/>
      <c r="AE120" s="89"/>
      <c r="AF120" s="89"/>
      <c r="AG120" s="89"/>
      <c r="AH120" s="89"/>
      <c r="AI120" s="89"/>
      <c r="AJ120" s="89"/>
      <c r="AK120" s="89"/>
      <c r="AL120" s="89"/>
      <c r="AM120" s="89"/>
      <c r="AN120" s="89"/>
      <c r="AO120" s="89"/>
      <c r="AP120" s="89"/>
      <c r="AQ120" s="89"/>
      <c r="AR120" s="89"/>
      <c r="AS120" s="89"/>
      <c r="AT120" s="89"/>
      <c r="AU120" s="89"/>
      <c r="AV120" s="89"/>
      <c r="AW120" s="89"/>
      <c r="AX120" s="89"/>
    </row>
    <row r="121" s="36" customFormat="true" ht="15.75" hidden="false" customHeight="false" outlineLevel="0" collapsed="false">
      <c r="A121" s="89"/>
      <c r="B121" s="89"/>
      <c r="C121" s="89"/>
      <c r="D121" s="89"/>
      <c r="E121" s="89"/>
      <c r="F121" s="89"/>
      <c r="G121" s="89"/>
      <c r="H121" s="89"/>
      <c r="I121" s="89"/>
      <c r="J121" s="89"/>
      <c r="K121" s="89"/>
      <c r="L121" s="89"/>
      <c r="M121" s="89"/>
      <c r="N121" s="89"/>
      <c r="O121" s="89"/>
      <c r="P121" s="89"/>
      <c r="Q121" s="89"/>
      <c r="R121" s="89"/>
      <c r="S121" s="89"/>
      <c r="T121" s="89"/>
      <c r="U121" s="89"/>
      <c r="V121" s="89"/>
      <c r="W121" s="89"/>
      <c r="X121" s="89"/>
      <c r="Y121" s="89"/>
      <c r="Z121" s="89"/>
      <c r="AA121" s="89"/>
      <c r="AB121" s="89"/>
      <c r="AC121" s="89"/>
      <c r="AD121" s="89"/>
      <c r="AE121" s="89"/>
      <c r="AF121" s="89"/>
      <c r="AG121" s="89"/>
      <c r="AH121" s="89"/>
      <c r="AI121" s="89"/>
      <c r="AJ121" s="89"/>
      <c r="AK121" s="89"/>
      <c r="AL121" s="89"/>
      <c r="AM121" s="89"/>
      <c r="AN121" s="89"/>
      <c r="AO121" s="89"/>
      <c r="AP121" s="89"/>
      <c r="AQ121" s="89"/>
      <c r="AR121" s="89"/>
      <c r="AS121" s="89"/>
      <c r="AT121" s="89"/>
      <c r="AU121" s="89"/>
      <c r="AV121" s="89"/>
      <c r="AW121" s="89"/>
      <c r="AX121" s="89"/>
    </row>
    <row r="122" s="36" customFormat="true" ht="15.75" hidden="false" customHeight="false" outlineLevel="0" collapsed="false">
      <c r="A122" s="89"/>
      <c r="B122" s="89"/>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c r="AA122" s="89"/>
      <c r="AB122" s="89"/>
      <c r="AC122" s="89"/>
      <c r="AD122" s="89"/>
      <c r="AE122" s="89"/>
      <c r="AF122" s="89"/>
      <c r="AG122" s="89"/>
      <c r="AH122" s="89"/>
      <c r="AI122" s="89"/>
      <c r="AJ122" s="89"/>
      <c r="AK122" s="89"/>
      <c r="AL122" s="89"/>
      <c r="AM122" s="89"/>
      <c r="AN122" s="89"/>
      <c r="AO122" s="89"/>
      <c r="AP122" s="89"/>
      <c r="AQ122" s="89"/>
      <c r="AR122" s="89"/>
      <c r="AS122" s="89"/>
      <c r="AT122" s="89"/>
      <c r="AU122" s="89"/>
      <c r="AV122" s="89"/>
      <c r="AW122" s="89"/>
      <c r="AX122" s="89"/>
    </row>
    <row r="123" s="36" customFormat="true" ht="15.75" hidden="false" customHeight="false" outlineLevel="0" collapsed="false">
      <c r="A123" s="89"/>
      <c r="B123" s="89"/>
      <c r="C123" s="89"/>
      <c r="D123" s="89"/>
      <c r="E123" s="89"/>
      <c r="F123" s="89"/>
      <c r="G123" s="89"/>
      <c r="H123" s="89"/>
      <c r="I123" s="89"/>
      <c r="J123" s="89"/>
      <c r="K123" s="89"/>
      <c r="L123" s="89"/>
      <c r="M123" s="89"/>
      <c r="N123" s="89"/>
      <c r="O123" s="89"/>
      <c r="P123" s="89"/>
      <c r="Q123" s="89"/>
      <c r="R123" s="89"/>
      <c r="S123" s="89"/>
      <c r="T123" s="89"/>
      <c r="U123" s="89"/>
      <c r="V123" s="89"/>
      <c r="W123" s="89"/>
      <c r="X123" s="89"/>
      <c r="Y123" s="89"/>
      <c r="Z123" s="89"/>
      <c r="AA123" s="89"/>
      <c r="AB123" s="89"/>
      <c r="AC123" s="89"/>
      <c r="AD123" s="89"/>
      <c r="AE123" s="89"/>
      <c r="AF123" s="89"/>
      <c r="AG123" s="89"/>
      <c r="AH123" s="89"/>
      <c r="AI123" s="89"/>
      <c r="AJ123" s="89"/>
      <c r="AK123" s="89"/>
      <c r="AL123" s="89"/>
      <c r="AM123" s="89"/>
      <c r="AN123" s="89"/>
      <c r="AO123" s="89"/>
      <c r="AP123" s="89"/>
      <c r="AQ123" s="89"/>
      <c r="AR123" s="89"/>
      <c r="AS123" s="89"/>
      <c r="AT123" s="89"/>
      <c r="AU123" s="89"/>
      <c r="AV123" s="89"/>
      <c r="AW123" s="89"/>
      <c r="AX123" s="89"/>
    </row>
    <row r="124" s="36" customFormat="true" ht="15.75" hidden="false" customHeight="false" outlineLevel="0" collapsed="false">
      <c r="A124" s="89"/>
      <c r="B124" s="89"/>
      <c r="C124" s="89"/>
      <c r="D124" s="89"/>
      <c r="E124" s="89"/>
      <c r="F124" s="89"/>
      <c r="G124" s="89"/>
      <c r="H124" s="89"/>
      <c r="I124" s="89"/>
      <c r="J124" s="89"/>
      <c r="K124" s="89"/>
      <c r="L124" s="89"/>
      <c r="M124" s="89"/>
      <c r="N124" s="89"/>
      <c r="O124" s="89"/>
      <c r="P124" s="89"/>
      <c r="Q124" s="89"/>
      <c r="R124" s="89"/>
      <c r="S124" s="89"/>
      <c r="T124" s="89"/>
      <c r="U124" s="89"/>
      <c r="V124" s="89"/>
      <c r="W124" s="89"/>
      <c r="X124" s="89"/>
      <c r="Y124" s="89"/>
      <c r="Z124" s="89"/>
      <c r="AA124" s="89"/>
      <c r="AB124" s="89"/>
      <c r="AC124" s="89"/>
      <c r="AD124" s="89"/>
      <c r="AE124" s="89"/>
      <c r="AF124" s="89"/>
      <c r="AG124" s="89"/>
      <c r="AH124" s="89"/>
      <c r="AI124" s="89"/>
      <c r="AJ124" s="89"/>
      <c r="AK124" s="89"/>
      <c r="AL124" s="89"/>
      <c r="AM124" s="89"/>
      <c r="AN124" s="89"/>
      <c r="AO124" s="89"/>
      <c r="AP124" s="89"/>
      <c r="AQ124" s="89"/>
      <c r="AR124" s="89"/>
      <c r="AS124" s="89"/>
      <c r="AT124" s="89"/>
      <c r="AU124" s="89"/>
      <c r="AV124" s="89"/>
      <c r="AW124" s="89"/>
      <c r="AX124" s="89"/>
    </row>
    <row r="125" s="36" customFormat="true" ht="15.75" hidden="false" customHeight="false" outlineLevel="0" collapsed="false">
      <c r="A125" s="89"/>
      <c r="B125" s="89"/>
      <c r="C125" s="89"/>
      <c r="D125" s="89"/>
      <c r="E125" s="89"/>
      <c r="F125" s="89"/>
      <c r="G125" s="89"/>
      <c r="H125" s="89"/>
      <c r="I125" s="89"/>
      <c r="J125" s="89"/>
      <c r="K125" s="89"/>
      <c r="L125" s="89"/>
      <c r="M125" s="89"/>
      <c r="N125" s="89"/>
      <c r="O125" s="89"/>
      <c r="P125" s="89"/>
      <c r="Q125" s="89"/>
      <c r="R125" s="89"/>
      <c r="S125" s="89"/>
      <c r="T125" s="89"/>
      <c r="U125" s="89"/>
      <c r="V125" s="89"/>
      <c r="W125" s="89"/>
      <c r="X125" s="89"/>
      <c r="Y125" s="89"/>
      <c r="Z125" s="89"/>
      <c r="AA125" s="89"/>
      <c r="AB125" s="89"/>
      <c r="AC125" s="89"/>
      <c r="AD125" s="89"/>
      <c r="AE125" s="89"/>
      <c r="AF125" s="89"/>
      <c r="AG125" s="89"/>
      <c r="AH125" s="89"/>
      <c r="AI125" s="89"/>
      <c r="AJ125" s="89"/>
      <c r="AK125" s="89"/>
      <c r="AL125" s="89"/>
      <c r="AM125" s="89"/>
      <c r="AN125" s="89"/>
      <c r="AO125" s="89"/>
      <c r="AP125" s="89"/>
      <c r="AQ125" s="89"/>
      <c r="AR125" s="89"/>
      <c r="AS125" s="89"/>
      <c r="AT125" s="89"/>
      <c r="AU125" s="89"/>
      <c r="AV125" s="89"/>
      <c r="AW125" s="89"/>
      <c r="AX125" s="89"/>
    </row>
    <row r="126" s="36" customFormat="true" ht="15.75" hidden="false" customHeight="false" outlineLevel="0" collapsed="false">
      <c r="A126" s="89"/>
      <c r="B126" s="89"/>
      <c r="C126" s="89"/>
      <c r="D126" s="89"/>
      <c r="E126" s="89"/>
      <c r="F126" s="89"/>
      <c r="G126" s="89"/>
      <c r="H126" s="89"/>
      <c r="I126" s="89"/>
      <c r="J126" s="89"/>
      <c r="K126" s="89"/>
      <c r="L126" s="89"/>
      <c r="M126" s="89"/>
      <c r="N126" s="89"/>
      <c r="O126" s="89"/>
      <c r="P126" s="89"/>
      <c r="Q126" s="89"/>
      <c r="R126" s="89"/>
      <c r="S126" s="89"/>
      <c r="T126" s="89"/>
      <c r="U126" s="89"/>
      <c r="V126" s="89"/>
      <c r="W126" s="89"/>
      <c r="X126" s="89"/>
      <c r="Y126" s="89"/>
      <c r="Z126" s="89"/>
      <c r="AA126" s="89"/>
      <c r="AB126" s="89"/>
      <c r="AC126" s="89"/>
      <c r="AD126" s="89"/>
      <c r="AE126" s="89"/>
      <c r="AF126" s="89"/>
      <c r="AG126" s="89"/>
      <c r="AH126" s="89"/>
      <c r="AI126" s="89"/>
      <c r="AJ126" s="89"/>
      <c r="AK126" s="89"/>
      <c r="AL126" s="89"/>
      <c r="AM126" s="89"/>
      <c r="AN126" s="89"/>
      <c r="AO126" s="89"/>
      <c r="AP126" s="89"/>
      <c r="AQ126" s="89"/>
      <c r="AR126" s="89"/>
      <c r="AS126" s="89"/>
      <c r="AT126" s="89"/>
      <c r="AU126" s="89"/>
      <c r="AV126" s="89"/>
      <c r="AW126" s="89"/>
      <c r="AX126" s="89"/>
    </row>
    <row r="127" s="36" customFormat="true" ht="15.75" hidden="false" customHeight="false" outlineLevel="0" collapsed="false">
      <c r="A127" s="89"/>
      <c r="B127" s="89"/>
      <c r="C127" s="89"/>
      <c r="D127" s="89"/>
      <c r="E127" s="89"/>
      <c r="F127" s="89"/>
      <c r="G127" s="89"/>
      <c r="H127" s="89"/>
      <c r="I127" s="89"/>
      <c r="J127" s="89"/>
      <c r="K127" s="89"/>
      <c r="L127" s="89"/>
      <c r="M127" s="89"/>
      <c r="N127" s="89"/>
      <c r="O127" s="89"/>
      <c r="P127" s="89"/>
      <c r="Q127" s="89"/>
      <c r="R127" s="89"/>
      <c r="S127" s="89"/>
      <c r="T127" s="89"/>
      <c r="U127" s="89"/>
      <c r="V127" s="89"/>
      <c r="W127" s="89"/>
      <c r="X127" s="89"/>
      <c r="Y127" s="89"/>
      <c r="Z127" s="89"/>
      <c r="AA127" s="89"/>
      <c r="AB127" s="89"/>
      <c r="AC127" s="89"/>
      <c r="AD127" s="89"/>
      <c r="AE127" s="89"/>
      <c r="AF127" s="89"/>
      <c r="AG127" s="89"/>
      <c r="AH127" s="89"/>
      <c r="AI127" s="89"/>
      <c r="AJ127" s="89"/>
      <c r="AK127" s="89"/>
      <c r="AL127" s="89"/>
      <c r="AM127" s="89"/>
      <c r="AN127" s="89"/>
      <c r="AO127" s="89"/>
      <c r="AP127" s="89"/>
      <c r="AQ127" s="89"/>
      <c r="AR127" s="89"/>
      <c r="AS127" s="89"/>
      <c r="AT127" s="89"/>
      <c r="AU127" s="89"/>
      <c r="AV127" s="89"/>
      <c r="AW127" s="89"/>
      <c r="AX127" s="89"/>
    </row>
    <row r="128" s="36" customFormat="true" ht="15.75" hidden="false" customHeight="false" outlineLevel="0" collapsed="false">
      <c r="A128" s="89"/>
      <c r="B128" s="89"/>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c r="AA128" s="89"/>
      <c r="AB128" s="89"/>
      <c r="AC128" s="89"/>
      <c r="AD128" s="89"/>
      <c r="AE128" s="89"/>
      <c r="AF128" s="89"/>
      <c r="AG128" s="89"/>
      <c r="AH128" s="89"/>
      <c r="AI128" s="89"/>
      <c r="AJ128" s="89"/>
      <c r="AK128" s="89"/>
      <c r="AL128" s="89"/>
      <c r="AM128" s="89"/>
      <c r="AN128" s="89"/>
      <c r="AO128" s="89"/>
      <c r="AP128" s="89"/>
      <c r="AQ128" s="89"/>
      <c r="AR128" s="89"/>
      <c r="AS128" s="89"/>
      <c r="AT128" s="89"/>
      <c r="AU128" s="89"/>
      <c r="AV128" s="89"/>
      <c r="AW128" s="89"/>
      <c r="AX128" s="89"/>
    </row>
    <row r="129" s="36" customFormat="true" ht="15.75" hidden="false" customHeight="false" outlineLevel="0" collapsed="false">
      <c r="A129" s="89"/>
      <c r="B129" s="89"/>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c r="AA129" s="89"/>
      <c r="AB129" s="89"/>
      <c r="AC129" s="89"/>
      <c r="AD129" s="89"/>
      <c r="AE129" s="89"/>
      <c r="AF129" s="89"/>
      <c r="AG129" s="89"/>
      <c r="AH129" s="89"/>
      <c r="AI129" s="89"/>
      <c r="AJ129" s="89"/>
      <c r="AK129" s="89"/>
      <c r="AL129" s="89"/>
      <c r="AM129" s="89"/>
      <c r="AN129" s="89"/>
      <c r="AO129" s="89"/>
      <c r="AP129" s="89"/>
      <c r="AQ129" s="89"/>
      <c r="AR129" s="89"/>
      <c r="AS129" s="89"/>
      <c r="AT129" s="89"/>
      <c r="AU129" s="89"/>
      <c r="AV129" s="89"/>
      <c r="AW129" s="89"/>
      <c r="AX129" s="89"/>
    </row>
    <row r="130" s="36" customFormat="true" ht="15.75" hidden="false" customHeight="false" outlineLevel="0" collapsed="false">
      <c r="A130" s="89"/>
      <c r="B130" s="89"/>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c r="AA130" s="89"/>
      <c r="AB130" s="89"/>
      <c r="AC130" s="89"/>
      <c r="AD130" s="89"/>
      <c r="AE130" s="89"/>
      <c r="AF130" s="89"/>
      <c r="AG130" s="89"/>
      <c r="AH130" s="89"/>
      <c r="AI130" s="89"/>
      <c r="AJ130" s="89"/>
      <c r="AK130" s="89"/>
      <c r="AL130" s="89"/>
      <c r="AM130" s="89"/>
      <c r="AN130" s="89"/>
      <c r="AO130" s="89"/>
      <c r="AP130" s="89"/>
      <c r="AQ130" s="89"/>
      <c r="AR130" s="89"/>
      <c r="AS130" s="89"/>
      <c r="AT130" s="89"/>
      <c r="AU130" s="89"/>
      <c r="AV130" s="89"/>
      <c r="AW130" s="89"/>
      <c r="AX130" s="89"/>
    </row>
    <row r="131" s="36" customFormat="true" ht="15.75" hidden="false" customHeight="false" outlineLevel="0" collapsed="false">
      <c r="A131" s="89"/>
      <c r="B131" s="89"/>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c r="AA131" s="89"/>
      <c r="AB131" s="89"/>
      <c r="AC131" s="89"/>
      <c r="AD131" s="89"/>
      <c r="AE131" s="89"/>
      <c r="AF131" s="89"/>
      <c r="AG131" s="89"/>
      <c r="AH131" s="89"/>
      <c r="AI131" s="89"/>
      <c r="AJ131" s="89"/>
      <c r="AK131" s="89"/>
      <c r="AL131" s="89"/>
      <c r="AM131" s="89"/>
      <c r="AN131" s="89"/>
      <c r="AO131" s="89"/>
      <c r="AP131" s="89"/>
      <c r="AQ131" s="89"/>
      <c r="AR131" s="89"/>
      <c r="AS131" s="89"/>
      <c r="AT131" s="89"/>
      <c r="AU131" s="89"/>
      <c r="AV131" s="89"/>
      <c r="AW131" s="89"/>
      <c r="AX131" s="89"/>
    </row>
    <row r="132" s="36" customFormat="true" ht="15.75" hidden="false" customHeight="false" outlineLevel="0" collapsed="false">
      <c r="A132" s="89"/>
      <c r="B132" s="89"/>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c r="AA132" s="89"/>
      <c r="AB132" s="89"/>
      <c r="AC132" s="89"/>
      <c r="AD132" s="89"/>
      <c r="AE132" s="89"/>
      <c r="AF132" s="89"/>
      <c r="AG132" s="89"/>
      <c r="AH132" s="89"/>
      <c r="AI132" s="89"/>
      <c r="AJ132" s="89"/>
      <c r="AK132" s="89"/>
      <c r="AL132" s="89"/>
      <c r="AM132" s="89"/>
      <c r="AN132" s="89"/>
      <c r="AO132" s="89"/>
      <c r="AP132" s="89"/>
      <c r="AQ132" s="89"/>
      <c r="AR132" s="89"/>
      <c r="AS132" s="89"/>
      <c r="AT132" s="89"/>
      <c r="AU132" s="89"/>
      <c r="AV132" s="89"/>
      <c r="AW132" s="89"/>
      <c r="AX132" s="89"/>
    </row>
    <row r="133" s="36" customFormat="true" ht="15.75" hidden="false" customHeight="false" outlineLevel="0" collapsed="false">
      <c r="A133" s="89"/>
      <c r="B133" s="89"/>
      <c r="C133" s="89"/>
      <c r="D133" s="89"/>
      <c r="E133" s="89"/>
      <c r="F133" s="89"/>
      <c r="G133" s="89"/>
      <c r="H133" s="89"/>
      <c r="I133" s="89"/>
      <c r="J133" s="89"/>
      <c r="K133" s="89"/>
      <c r="L133" s="89"/>
      <c r="M133" s="89"/>
      <c r="N133" s="89"/>
      <c r="O133" s="89"/>
      <c r="P133" s="89"/>
      <c r="Q133" s="89"/>
      <c r="R133" s="89"/>
      <c r="S133" s="89"/>
      <c r="T133" s="89"/>
      <c r="U133" s="89"/>
      <c r="V133" s="89"/>
      <c r="W133" s="89"/>
      <c r="X133" s="89"/>
      <c r="Y133" s="89"/>
      <c r="Z133" s="89"/>
      <c r="AA133" s="89"/>
      <c r="AB133" s="89"/>
      <c r="AC133" s="89"/>
      <c r="AD133" s="89"/>
      <c r="AE133" s="89"/>
      <c r="AF133" s="89"/>
      <c r="AG133" s="89"/>
      <c r="AH133" s="89"/>
      <c r="AI133" s="89"/>
      <c r="AJ133" s="89"/>
      <c r="AK133" s="89"/>
      <c r="AL133" s="89"/>
      <c r="AM133" s="89"/>
      <c r="AN133" s="89"/>
      <c r="AO133" s="89"/>
      <c r="AP133" s="89"/>
      <c r="AQ133" s="89"/>
      <c r="AR133" s="89"/>
      <c r="AS133" s="89"/>
      <c r="AT133" s="89"/>
      <c r="AU133" s="89"/>
      <c r="AV133" s="89"/>
      <c r="AW133" s="89"/>
      <c r="AX133" s="89"/>
    </row>
    <row r="134" s="36" customFormat="true" ht="15.75" hidden="false" customHeight="false" outlineLevel="0" collapsed="false">
      <c r="A134" s="89"/>
      <c r="B134" s="89"/>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c r="AA134" s="89"/>
      <c r="AB134" s="89"/>
      <c r="AC134" s="89"/>
      <c r="AD134" s="89"/>
      <c r="AE134" s="89"/>
      <c r="AF134" s="89"/>
      <c r="AG134" s="89"/>
      <c r="AH134" s="89"/>
      <c r="AI134" s="89"/>
      <c r="AJ134" s="89"/>
      <c r="AK134" s="89"/>
      <c r="AL134" s="89"/>
      <c r="AM134" s="89"/>
      <c r="AN134" s="89"/>
      <c r="AO134" s="89"/>
      <c r="AP134" s="89"/>
      <c r="AQ134" s="89"/>
      <c r="AR134" s="89"/>
      <c r="AS134" s="89"/>
      <c r="AT134" s="89"/>
      <c r="AU134" s="89"/>
      <c r="AV134" s="89"/>
      <c r="AW134" s="89"/>
      <c r="AX134" s="89"/>
    </row>
    <row r="135" s="36" customFormat="true" ht="15.75" hidden="false" customHeight="false" outlineLevel="0" collapsed="false">
      <c r="A135" s="89"/>
      <c r="B135" s="89"/>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c r="AA135" s="89"/>
      <c r="AB135" s="89"/>
      <c r="AC135" s="89"/>
      <c r="AD135" s="89"/>
      <c r="AE135" s="89"/>
      <c r="AF135" s="89"/>
      <c r="AG135" s="89"/>
      <c r="AH135" s="89"/>
      <c r="AI135" s="89"/>
      <c r="AJ135" s="89"/>
      <c r="AK135" s="89"/>
      <c r="AL135" s="89"/>
      <c r="AM135" s="89"/>
      <c r="AN135" s="89"/>
      <c r="AO135" s="89"/>
      <c r="AP135" s="89"/>
      <c r="AQ135" s="89"/>
      <c r="AR135" s="89"/>
      <c r="AS135" s="89"/>
      <c r="AT135" s="89"/>
      <c r="AU135" s="89"/>
      <c r="AV135" s="89"/>
      <c r="AW135" s="89"/>
      <c r="AX135" s="89"/>
    </row>
    <row r="136" s="36" customFormat="true" ht="15.75" hidden="false" customHeight="false" outlineLevel="0" collapsed="false">
      <c r="A136" s="89"/>
      <c r="B136" s="89"/>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c r="AA136" s="89"/>
      <c r="AB136" s="89"/>
      <c r="AC136" s="89"/>
      <c r="AD136" s="89"/>
      <c r="AE136" s="89"/>
      <c r="AF136" s="89"/>
      <c r="AG136" s="89"/>
      <c r="AH136" s="89"/>
      <c r="AI136" s="89"/>
      <c r="AJ136" s="89"/>
      <c r="AK136" s="89"/>
      <c r="AL136" s="89"/>
      <c r="AM136" s="89"/>
      <c r="AN136" s="89"/>
      <c r="AO136" s="89"/>
      <c r="AP136" s="89"/>
      <c r="AQ136" s="89"/>
      <c r="AR136" s="89"/>
      <c r="AS136" s="89"/>
      <c r="AT136" s="89"/>
      <c r="AU136" s="89"/>
      <c r="AV136" s="89"/>
      <c r="AW136" s="89"/>
      <c r="AX136" s="89"/>
    </row>
    <row r="137" s="36" customFormat="true" ht="15.75" hidden="false" customHeight="false" outlineLevel="0" collapsed="false">
      <c r="A137" s="89"/>
      <c r="B137" s="89"/>
      <c r="C137" s="89"/>
      <c r="D137" s="89"/>
      <c r="E137" s="89"/>
      <c r="F137" s="89"/>
      <c r="G137" s="89"/>
      <c r="H137" s="89"/>
      <c r="I137" s="89"/>
      <c r="J137" s="89"/>
      <c r="K137" s="89"/>
      <c r="L137" s="89"/>
      <c r="M137" s="89"/>
      <c r="N137" s="89"/>
      <c r="O137" s="89"/>
      <c r="P137" s="89"/>
      <c r="Q137" s="89"/>
      <c r="R137" s="89"/>
      <c r="S137" s="89"/>
      <c r="T137" s="89"/>
      <c r="U137" s="89"/>
      <c r="V137" s="89"/>
      <c r="W137" s="89"/>
      <c r="X137" s="89"/>
      <c r="Y137" s="89"/>
      <c r="Z137" s="89"/>
      <c r="AA137" s="89"/>
      <c r="AB137" s="89"/>
      <c r="AC137" s="89"/>
      <c r="AD137" s="89"/>
      <c r="AE137" s="89"/>
      <c r="AF137" s="89"/>
      <c r="AG137" s="89"/>
      <c r="AH137" s="89"/>
      <c r="AI137" s="89"/>
      <c r="AJ137" s="89"/>
      <c r="AK137" s="89"/>
      <c r="AL137" s="89"/>
      <c r="AM137" s="89"/>
      <c r="AN137" s="89"/>
      <c r="AO137" s="89"/>
      <c r="AP137" s="89"/>
      <c r="AQ137" s="89"/>
      <c r="AR137" s="89"/>
      <c r="AS137" s="89"/>
      <c r="AT137" s="89"/>
      <c r="AU137" s="89"/>
      <c r="AV137" s="89"/>
      <c r="AW137" s="89"/>
      <c r="AX137" s="89"/>
    </row>
    <row r="138" s="36" customFormat="true" ht="15.75" hidden="false" customHeight="false" outlineLevel="0" collapsed="false">
      <c r="A138" s="89"/>
      <c r="B138" s="89"/>
      <c r="C138" s="89"/>
      <c r="D138" s="89"/>
      <c r="E138" s="89"/>
      <c r="F138" s="89"/>
      <c r="G138" s="89"/>
      <c r="H138" s="89"/>
      <c r="I138" s="89"/>
      <c r="J138" s="89"/>
      <c r="K138" s="89"/>
      <c r="L138" s="89"/>
      <c r="M138" s="89"/>
      <c r="N138" s="89"/>
      <c r="O138" s="89"/>
      <c r="P138" s="89"/>
      <c r="Q138" s="89"/>
      <c r="R138" s="89"/>
      <c r="S138" s="89"/>
      <c r="T138" s="89"/>
      <c r="U138" s="89"/>
      <c r="V138" s="89"/>
      <c r="W138" s="89"/>
      <c r="X138" s="89"/>
      <c r="Y138" s="89"/>
      <c r="Z138" s="89"/>
      <c r="AA138" s="89"/>
      <c r="AB138" s="89"/>
      <c r="AC138" s="89"/>
      <c r="AD138" s="89"/>
      <c r="AE138" s="89"/>
      <c r="AF138" s="89"/>
      <c r="AG138" s="89"/>
      <c r="AH138" s="89"/>
      <c r="AI138" s="89"/>
      <c r="AJ138" s="89"/>
      <c r="AK138" s="89"/>
      <c r="AL138" s="89"/>
      <c r="AM138" s="89"/>
      <c r="AN138" s="89"/>
      <c r="AO138" s="89"/>
      <c r="AP138" s="89"/>
      <c r="AQ138" s="89"/>
      <c r="AR138" s="89"/>
      <c r="AS138" s="89"/>
      <c r="AT138" s="89"/>
      <c r="AU138" s="89"/>
      <c r="AV138" s="89"/>
      <c r="AW138" s="89"/>
      <c r="AX138" s="89"/>
    </row>
    <row r="139" s="36" customFormat="true" ht="15.75" hidden="false" customHeight="false" outlineLevel="0" collapsed="false">
      <c r="A139" s="89"/>
      <c r="B139" s="89"/>
      <c r="C139" s="89"/>
      <c r="D139" s="89"/>
      <c r="E139" s="89"/>
      <c r="F139" s="89"/>
      <c r="G139" s="89"/>
      <c r="H139" s="89"/>
      <c r="I139" s="89"/>
      <c r="J139" s="89"/>
      <c r="K139" s="89"/>
      <c r="L139" s="89"/>
      <c r="M139" s="89"/>
      <c r="N139" s="89"/>
      <c r="O139" s="89"/>
      <c r="P139" s="89"/>
      <c r="Q139" s="89"/>
      <c r="R139" s="89"/>
      <c r="S139" s="89"/>
      <c r="T139" s="89"/>
      <c r="U139" s="89"/>
      <c r="V139" s="89"/>
      <c r="W139" s="89"/>
      <c r="X139" s="89"/>
      <c r="Y139" s="89"/>
      <c r="Z139" s="89"/>
      <c r="AA139" s="89"/>
      <c r="AB139" s="89"/>
      <c r="AC139" s="89"/>
      <c r="AD139" s="89"/>
      <c r="AE139" s="89"/>
      <c r="AF139" s="89"/>
      <c r="AG139" s="89"/>
      <c r="AH139" s="89"/>
      <c r="AI139" s="89"/>
      <c r="AJ139" s="89"/>
      <c r="AK139" s="89"/>
      <c r="AL139" s="89"/>
      <c r="AM139" s="89"/>
      <c r="AN139" s="89"/>
      <c r="AO139" s="89"/>
      <c r="AP139" s="89"/>
      <c r="AQ139" s="89"/>
      <c r="AR139" s="89"/>
      <c r="AS139" s="89"/>
      <c r="AT139" s="89"/>
      <c r="AU139" s="89"/>
      <c r="AV139" s="89"/>
      <c r="AW139" s="89"/>
      <c r="AX139" s="89"/>
    </row>
    <row r="140" s="36" customFormat="true" ht="15.75" hidden="false" customHeight="false" outlineLevel="0" collapsed="false">
      <c r="A140" s="89"/>
      <c r="B140" s="89"/>
      <c r="C140" s="89"/>
      <c r="D140" s="89"/>
      <c r="E140" s="89"/>
      <c r="F140" s="89"/>
      <c r="G140" s="89"/>
      <c r="H140" s="89"/>
      <c r="I140" s="89"/>
      <c r="J140" s="89"/>
      <c r="K140" s="89"/>
      <c r="L140" s="89"/>
      <c r="M140" s="89"/>
      <c r="N140" s="89"/>
      <c r="O140" s="89"/>
      <c r="P140" s="89"/>
      <c r="Q140" s="89"/>
      <c r="R140" s="89"/>
      <c r="S140" s="89"/>
      <c r="T140" s="89"/>
      <c r="U140" s="89"/>
      <c r="V140" s="89"/>
      <c r="W140" s="89"/>
      <c r="X140" s="89"/>
      <c r="Y140" s="89"/>
      <c r="Z140" s="89"/>
      <c r="AA140" s="89"/>
      <c r="AB140" s="89"/>
      <c r="AC140" s="89"/>
      <c r="AD140" s="89"/>
      <c r="AE140" s="89"/>
      <c r="AF140" s="89"/>
      <c r="AG140" s="89"/>
      <c r="AH140" s="89"/>
      <c r="AI140" s="89"/>
      <c r="AJ140" s="89"/>
      <c r="AK140" s="89"/>
      <c r="AL140" s="89"/>
      <c r="AM140" s="89"/>
      <c r="AN140" s="89"/>
      <c r="AO140" s="89"/>
      <c r="AP140" s="89"/>
      <c r="AQ140" s="89"/>
      <c r="AR140" s="89"/>
      <c r="AS140" s="89"/>
      <c r="AT140" s="89"/>
      <c r="AU140" s="89"/>
      <c r="AV140" s="89"/>
      <c r="AW140" s="89"/>
      <c r="AX140" s="89"/>
    </row>
    <row r="141" s="36" customFormat="true" ht="15.75" hidden="false" customHeight="false" outlineLevel="0" collapsed="false">
      <c r="A141" s="89"/>
      <c r="B141" s="89"/>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c r="AA141" s="89"/>
      <c r="AB141" s="89"/>
      <c r="AC141" s="89"/>
      <c r="AD141" s="89"/>
      <c r="AE141" s="89"/>
      <c r="AF141" s="89"/>
      <c r="AG141" s="89"/>
      <c r="AH141" s="89"/>
      <c r="AI141" s="89"/>
      <c r="AJ141" s="89"/>
      <c r="AK141" s="89"/>
      <c r="AL141" s="89"/>
      <c r="AM141" s="89"/>
      <c r="AN141" s="89"/>
      <c r="AO141" s="89"/>
      <c r="AP141" s="89"/>
      <c r="AQ141" s="89"/>
      <c r="AR141" s="89"/>
      <c r="AS141" s="89"/>
      <c r="AT141" s="89"/>
      <c r="AU141" s="89"/>
      <c r="AV141" s="89"/>
      <c r="AW141" s="89"/>
      <c r="AX141" s="89"/>
    </row>
    <row r="142" s="36" customFormat="true" ht="15.75" hidden="false" customHeight="false" outlineLevel="0" collapsed="false">
      <c r="A142" s="89"/>
      <c r="B142" s="89"/>
      <c r="C142" s="89"/>
      <c r="D142" s="89"/>
      <c r="E142" s="89"/>
      <c r="F142" s="89"/>
      <c r="G142" s="89"/>
      <c r="H142" s="89"/>
      <c r="I142" s="89"/>
      <c r="J142" s="89"/>
      <c r="K142" s="89"/>
      <c r="L142" s="89"/>
      <c r="M142" s="89"/>
      <c r="N142" s="89"/>
      <c r="O142" s="89"/>
      <c r="P142" s="89"/>
      <c r="Q142" s="89"/>
      <c r="R142" s="89"/>
      <c r="S142" s="89"/>
      <c r="T142" s="89"/>
      <c r="U142" s="89"/>
      <c r="V142" s="89"/>
      <c r="W142" s="89"/>
      <c r="X142" s="89"/>
      <c r="Y142" s="89"/>
      <c r="Z142" s="89"/>
      <c r="AA142" s="89"/>
      <c r="AB142" s="89"/>
      <c r="AC142" s="89"/>
      <c r="AD142" s="89"/>
      <c r="AE142" s="89"/>
      <c r="AF142" s="89"/>
      <c r="AG142" s="89"/>
      <c r="AH142" s="89"/>
      <c r="AI142" s="89"/>
      <c r="AJ142" s="89"/>
      <c r="AK142" s="89"/>
      <c r="AL142" s="89"/>
      <c r="AM142" s="89"/>
      <c r="AN142" s="89"/>
      <c r="AO142" s="89"/>
      <c r="AP142" s="89"/>
      <c r="AQ142" s="89"/>
      <c r="AR142" s="89"/>
      <c r="AS142" s="89"/>
      <c r="AT142" s="89"/>
      <c r="AU142" s="89"/>
      <c r="AV142" s="89"/>
      <c r="AW142" s="89"/>
      <c r="AX142" s="89"/>
    </row>
    <row r="143" s="36" customFormat="true" ht="15.75" hidden="false" customHeight="false" outlineLevel="0" collapsed="false">
      <c r="A143" s="89"/>
      <c r="B143" s="89"/>
      <c r="C143" s="89"/>
      <c r="D143" s="89"/>
      <c r="E143" s="89"/>
      <c r="F143" s="89"/>
      <c r="G143" s="89"/>
      <c r="H143" s="89"/>
      <c r="I143" s="89"/>
      <c r="J143" s="89"/>
      <c r="K143" s="89"/>
      <c r="L143" s="89"/>
      <c r="M143" s="89"/>
      <c r="N143" s="89"/>
      <c r="O143" s="89"/>
      <c r="P143" s="89"/>
      <c r="Q143" s="89"/>
      <c r="R143" s="89"/>
      <c r="S143" s="89"/>
      <c r="T143" s="89"/>
      <c r="U143" s="89"/>
      <c r="V143" s="89"/>
      <c r="W143" s="89"/>
      <c r="X143" s="89"/>
      <c r="Y143" s="89"/>
      <c r="Z143" s="89"/>
      <c r="AA143" s="89"/>
      <c r="AB143" s="89"/>
      <c r="AC143" s="89"/>
      <c r="AD143" s="89"/>
      <c r="AE143" s="89"/>
      <c r="AF143" s="89"/>
      <c r="AG143" s="89"/>
      <c r="AH143" s="89"/>
      <c r="AI143" s="89"/>
      <c r="AJ143" s="89"/>
      <c r="AK143" s="89"/>
      <c r="AL143" s="89"/>
      <c r="AM143" s="89"/>
      <c r="AN143" s="89"/>
      <c r="AO143" s="89"/>
      <c r="AP143" s="89"/>
      <c r="AQ143" s="89"/>
      <c r="AR143" s="89"/>
      <c r="AS143" s="89"/>
      <c r="AT143" s="89"/>
      <c r="AU143" s="89"/>
      <c r="AV143" s="89"/>
      <c r="AW143" s="89"/>
      <c r="AX143" s="89"/>
    </row>
    <row r="144" s="36" customFormat="true" ht="15.75" hidden="false" customHeight="false" outlineLevel="0" collapsed="false">
      <c r="A144" s="89"/>
      <c r="B144" s="89"/>
      <c r="C144" s="89"/>
      <c r="D144" s="89"/>
      <c r="E144" s="89"/>
      <c r="F144" s="89"/>
      <c r="G144" s="89"/>
      <c r="H144" s="89"/>
      <c r="I144" s="89"/>
      <c r="J144" s="89"/>
      <c r="K144" s="89"/>
      <c r="L144" s="89"/>
      <c r="M144" s="89"/>
      <c r="N144" s="89"/>
      <c r="O144" s="89"/>
      <c r="P144" s="89"/>
      <c r="Q144" s="89"/>
      <c r="R144" s="89"/>
      <c r="S144" s="89"/>
      <c r="T144" s="89"/>
      <c r="U144" s="89"/>
      <c r="V144" s="89"/>
      <c r="W144" s="89"/>
      <c r="X144" s="89"/>
      <c r="Y144" s="89"/>
      <c r="Z144" s="89"/>
      <c r="AA144" s="89"/>
      <c r="AB144" s="89"/>
      <c r="AC144" s="89"/>
      <c r="AD144" s="89"/>
      <c r="AE144" s="89"/>
      <c r="AF144" s="89"/>
      <c r="AG144" s="89"/>
      <c r="AH144" s="89"/>
      <c r="AI144" s="89"/>
      <c r="AJ144" s="89"/>
      <c r="AK144" s="89"/>
      <c r="AL144" s="89"/>
      <c r="AM144" s="89"/>
      <c r="AN144" s="89"/>
      <c r="AO144" s="89"/>
      <c r="AP144" s="89"/>
      <c r="AQ144" s="89"/>
      <c r="AR144" s="89"/>
      <c r="AS144" s="89"/>
      <c r="AT144" s="89"/>
      <c r="AU144" s="89"/>
      <c r="AV144" s="89"/>
      <c r="AW144" s="89"/>
      <c r="AX144" s="89"/>
    </row>
    <row r="145" s="36" customFormat="true" ht="15.75" hidden="false" customHeight="false" outlineLevel="0" collapsed="false">
      <c r="A145" s="89"/>
      <c r="B145" s="89"/>
      <c r="C145" s="89"/>
      <c r="D145" s="89"/>
      <c r="E145" s="89"/>
      <c r="F145" s="89"/>
      <c r="G145" s="89"/>
      <c r="H145" s="89"/>
      <c r="I145" s="89"/>
      <c r="J145" s="89"/>
      <c r="K145" s="89"/>
      <c r="L145" s="89"/>
      <c r="M145" s="89"/>
      <c r="N145" s="89"/>
      <c r="O145" s="89"/>
      <c r="P145" s="89"/>
      <c r="Q145" s="89"/>
      <c r="R145" s="89"/>
      <c r="S145" s="89"/>
      <c r="T145" s="89"/>
      <c r="U145" s="89"/>
      <c r="V145" s="89"/>
      <c r="W145" s="89"/>
      <c r="X145" s="89"/>
      <c r="Y145" s="89"/>
      <c r="Z145" s="89"/>
      <c r="AA145" s="89"/>
      <c r="AB145" s="89"/>
      <c r="AC145" s="89"/>
      <c r="AD145" s="89"/>
      <c r="AE145" s="89"/>
      <c r="AF145" s="89"/>
      <c r="AG145" s="89"/>
      <c r="AH145" s="89"/>
      <c r="AI145" s="89"/>
      <c r="AJ145" s="89"/>
      <c r="AK145" s="89"/>
      <c r="AL145" s="89"/>
      <c r="AM145" s="89"/>
      <c r="AN145" s="89"/>
      <c r="AO145" s="89"/>
      <c r="AP145" s="89"/>
      <c r="AQ145" s="89"/>
      <c r="AR145" s="89"/>
      <c r="AS145" s="89"/>
      <c r="AT145" s="89"/>
      <c r="AU145" s="89"/>
      <c r="AV145" s="89"/>
      <c r="AW145" s="89"/>
      <c r="AX145" s="89"/>
    </row>
    <row r="146" s="36" customFormat="true" ht="15.75" hidden="false" customHeight="false" outlineLevel="0" collapsed="false">
      <c r="A146" s="89"/>
      <c r="B146" s="89"/>
      <c r="C146" s="89"/>
      <c r="D146" s="89"/>
      <c r="E146" s="89"/>
      <c r="F146" s="89"/>
      <c r="G146" s="89"/>
      <c r="H146" s="89"/>
      <c r="I146" s="89"/>
      <c r="J146" s="89"/>
      <c r="K146" s="89"/>
      <c r="L146" s="89"/>
      <c r="M146" s="89"/>
      <c r="N146" s="89"/>
      <c r="O146" s="89"/>
      <c r="P146" s="89"/>
      <c r="Q146" s="89"/>
      <c r="R146" s="89"/>
      <c r="S146" s="89"/>
      <c r="T146" s="89"/>
      <c r="U146" s="89"/>
      <c r="V146" s="89"/>
      <c r="W146" s="89"/>
      <c r="X146" s="89"/>
      <c r="Y146" s="89"/>
      <c r="Z146" s="89"/>
      <c r="AA146" s="89"/>
      <c r="AB146" s="89"/>
      <c r="AC146" s="89"/>
      <c r="AD146" s="89"/>
      <c r="AE146" s="89"/>
      <c r="AF146" s="89"/>
      <c r="AG146" s="89"/>
      <c r="AH146" s="89"/>
      <c r="AI146" s="89"/>
      <c r="AJ146" s="89"/>
      <c r="AK146" s="89"/>
      <c r="AL146" s="89"/>
      <c r="AM146" s="89"/>
      <c r="AN146" s="89"/>
      <c r="AO146" s="89"/>
      <c r="AP146" s="89"/>
      <c r="AQ146" s="89"/>
      <c r="AR146" s="89"/>
      <c r="AS146" s="89"/>
      <c r="AT146" s="89"/>
      <c r="AU146" s="89"/>
      <c r="AV146" s="89"/>
      <c r="AW146" s="89"/>
      <c r="AX146" s="89"/>
    </row>
    <row r="147" s="36" customFormat="true" ht="15.75" hidden="false" customHeight="false" outlineLevel="0" collapsed="false">
      <c r="A147" s="89"/>
      <c r="B147" s="89"/>
      <c r="C147" s="89"/>
      <c r="D147" s="89"/>
      <c r="E147" s="89"/>
      <c r="F147" s="89"/>
      <c r="G147" s="89"/>
      <c r="H147" s="89"/>
      <c r="I147" s="89"/>
      <c r="J147" s="89"/>
      <c r="K147" s="89"/>
      <c r="L147" s="89"/>
      <c r="M147" s="89"/>
      <c r="N147" s="89"/>
      <c r="O147" s="89"/>
      <c r="P147" s="89"/>
      <c r="Q147" s="89"/>
      <c r="R147" s="89"/>
      <c r="S147" s="89"/>
      <c r="T147" s="89"/>
      <c r="U147" s="89"/>
      <c r="V147" s="89"/>
      <c r="W147" s="89"/>
      <c r="X147" s="89"/>
      <c r="Y147" s="89"/>
      <c r="Z147" s="89"/>
      <c r="AA147" s="89"/>
      <c r="AB147" s="89"/>
      <c r="AC147" s="89"/>
      <c r="AD147" s="89"/>
      <c r="AE147" s="89"/>
      <c r="AF147" s="89"/>
      <c r="AG147" s="89"/>
      <c r="AH147" s="89"/>
      <c r="AI147" s="89"/>
      <c r="AJ147" s="89"/>
      <c r="AK147" s="89"/>
      <c r="AL147" s="89"/>
      <c r="AM147" s="89"/>
      <c r="AN147" s="89"/>
      <c r="AO147" s="89"/>
      <c r="AP147" s="89"/>
      <c r="AQ147" s="89"/>
      <c r="AR147" s="89"/>
      <c r="AS147" s="89"/>
      <c r="AT147" s="89"/>
      <c r="AU147" s="89"/>
      <c r="AV147" s="89"/>
      <c r="AW147" s="89"/>
      <c r="AX147" s="89"/>
    </row>
    <row r="148" s="36" customFormat="true" ht="15.75" hidden="false" customHeight="false" outlineLevel="0" collapsed="false">
      <c r="A148" s="89"/>
      <c r="B148" s="89"/>
      <c r="C148" s="89"/>
      <c r="D148" s="89"/>
      <c r="E148" s="89"/>
      <c r="F148" s="89"/>
      <c r="G148" s="89"/>
      <c r="H148" s="89"/>
      <c r="I148" s="89"/>
      <c r="J148" s="89"/>
      <c r="K148" s="89"/>
      <c r="L148" s="89"/>
      <c r="M148" s="89"/>
      <c r="N148" s="89"/>
      <c r="O148" s="89"/>
      <c r="P148" s="89"/>
      <c r="Q148" s="89"/>
      <c r="R148" s="89"/>
      <c r="S148" s="89"/>
      <c r="T148" s="89"/>
      <c r="U148" s="89"/>
      <c r="V148" s="89"/>
      <c r="W148" s="89"/>
      <c r="X148" s="89"/>
      <c r="Y148" s="89"/>
      <c r="Z148" s="89"/>
      <c r="AA148" s="89"/>
      <c r="AB148" s="89"/>
      <c r="AC148" s="89"/>
      <c r="AD148" s="89"/>
      <c r="AE148" s="89"/>
      <c r="AF148" s="89"/>
      <c r="AG148" s="89"/>
      <c r="AH148" s="89"/>
      <c r="AI148" s="89"/>
      <c r="AJ148" s="89"/>
      <c r="AK148" s="89"/>
      <c r="AL148" s="89"/>
      <c r="AM148" s="89"/>
      <c r="AN148" s="89"/>
      <c r="AO148" s="89"/>
      <c r="AP148" s="89"/>
      <c r="AQ148" s="89"/>
      <c r="AR148" s="89"/>
      <c r="AS148" s="89"/>
      <c r="AT148" s="89"/>
      <c r="AU148" s="89"/>
      <c r="AV148" s="89"/>
      <c r="AW148" s="89"/>
      <c r="AX148" s="89"/>
    </row>
    <row r="149" s="36" customFormat="true" ht="15.75" hidden="false" customHeight="false" outlineLevel="0" collapsed="false">
      <c r="A149" s="89"/>
      <c r="B149" s="89"/>
      <c r="C149" s="89"/>
      <c r="D149" s="89"/>
      <c r="E149" s="89"/>
      <c r="F149" s="89"/>
      <c r="G149" s="89"/>
      <c r="H149" s="89"/>
      <c r="I149" s="89"/>
      <c r="J149" s="89"/>
      <c r="K149" s="89"/>
      <c r="L149" s="89"/>
      <c r="M149" s="89"/>
      <c r="N149" s="89"/>
      <c r="O149" s="89"/>
      <c r="P149" s="89"/>
      <c r="Q149" s="89"/>
      <c r="R149" s="89"/>
      <c r="S149" s="89"/>
      <c r="T149" s="89"/>
      <c r="U149" s="89"/>
      <c r="V149" s="89"/>
      <c r="W149" s="89"/>
      <c r="X149" s="89"/>
      <c r="Y149" s="89"/>
      <c r="Z149" s="89"/>
      <c r="AA149" s="89"/>
      <c r="AB149" s="89"/>
      <c r="AC149" s="89"/>
      <c r="AD149" s="89"/>
      <c r="AE149" s="89"/>
      <c r="AF149" s="89"/>
      <c r="AG149" s="89"/>
      <c r="AH149" s="89"/>
      <c r="AI149" s="89"/>
      <c r="AJ149" s="89"/>
      <c r="AK149" s="89"/>
      <c r="AL149" s="89"/>
      <c r="AM149" s="89"/>
      <c r="AN149" s="89"/>
      <c r="AO149" s="89"/>
      <c r="AP149" s="89"/>
      <c r="AQ149" s="89"/>
      <c r="AR149" s="89"/>
      <c r="AS149" s="89"/>
      <c r="AT149" s="89"/>
      <c r="AU149" s="89"/>
      <c r="AV149" s="89"/>
      <c r="AW149" s="89"/>
      <c r="AX149" s="89"/>
    </row>
    <row r="150" s="36" customFormat="true" ht="15.75" hidden="false" customHeight="false" outlineLevel="0" collapsed="false">
      <c r="A150" s="89"/>
      <c r="B150" s="89"/>
      <c r="C150" s="89"/>
      <c r="D150" s="89"/>
      <c r="E150" s="89"/>
      <c r="F150" s="89"/>
      <c r="G150" s="89"/>
      <c r="H150" s="89"/>
      <c r="I150" s="89"/>
      <c r="J150" s="89"/>
      <c r="K150" s="89"/>
      <c r="L150" s="89"/>
      <c r="M150" s="89"/>
      <c r="N150" s="89"/>
      <c r="O150" s="89"/>
      <c r="P150" s="89"/>
      <c r="Q150" s="89"/>
      <c r="R150" s="89"/>
      <c r="S150" s="89"/>
      <c r="T150" s="89"/>
      <c r="U150" s="89"/>
      <c r="V150" s="89"/>
      <c r="W150" s="89"/>
      <c r="X150" s="89"/>
      <c r="Y150" s="89"/>
      <c r="Z150" s="89"/>
      <c r="AA150" s="89"/>
      <c r="AB150" s="89"/>
      <c r="AC150" s="89"/>
      <c r="AD150" s="89"/>
      <c r="AE150" s="89"/>
      <c r="AF150" s="89"/>
      <c r="AG150" s="89"/>
      <c r="AH150" s="89"/>
      <c r="AI150" s="89"/>
      <c r="AJ150" s="89"/>
      <c r="AK150" s="89"/>
      <c r="AL150" s="89"/>
      <c r="AM150" s="89"/>
      <c r="AN150" s="89"/>
      <c r="AO150" s="89"/>
      <c r="AP150" s="89"/>
      <c r="AQ150" s="89"/>
      <c r="AR150" s="89"/>
      <c r="AS150" s="89"/>
      <c r="AT150" s="89"/>
      <c r="AU150" s="89"/>
      <c r="AV150" s="89"/>
      <c r="AW150" s="89"/>
      <c r="AX150" s="89"/>
    </row>
    <row r="151" s="36" customFormat="true" ht="15.75" hidden="false" customHeight="false" outlineLevel="0" collapsed="false">
      <c r="A151" s="89"/>
      <c r="B151" s="89"/>
      <c r="C151" s="89"/>
      <c r="D151" s="89"/>
      <c r="E151" s="89"/>
      <c r="F151" s="89"/>
      <c r="G151" s="89"/>
      <c r="H151" s="89"/>
      <c r="I151" s="89"/>
      <c r="J151" s="89"/>
      <c r="K151" s="89"/>
      <c r="L151" s="89"/>
      <c r="M151" s="89"/>
      <c r="N151" s="89"/>
      <c r="O151" s="89"/>
      <c r="P151" s="89"/>
      <c r="Q151" s="89"/>
      <c r="R151" s="89"/>
      <c r="S151" s="89"/>
      <c r="T151" s="89"/>
      <c r="U151" s="89"/>
      <c r="V151" s="89"/>
      <c r="W151" s="89"/>
      <c r="X151" s="89"/>
      <c r="Y151" s="89"/>
      <c r="Z151" s="89"/>
      <c r="AA151" s="89"/>
      <c r="AB151" s="89"/>
      <c r="AC151" s="89"/>
      <c r="AD151" s="89"/>
      <c r="AE151" s="89"/>
      <c r="AF151" s="89"/>
      <c r="AG151" s="89"/>
      <c r="AH151" s="89"/>
      <c r="AI151" s="89"/>
      <c r="AJ151" s="89"/>
      <c r="AK151" s="89"/>
      <c r="AL151" s="89"/>
      <c r="AM151" s="89"/>
      <c r="AN151" s="89"/>
      <c r="AO151" s="89"/>
      <c r="AP151" s="89"/>
      <c r="AQ151" s="89"/>
      <c r="AR151" s="89"/>
      <c r="AS151" s="89"/>
      <c r="AT151" s="89"/>
      <c r="AU151" s="89"/>
      <c r="AV151" s="89"/>
      <c r="AW151" s="89"/>
      <c r="AX151" s="89"/>
    </row>
    <row r="152" s="36" customFormat="true" ht="15.75" hidden="false" customHeight="false" outlineLevel="0" collapsed="false">
      <c r="A152" s="89"/>
      <c r="B152" s="89"/>
      <c r="C152" s="89"/>
      <c r="D152" s="89"/>
      <c r="E152" s="89"/>
      <c r="F152" s="89"/>
      <c r="G152" s="89"/>
      <c r="H152" s="89"/>
      <c r="I152" s="89"/>
      <c r="J152" s="89"/>
      <c r="K152" s="89"/>
      <c r="L152" s="89"/>
      <c r="M152" s="89"/>
      <c r="N152" s="89"/>
      <c r="O152" s="89"/>
      <c r="P152" s="89"/>
      <c r="Q152" s="89"/>
      <c r="R152" s="89"/>
      <c r="S152" s="89"/>
      <c r="T152" s="89"/>
      <c r="U152" s="89"/>
      <c r="V152" s="89"/>
      <c r="W152" s="89"/>
      <c r="X152" s="89"/>
      <c r="Y152" s="89"/>
      <c r="Z152" s="89"/>
      <c r="AA152" s="89"/>
      <c r="AB152" s="89"/>
      <c r="AC152" s="89"/>
      <c r="AD152" s="89"/>
      <c r="AE152" s="89"/>
      <c r="AF152" s="89"/>
      <c r="AG152" s="89"/>
      <c r="AH152" s="89"/>
      <c r="AI152" s="89"/>
      <c r="AJ152" s="89"/>
      <c r="AK152" s="89"/>
      <c r="AL152" s="89"/>
      <c r="AM152" s="89"/>
      <c r="AN152" s="89"/>
      <c r="AO152" s="89"/>
      <c r="AP152" s="89"/>
      <c r="AQ152" s="89"/>
      <c r="AR152" s="89"/>
      <c r="AS152" s="89"/>
      <c r="AT152" s="89"/>
      <c r="AU152" s="89"/>
      <c r="AV152" s="89"/>
      <c r="AW152" s="89"/>
      <c r="AX152" s="89"/>
    </row>
    <row r="153" s="36" customFormat="true" ht="15.75" hidden="false" customHeight="false" outlineLevel="0" collapsed="false">
      <c r="A153" s="89"/>
      <c r="B153" s="89"/>
      <c r="C153" s="89"/>
      <c r="D153" s="89"/>
      <c r="E153" s="89"/>
      <c r="F153" s="89"/>
      <c r="G153" s="89"/>
      <c r="H153" s="89"/>
      <c r="I153" s="89"/>
      <c r="J153" s="89"/>
      <c r="K153" s="89"/>
      <c r="L153" s="89"/>
      <c r="M153" s="89"/>
      <c r="N153" s="89"/>
      <c r="O153" s="89"/>
      <c r="P153" s="89"/>
      <c r="Q153" s="89"/>
      <c r="R153" s="89"/>
      <c r="S153" s="89"/>
      <c r="T153" s="89"/>
      <c r="U153" s="89"/>
      <c r="V153" s="89"/>
      <c r="W153" s="89"/>
      <c r="X153" s="89"/>
      <c r="Y153" s="89"/>
      <c r="Z153" s="89"/>
      <c r="AA153" s="89"/>
      <c r="AB153" s="89"/>
      <c r="AC153" s="89"/>
      <c r="AD153" s="89"/>
      <c r="AE153" s="89"/>
      <c r="AF153" s="89"/>
      <c r="AG153" s="89"/>
      <c r="AH153" s="89"/>
      <c r="AI153" s="89"/>
      <c r="AJ153" s="89"/>
      <c r="AK153" s="89"/>
      <c r="AL153" s="89"/>
      <c r="AM153" s="89"/>
      <c r="AN153" s="89"/>
      <c r="AO153" s="89"/>
      <c r="AP153" s="89"/>
      <c r="AQ153" s="89"/>
      <c r="AR153" s="89"/>
      <c r="AS153" s="89"/>
      <c r="AT153" s="89"/>
      <c r="AU153" s="89"/>
      <c r="AV153" s="89"/>
      <c r="AW153" s="89"/>
      <c r="AX153" s="89"/>
    </row>
    <row r="154" s="36" customFormat="true" ht="15.75" hidden="false" customHeight="false" outlineLevel="0" collapsed="false">
      <c r="A154" s="89"/>
      <c r="B154" s="89"/>
      <c r="C154" s="89"/>
      <c r="D154" s="89"/>
      <c r="E154" s="89"/>
      <c r="F154" s="89"/>
      <c r="G154" s="89"/>
      <c r="H154" s="89"/>
      <c r="I154" s="89"/>
      <c r="J154" s="89"/>
      <c r="K154" s="89"/>
      <c r="L154" s="89"/>
      <c r="M154" s="89"/>
      <c r="N154" s="89"/>
      <c r="O154" s="89"/>
      <c r="P154" s="89"/>
      <c r="Q154" s="89"/>
      <c r="R154" s="89"/>
      <c r="S154" s="89"/>
      <c r="T154" s="89"/>
      <c r="U154" s="89"/>
      <c r="V154" s="89"/>
      <c r="W154" s="89"/>
      <c r="X154" s="89"/>
      <c r="Y154" s="89"/>
      <c r="Z154" s="89"/>
      <c r="AA154" s="89"/>
      <c r="AB154" s="89"/>
      <c r="AC154" s="89"/>
      <c r="AD154" s="89"/>
      <c r="AE154" s="89"/>
      <c r="AF154" s="89"/>
      <c r="AG154" s="89"/>
      <c r="AH154" s="89"/>
      <c r="AI154" s="89"/>
      <c r="AJ154" s="89"/>
      <c r="AK154" s="89"/>
      <c r="AL154" s="89"/>
      <c r="AM154" s="89"/>
      <c r="AN154" s="89"/>
      <c r="AO154" s="89"/>
      <c r="AP154" s="89"/>
      <c r="AQ154" s="89"/>
      <c r="AR154" s="89"/>
      <c r="AS154" s="89"/>
      <c r="AT154" s="89"/>
      <c r="AU154" s="89"/>
      <c r="AV154" s="89"/>
      <c r="AW154" s="89"/>
      <c r="AX154" s="89"/>
    </row>
    <row r="155" s="36" customFormat="true" ht="15.75" hidden="false" customHeight="false" outlineLevel="0" collapsed="false">
      <c r="A155" s="89"/>
      <c r="B155" s="89"/>
      <c r="C155" s="89"/>
      <c r="D155" s="89"/>
      <c r="E155" s="89"/>
      <c r="F155" s="89"/>
      <c r="G155" s="89"/>
      <c r="H155" s="89"/>
      <c r="I155" s="89"/>
      <c r="J155" s="89"/>
      <c r="K155" s="89"/>
      <c r="L155" s="89"/>
      <c r="M155" s="89"/>
      <c r="N155" s="89"/>
      <c r="O155" s="89"/>
      <c r="P155" s="89"/>
      <c r="Q155" s="89"/>
      <c r="R155" s="89"/>
      <c r="S155" s="89"/>
      <c r="T155" s="89"/>
      <c r="U155" s="89"/>
      <c r="V155" s="89"/>
      <c r="W155" s="89"/>
      <c r="X155" s="89"/>
      <c r="Y155" s="89"/>
      <c r="Z155" s="89"/>
      <c r="AA155" s="89"/>
      <c r="AB155" s="89"/>
      <c r="AC155" s="89"/>
      <c r="AD155" s="89"/>
      <c r="AE155" s="89"/>
      <c r="AF155" s="89"/>
      <c r="AG155" s="89"/>
      <c r="AH155" s="89"/>
      <c r="AI155" s="89"/>
      <c r="AJ155" s="89"/>
      <c r="AK155" s="89"/>
      <c r="AL155" s="89"/>
      <c r="AM155" s="89"/>
      <c r="AN155" s="89"/>
      <c r="AO155" s="89"/>
      <c r="AP155" s="89"/>
      <c r="AQ155" s="89"/>
      <c r="AR155" s="89"/>
      <c r="AS155" s="89"/>
      <c r="AT155" s="89"/>
      <c r="AU155" s="89"/>
      <c r="AV155" s="89"/>
      <c r="AW155" s="89"/>
      <c r="AX155" s="89"/>
    </row>
    <row r="156" s="36" customFormat="true" ht="15.75" hidden="false" customHeight="false" outlineLevel="0" collapsed="false">
      <c r="A156" s="89"/>
      <c r="B156" s="89"/>
      <c r="C156" s="89"/>
      <c r="D156" s="89"/>
      <c r="E156" s="89"/>
      <c r="F156" s="89"/>
      <c r="G156" s="89"/>
      <c r="H156" s="89"/>
      <c r="I156" s="89"/>
      <c r="J156" s="89"/>
      <c r="K156" s="89"/>
      <c r="L156" s="89"/>
      <c r="M156" s="89"/>
      <c r="N156" s="89"/>
      <c r="O156" s="89"/>
      <c r="P156" s="89"/>
      <c r="Q156" s="89"/>
      <c r="R156" s="89"/>
      <c r="S156" s="89"/>
      <c r="T156" s="89"/>
      <c r="U156" s="89"/>
      <c r="V156" s="89"/>
      <c r="W156" s="89"/>
      <c r="X156" s="89"/>
      <c r="Y156" s="89"/>
      <c r="Z156" s="89"/>
      <c r="AA156" s="89"/>
      <c r="AB156" s="89"/>
      <c r="AC156" s="89"/>
      <c r="AD156" s="89"/>
      <c r="AE156" s="89"/>
      <c r="AF156" s="89"/>
      <c r="AG156" s="89"/>
      <c r="AH156" s="89"/>
      <c r="AI156" s="89"/>
      <c r="AJ156" s="89"/>
      <c r="AK156" s="89"/>
      <c r="AL156" s="89"/>
      <c r="AM156" s="89"/>
      <c r="AN156" s="89"/>
      <c r="AO156" s="89"/>
      <c r="AP156" s="89"/>
      <c r="AQ156" s="89"/>
      <c r="AR156" s="89"/>
      <c r="AS156" s="89"/>
      <c r="AT156" s="89"/>
      <c r="AU156" s="89"/>
      <c r="AV156" s="89"/>
      <c r="AW156" s="89"/>
      <c r="AX156" s="89"/>
    </row>
    <row r="157" s="36" customFormat="true" ht="15.75" hidden="false" customHeight="false" outlineLevel="0" collapsed="false">
      <c r="A157" s="89"/>
      <c r="B157" s="89"/>
      <c r="C157" s="89"/>
      <c r="D157" s="89"/>
      <c r="E157" s="89"/>
      <c r="F157" s="89"/>
      <c r="G157" s="89"/>
      <c r="H157" s="89"/>
      <c r="I157" s="89"/>
      <c r="J157" s="89"/>
      <c r="K157" s="89"/>
      <c r="L157" s="89"/>
      <c r="M157" s="89"/>
      <c r="N157" s="89"/>
      <c r="O157" s="89"/>
      <c r="P157" s="89"/>
      <c r="Q157" s="89"/>
      <c r="R157" s="89"/>
      <c r="S157" s="89"/>
      <c r="T157" s="89"/>
      <c r="U157" s="89"/>
      <c r="V157" s="89"/>
      <c r="W157" s="89"/>
      <c r="X157" s="89"/>
      <c r="Y157" s="89"/>
      <c r="Z157" s="89"/>
      <c r="AA157" s="89"/>
      <c r="AB157" s="89"/>
      <c r="AC157" s="89"/>
      <c r="AD157" s="89"/>
      <c r="AE157" s="89"/>
      <c r="AF157" s="89"/>
      <c r="AG157" s="89"/>
      <c r="AH157" s="89"/>
      <c r="AI157" s="89"/>
      <c r="AJ157" s="89"/>
      <c r="AK157" s="89"/>
      <c r="AL157" s="89"/>
      <c r="AM157" s="89"/>
      <c r="AN157" s="89"/>
      <c r="AO157" s="89"/>
      <c r="AP157" s="89"/>
      <c r="AQ157" s="89"/>
      <c r="AR157" s="89"/>
      <c r="AS157" s="89"/>
      <c r="AT157" s="89"/>
      <c r="AU157" s="89"/>
      <c r="AV157" s="89"/>
      <c r="AW157" s="89"/>
      <c r="AX157" s="89"/>
    </row>
    <row r="158" s="36" customFormat="true" ht="15.75" hidden="false" customHeight="false" outlineLevel="0" collapsed="false">
      <c r="A158" s="89"/>
      <c r="B158" s="89"/>
      <c r="C158" s="89"/>
      <c r="D158" s="89"/>
      <c r="E158" s="89"/>
      <c r="F158" s="89"/>
      <c r="G158" s="89"/>
      <c r="H158" s="89"/>
      <c r="I158" s="89"/>
      <c r="J158" s="89"/>
      <c r="K158" s="89"/>
      <c r="L158" s="89"/>
      <c r="M158" s="89"/>
      <c r="N158" s="89"/>
      <c r="O158" s="89"/>
      <c r="P158" s="89"/>
      <c r="Q158" s="89"/>
      <c r="R158" s="89"/>
      <c r="S158" s="89"/>
      <c r="T158" s="89"/>
      <c r="U158" s="89"/>
      <c r="V158" s="89"/>
      <c r="W158" s="89"/>
      <c r="X158" s="89"/>
      <c r="Y158" s="89"/>
      <c r="Z158" s="89"/>
      <c r="AA158" s="89"/>
      <c r="AB158" s="89"/>
      <c r="AC158" s="89"/>
      <c r="AD158" s="89"/>
      <c r="AE158" s="89"/>
      <c r="AF158" s="89"/>
      <c r="AG158" s="89"/>
      <c r="AH158" s="89"/>
      <c r="AI158" s="89"/>
      <c r="AJ158" s="89"/>
      <c r="AK158" s="89"/>
      <c r="AL158" s="89"/>
      <c r="AM158" s="89"/>
      <c r="AN158" s="89"/>
      <c r="AO158" s="89"/>
      <c r="AP158" s="89"/>
      <c r="AQ158" s="89"/>
      <c r="AR158" s="89"/>
      <c r="AS158" s="89"/>
      <c r="AT158" s="89"/>
      <c r="AU158" s="89"/>
      <c r="AV158" s="89"/>
      <c r="AW158" s="89"/>
      <c r="AX158" s="89"/>
    </row>
    <row r="159" s="36" customFormat="true" ht="15.75" hidden="false" customHeight="false" outlineLevel="0" collapsed="false">
      <c r="A159" s="89"/>
      <c r="B159" s="89"/>
      <c r="C159" s="89"/>
      <c r="D159" s="89"/>
      <c r="E159" s="89"/>
      <c r="F159" s="89"/>
      <c r="G159" s="89"/>
      <c r="H159" s="89"/>
      <c r="I159" s="89"/>
      <c r="J159" s="89"/>
      <c r="K159" s="89"/>
      <c r="L159" s="89"/>
      <c r="M159" s="89"/>
      <c r="N159" s="89"/>
      <c r="O159" s="89"/>
      <c r="P159" s="89"/>
      <c r="Q159" s="89"/>
      <c r="R159" s="89"/>
      <c r="S159" s="89"/>
      <c r="T159" s="89"/>
      <c r="U159" s="89"/>
      <c r="V159" s="89"/>
      <c r="W159" s="89"/>
      <c r="X159" s="89"/>
      <c r="Y159" s="89"/>
      <c r="Z159" s="89"/>
      <c r="AA159" s="89"/>
      <c r="AB159" s="89"/>
      <c r="AC159" s="89"/>
      <c r="AD159" s="89"/>
      <c r="AE159" s="89"/>
      <c r="AF159" s="89"/>
      <c r="AG159" s="89"/>
      <c r="AH159" s="89"/>
      <c r="AI159" s="89"/>
      <c r="AJ159" s="89"/>
      <c r="AK159" s="89"/>
      <c r="AL159" s="89"/>
      <c r="AM159" s="89"/>
      <c r="AN159" s="89"/>
      <c r="AO159" s="89"/>
      <c r="AP159" s="89"/>
      <c r="AQ159" s="89"/>
      <c r="AR159" s="89"/>
      <c r="AS159" s="89"/>
      <c r="AT159" s="89"/>
      <c r="AU159" s="89"/>
      <c r="AV159" s="89"/>
      <c r="AW159" s="89"/>
      <c r="AX159" s="89"/>
    </row>
    <row r="160" s="36" customFormat="true" ht="15.75" hidden="false" customHeight="false" outlineLevel="0" collapsed="false">
      <c r="A160" s="89"/>
      <c r="B160" s="89"/>
      <c r="C160" s="89"/>
      <c r="D160" s="89"/>
      <c r="E160" s="89"/>
      <c r="F160" s="89"/>
      <c r="G160" s="89"/>
      <c r="H160" s="89"/>
      <c r="I160" s="89"/>
      <c r="J160" s="89"/>
      <c r="K160" s="89"/>
      <c r="L160" s="89"/>
      <c r="M160" s="89"/>
      <c r="N160" s="89"/>
      <c r="O160" s="89"/>
      <c r="P160" s="89"/>
      <c r="Q160" s="89"/>
      <c r="R160" s="89"/>
      <c r="S160" s="89"/>
      <c r="T160" s="89"/>
      <c r="U160" s="89"/>
      <c r="V160" s="89"/>
      <c r="W160" s="89"/>
      <c r="X160" s="89"/>
      <c r="Y160" s="89"/>
      <c r="Z160" s="89"/>
      <c r="AA160" s="89"/>
      <c r="AB160" s="89"/>
      <c r="AC160" s="89"/>
      <c r="AD160" s="89"/>
      <c r="AE160" s="89"/>
      <c r="AF160" s="89"/>
      <c r="AG160" s="89"/>
      <c r="AH160" s="89"/>
      <c r="AI160" s="89"/>
      <c r="AJ160" s="89"/>
      <c r="AK160" s="89"/>
      <c r="AL160" s="89"/>
      <c r="AM160" s="89"/>
      <c r="AN160" s="89"/>
      <c r="AO160" s="89"/>
      <c r="AP160" s="89"/>
      <c r="AQ160" s="89"/>
      <c r="AR160" s="89"/>
      <c r="AS160" s="89"/>
      <c r="AT160" s="89"/>
      <c r="AU160" s="89"/>
      <c r="AV160" s="89"/>
      <c r="AW160" s="89"/>
      <c r="AX160" s="89"/>
    </row>
    <row r="161" s="36" customFormat="true" ht="15.75" hidden="false" customHeight="false" outlineLevel="0" collapsed="false">
      <c r="A161" s="89"/>
      <c r="B161" s="89"/>
      <c r="C161" s="89"/>
      <c r="D161" s="89"/>
      <c r="E161" s="89"/>
      <c r="F161" s="89"/>
      <c r="G161" s="89"/>
      <c r="H161" s="89"/>
      <c r="I161" s="89"/>
      <c r="J161" s="89"/>
      <c r="K161" s="89"/>
      <c r="L161" s="89"/>
      <c r="M161" s="89"/>
      <c r="N161" s="89"/>
      <c r="O161" s="89"/>
      <c r="P161" s="89"/>
      <c r="Q161" s="89"/>
      <c r="R161" s="89"/>
      <c r="S161" s="89"/>
      <c r="T161" s="89"/>
      <c r="U161" s="89"/>
      <c r="V161" s="89"/>
      <c r="W161" s="89"/>
      <c r="X161" s="89"/>
      <c r="Y161" s="89"/>
      <c r="Z161" s="89"/>
      <c r="AA161" s="89"/>
      <c r="AB161" s="89"/>
      <c r="AC161" s="89"/>
      <c r="AD161" s="89"/>
      <c r="AE161" s="89"/>
      <c r="AF161" s="89"/>
      <c r="AG161" s="89"/>
      <c r="AH161" s="89"/>
      <c r="AI161" s="89"/>
      <c r="AJ161" s="89"/>
      <c r="AK161" s="89"/>
      <c r="AL161" s="89"/>
      <c r="AM161" s="89"/>
      <c r="AN161" s="89"/>
      <c r="AO161" s="89"/>
      <c r="AP161" s="89"/>
      <c r="AQ161" s="89"/>
      <c r="AR161" s="89"/>
      <c r="AS161" s="89"/>
      <c r="AT161" s="89"/>
      <c r="AU161" s="89"/>
      <c r="AV161" s="89"/>
      <c r="AW161" s="89"/>
      <c r="AX161" s="89"/>
    </row>
    <row r="162" s="36" customFormat="true" ht="15.75" hidden="false" customHeight="false" outlineLevel="0" collapsed="false">
      <c r="A162" s="89"/>
      <c r="B162" s="89"/>
      <c r="C162" s="89"/>
      <c r="D162" s="89"/>
      <c r="E162" s="89"/>
      <c r="F162" s="89"/>
      <c r="G162" s="89"/>
      <c r="H162" s="89"/>
      <c r="I162" s="89"/>
      <c r="J162" s="89"/>
      <c r="K162" s="89"/>
      <c r="L162" s="89"/>
      <c r="M162" s="89"/>
      <c r="N162" s="89"/>
      <c r="O162" s="89"/>
      <c r="P162" s="89"/>
      <c r="Q162" s="89"/>
      <c r="R162" s="89"/>
      <c r="S162" s="89"/>
      <c r="T162" s="89"/>
      <c r="U162" s="89"/>
      <c r="V162" s="89"/>
      <c r="W162" s="89"/>
      <c r="X162" s="89"/>
      <c r="Y162" s="89"/>
      <c r="Z162" s="89"/>
      <c r="AA162" s="89"/>
      <c r="AB162" s="89"/>
      <c r="AC162" s="89"/>
      <c r="AD162" s="89"/>
      <c r="AE162" s="89"/>
      <c r="AF162" s="89"/>
      <c r="AG162" s="89"/>
      <c r="AH162" s="89"/>
      <c r="AI162" s="89"/>
      <c r="AJ162" s="89"/>
      <c r="AK162" s="89"/>
      <c r="AL162" s="89"/>
      <c r="AM162" s="89"/>
      <c r="AN162" s="89"/>
      <c r="AO162" s="89"/>
      <c r="AP162" s="89"/>
      <c r="AQ162" s="89"/>
      <c r="AR162" s="89"/>
      <c r="AS162" s="89"/>
      <c r="AT162" s="89"/>
      <c r="AU162" s="89"/>
      <c r="AV162" s="89"/>
      <c r="AW162" s="89"/>
      <c r="AX162" s="89"/>
    </row>
    <row r="163" s="36" customFormat="true" ht="15.75" hidden="false" customHeight="false" outlineLevel="0" collapsed="false">
      <c r="A163" s="89"/>
      <c r="B163" s="89"/>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c r="AA163" s="89"/>
      <c r="AB163" s="89"/>
      <c r="AC163" s="89"/>
      <c r="AD163" s="89"/>
      <c r="AE163" s="89"/>
      <c r="AF163" s="89"/>
      <c r="AG163" s="89"/>
      <c r="AH163" s="89"/>
      <c r="AI163" s="89"/>
      <c r="AJ163" s="89"/>
      <c r="AK163" s="89"/>
      <c r="AL163" s="89"/>
      <c r="AM163" s="89"/>
      <c r="AN163" s="89"/>
      <c r="AO163" s="89"/>
      <c r="AP163" s="89"/>
      <c r="AQ163" s="89"/>
      <c r="AR163" s="89"/>
      <c r="AS163" s="89"/>
      <c r="AT163" s="89"/>
      <c r="AU163" s="89"/>
      <c r="AV163" s="89"/>
      <c r="AW163" s="89"/>
      <c r="AX163" s="89"/>
    </row>
    <row r="164" s="36" customFormat="true" ht="15.75" hidden="false" customHeight="false" outlineLevel="0" collapsed="false">
      <c r="A164" s="89"/>
      <c r="B164" s="89"/>
      <c r="C164" s="89"/>
      <c r="D164" s="89"/>
      <c r="E164" s="89"/>
      <c r="F164" s="89"/>
      <c r="G164" s="89"/>
      <c r="H164" s="89"/>
      <c r="I164" s="89"/>
      <c r="J164" s="89"/>
      <c r="K164" s="89"/>
      <c r="L164" s="89"/>
      <c r="M164" s="89"/>
      <c r="N164" s="89"/>
      <c r="O164" s="89"/>
      <c r="P164" s="89"/>
      <c r="Q164" s="89"/>
      <c r="R164" s="89"/>
      <c r="S164" s="89"/>
      <c r="T164" s="89"/>
      <c r="U164" s="89"/>
      <c r="V164" s="89"/>
      <c r="W164" s="89"/>
      <c r="X164" s="89"/>
      <c r="Y164" s="89"/>
      <c r="Z164" s="89"/>
      <c r="AA164" s="89"/>
      <c r="AB164" s="89"/>
      <c r="AC164" s="89"/>
      <c r="AD164" s="89"/>
      <c r="AE164" s="89"/>
      <c r="AF164" s="89"/>
      <c r="AG164" s="89"/>
      <c r="AH164" s="89"/>
      <c r="AI164" s="89"/>
      <c r="AJ164" s="89"/>
      <c r="AK164" s="89"/>
      <c r="AL164" s="89"/>
      <c r="AM164" s="89"/>
      <c r="AN164" s="89"/>
      <c r="AO164" s="89"/>
      <c r="AP164" s="89"/>
      <c r="AQ164" s="89"/>
      <c r="AR164" s="89"/>
      <c r="AS164" s="89"/>
      <c r="AT164" s="89"/>
      <c r="AU164" s="89"/>
      <c r="AV164" s="89"/>
      <c r="AW164" s="89"/>
      <c r="AX164" s="89"/>
    </row>
    <row r="165" s="36" customFormat="true" ht="15.75" hidden="false" customHeight="false" outlineLevel="0" collapsed="false">
      <c r="A165" s="89"/>
      <c r="B165" s="89"/>
      <c r="C165" s="89"/>
      <c r="D165" s="89"/>
      <c r="E165" s="89"/>
      <c r="F165" s="89"/>
      <c r="G165" s="89"/>
      <c r="H165" s="89"/>
      <c r="I165" s="89"/>
      <c r="J165" s="89"/>
      <c r="K165" s="89"/>
      <c r="L165" s="89"/>
      <c r="M165" s="89"/>
      <c r="N165" s="89"/>
      <c r="O165" s="89"/>
      <c r="P165" s="89"/>
      <c r="Q165" s="89"/>
      <c r="R165" s="89"/>
      <c r="S165" s="89"/>
      <c r="T165" s="89"/>
      <c r="U165" s="89"/>
      <c r="V165" s="89"/>
      <c r="W165" s="89"/>
      <c r="X165" s="89"/>
      <c r="Y165" s="89"/>
      <c r="Z165" s="89"/>
      <c r="AA165" s="89"/>
      <c r="AB165" s="89"/>
      <c r="AC165" s="89"/>
      <c r="AD165" s="89"/>
      <c r="AE165" s="89"/>
      <c r="AF165" s="89"/>
      <c r="AG165" s="89"/>
      <c r="AH165" s="89"/>
      <c r="AI165" s="89"/>
      <c r="AJ165" s="89"/>
      <c r="AK165" s="89"/>
      <c r="AL165" s="89"/>
      <c r="AM165" s="89"/>
      <c r="AN165" s="89"/>
      <c r="AO165" s="89"/>
      <c r="AP165" s="89"/>
      <c r="AQ165" s="89"/>
      <c r="AR165" s="89"/>
      <c r="AS165" s="89"/>
      <c r="AT165" s="89"/>
      <c r="AU165" s="89"/>
      <c r="AV165" s="89"/>
      <c r="AW165" s="89"/>
      <c r="AX165" s="89"/>
    </row>
    <row r="166" s="36" customFormat="true" ht="15.75" hidden="false" customHeight="false" outlineLevel="0" collapsed="false">
      <c r="A166" s="89"/>
      <c r="B166" s="89"/>
      <c r="C166" s="89"/>
      <c r="D166" s="89"/>
      <c r="E166" s="89"/>
      <c r="F166" s="89"/>
      <c r="G166" s="89"/>
      <c r="H166" s="89"/>
      <c r="I166" s="89"/>
      <c r="J166" s="89"/>
      <c r="K166" s="89"/>
      <c r="L166" s="89"/>
      <c r="M166" s="89"/>
      <c r="N166" s="89"/>
      <c r="O166" s="89"/>
      <c r="P166" s="89"/>
      <c r="Q166" s="89"/>
      <c r="R166" s="89"/>
      <c r="S166" s="89"/>
      <c r="T166" s="89"/>
      <c r="U166" s="89"/>
      <c r="V166" s="89"/>
      <c r="W166" s="89"/>
      <c r="X166" s="89"/>
      <c r="Y166" s="89"/>
      <c r="Z166" s="89"/>
      <c r="AA166" s="89"/>
      <c r="AB166" s="89"/>
      <c r="AC166" s="89"/>
      <c r="AD166" s="89"/>
      <c r="AE166" s="89"/>
      <c r="AF166" s="89"/>
      <c r="AG166" s="89"/>
      <c r="AH166" s="89"/>
      <c r="AI166" s="89"/>
      <c r="AJ166" s="89"/>
      <c r="AK166" s="89"/>
      <c r="AL166" s="89"/>
      <c r="AM166" s="89"/>
      <c r="AN166" s="89"/>
      <c r="AO166" s="89"/>
      <c r="AP166" s="89"/>
      <c r="AQ166" s="89"/>
      <c r="AR166" s="89"/>
      <c r="AS166" s="89"/>
      <c r="AT166" s="89"/>
      <c r="AU166" s="89"/>
      <c r="AV166" s="89"/>
      <c r="AW166" s="89"/>
      <c r="AX166" s="89"/>
    </row>
    <row r="167" s="36" customFormat="true" ht="15.75" hidden="false" customHeight="false" outlineLevel="0" collapsed="false">
      <c r="A167" s="89"/>
      <c r="B167" s="89"/>
      <c r="C167" s="89"/>
      <c r="D167" s="89"/>
      <c r="E167" s="89"/>
      <c r="F167" s="89"/>
      <c r="G167" s="89"/>
      <c r="H167" s="89"/>
      <c r="I167" s="89"/>
      <c r="J167" s="89"/>
      <c r="K167" s="89"/>
      <c r="L167" s="89"/>
      <c r="M167" s="89"/>
      <c r="N167" s="89"/>
      <c r="O167" s="89"/>
      <c r="P167" s="89"/>
      <c r="Q167" s="89"/>
      <c r="R167" s="89"/>
      <c r="S167" s="89"/>
      <c r="T167" s="89"/>
      <c r="U167" s="89"/>
      <c r="V167" s="89"/>
      <c r="W167" s="89"/>
      <c r="X167" s="89"/>
      <c r="Y167" s="89"/>
      <c r="Z167" s="89"/>
      <c r="AA167" s="89"/>
      <c r="AB167" s="89"/>
      <c r="AC167" s="89"/>
      <c r="AD167" s="89"/>
      <c r="AE167" s="89"/>
      <c r="AF167" s="89"/>
      <c r="AG167" s="89"/>
      <c r="AH167" s="89"/>
      <c r="AI167" s="89"/>
      <c r="AJ167" s="89"/>
      <c r="AK167" s="89"/>
      <c r="AL167" s="89"/>
      <c r="AM167" s="89"/>
      <c r="AN167" s="89"/>
      <c r="AO167" s="89"/>
      <c r="AP167" s="89"/>
      <c r="AQ167" s="89"/>
      <c r="AR167" s="89"/>
      <c r="AS167" s="89"/>
      <c r="AT167" s="89"/>
      <c r="AU167" s="89"/>
      <c r="AV167" s="89"/>
      <c r="AW167" s="89"/>
      <c r="AX167" s="89"/>
    </row>
    <row r="168" s="36" customFormat="true" ht="15.75" hidden="false" customHeight="false" outlineLevel="0" collapsed="false">
      <c r="A168" s="89"/>
      <c r="B168" s="89"/>
      <c r="C168" s="89"/>
      <c r="D168" s="89"/>
      <c r="E168" s="89"/>
      <c r="F168" s="89"/>
      <c r="G168" s="89"/>
      <c r="H168" s="89"/>
      <c r="I168" s="89"/>
      <c r="J168" s="89"/>
      <c r="K168" s="89"/>
      <c r="L168" s="89"/>
      <c r="M168" s="89"/>
      <c r="N168" s="89"/>
      <c r="O168" s="89"/>
      <c r="P168" s="89"/>
      <c r="Q168" s="89"/>
      <c r="R168" s="89"/>
      <c r="S168" s="89"/>
      <c r="T168" s="89"/>
      <c r="U168" s="89"/>
      <c r="V168" s="89"/>
      <c r="W168" s="89"/>
      <c r="X168" s="89"/>
      <c r="Y168" s="89"/>
      <c r="Z168" s="89"/>
      <c r="AA168" s="89"/>
      <c r="AB168" s="89"/>
      <c r="AC168" s="89"/>
      <c r="AD168" s="89"/>
      <c r="AE168" s="89"/>
      <c r="AF168" s="89"/>
      <c r="AG168" s="89"/>
      <c r="AH168" s="89"/>
      <c r="AI168" s="89"/>
      <c r="AJ168" s="89"/>
      <c r="AK168" s="89"/>
      <c r="AL168" s="89"/>
      <c r="AM168" s="89"/>
      <c r="AN168" s="89"/>
      <c r="AO168" s="89"/>
      <c r="AP168" s="89"/>
      <c r="AQ168" s="89"/>
      <c r="AR168" s="89"/>
      <c r="AS168" s="89"/>
      <c r="AT168" s="89"/>
      <c r="AU168" s="89"/>
      <c r="AV168" s="89"/>
      <c r="AW168" s="89"/>
      <c r="AX168" s="89"/>
    </row>
    <row r="169" s="36" customFormat="true" ht="15.75" hidden="false" customHeight="false" outlineLevel="0" collapsed="false">
      <c r="A169" s="89"/>
      <c r="B169" s="89"/>
      <c r="C169" s="89"/>
      <c r="D169" s="89"/>
      <c r="E169" s="89"/>
      <c r="F169" s="89"/>
      <c r="G169" s="89"/>
      <c r="H169" s="89"/>
      <c r="I169" s="89"/>
      <c r="J169" s="89"/>
      <c r="K169" s="89"/>
      <c r="L169" s="89"/>
      <c r="M169" s="89"/>
      <c r="N169" s="89"/>
      <c r="O169" s="89"/>
      <c r="P169" s="89"/>
      <c r="Q169" s="89"/>
      <c r="R169" s="89"/>
      <c r="S169" s="89"/>
      <c r="T169" s="89"/>
      <c r="U169" s="89"/>
      <c r="V169" s="89"/>
      <c r="W169" s="89"/>
      <c r="X169" s="89"/>
      <c r="Y169" s="89"/>
      <c r="Z169" s="89"/>
      <c r="AA169" s="89"/>
      <c r="AB169" s="89"/>
      <c r="AC169" s="89"/>
      <c r="AD169" s="89"/>
      <c r="AE169" s="89"/>
      <c r="AF169" s="89"/>
      <c r="AG169" s="89"/>
      <c r="AH169" s="89"/>
      <c r="AI169" s="89"/>
      <c r="AJ169" s="89"/>
      <c r="AK169" s="89"/>
      <c r="AL169" s="89"/>
      <c r="AM169" s="89"/>
      <c r="AN169" s="89"/>
      <c r="AO169" s="89"/>
      <c r="AP169" s="89"/>
      <c r="AQ169" s="89"/>
      <c r="AR169" s="89"/>
      <c r="AS169" s="89"/>
      <c r="AT169" s="89"/>
      <c r="AU169" s="89"/>
      <c r="AV169" s="89"/>
      <c r="AW169" s="89"/>
      <c r="AX169" s="89"/>
    </row>
    <row r="170" s="36" customFormat="true" ht="15.75" hidden="false" customHeight="false" outlineLevel="0" collapsed="false">
      <c r="A170" s="89"/>
      <c r="B170" s="89"/>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c r="AA170" s="89"/>
      <c r="AB170" s="89"/>
      <c r="AC170" s="89"/>
      <c r="AD170" s="89"/>
      <c r="AE170" s="89"/>
      <c r="AF170" s="89"/>
      <c r="AG170" s="89"/>
      <c r="AH170" s="89"/>
      <c r="AI170" s="89"/>
      <c r="AJ170" s="89"/>
      <c r="AK170" s="89"/>
      <c r="AL170" s="89"/>
      <c r="AM170" s="89"/>
      <c r="AN170" s="89"/>
      <c r="AO170" s="89"/>
      <c r="AP170" s="89"/>
      <c r="AQ170" s="89"/>
      <c r="AR170" s="89"/>
      <c r="AS170" s="89"/>
      <c r="AT170" s="89"/>
      <c r="AU170" s="89"/>
      <c r="AV170" s="89"/>
      <c r="AW170" s="89"/>
      <c r="AX170" s="89"/>
    </row>
    <row r="171" s="36" customFormat="true" ht="15.75" hidden="false" customHeight="false" outlineLevel="0" collapsed="false">
      <c r="A171" s="89"/>
      <c r="B171" s="89"/>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c r="AA171" s="89"/>
      <c r="AB171" s="89"/>
      <c r="AC171" s="89"/>
      <c r="AD171" s="89"/>
      <c r="AE171" s="89"/>
      <c r="AF171" s="89"/>
      <c r="AG171" s="89"/>
      <c r="AH171" s="89"/>
      <c r="AI171" s="89"/>
      <c r="AJ171" s="89"/>
      <c r="AK171" s="89"/>
      <c r="AL171" s="89"/>
      <c r="AM171" s="89"/>
      <c r="AN171" s="89"/>
      <c r="AO171" s="89"/>
      <c r="AP171" s="89"/>
      <c r="AQ171" s="89"/>
      <c r="AR171" s="89"/>
      <c r="AS171" s="89"/>
      <c r="AT171" s="89"/>
      <c r="AU171" s="89"/>
      <c r="AV171" s="89"/>
      <c r="AW171" s="89"/>
      <c r="AX171" s="89"/>
    </row>
    <row r="172" s="36" customFormat="true" ht="15.75" hidden="false" customHeight="false" outlineLevel="0" collapsed="false">
      <c r="A172" s="89"/>
      <c r="B172" s="89"/>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c r="AA172" s="89"/>
      <c r="AB172" s="89"/>
      <c r="AC172" s="89"/>
      <c r="AD172" s="89"/>
      <c r="AE172" s="89"/>
      <c r="AF172" s="89"/>
      <c r="AG172" s="89"/>
      <c r="AH172" s="89"/>
      <c r="AI172" s="89"/>
      <c r="AJ172" s="89"/>
      <c r="AK172" s="89"/>
      <c r="AL172" s="89"/>
      <c r="AM172" s="89"/>
      <c r="AN172" s="89"/>
      <c r="AO172" s="89"/>
      <c r="AP172" s="89"/>
      <c r="AQ172" s="89"/>
      <c r="AR172" s="89"/>
      <c r="AS172" s="89"/>
      <c r="AT172" s="89"/>
      <c r="AU172" s="89"/>
      <c r="AV172" s="89"/>
      <c r="AW172" s="89"/>
      <c r="AX172" s="89"/>
    </row>
    <row r="173" s="36" customFormat="true" ht="15.75" hidden="false" customHeight="false" outlineLevel="0" collapsed="false">
      <c r="A173" s="89"/>
      <c r="B173" s="89"/>
      <c r="C173" s="89"/>
      <c r="D173" s="89"/>
      <c r="E173" s="89"/>
      <c r="F173" s="89"/>
      <c r="G173" s="89"/>
      <c r="H173" s="89"/>
      <c r="I173" s="89"/>
      <c r="J173" s="89"/>
      <c r="K173" s="89"/>
      <c r="L173" s="89"/>
      <c r="M173" s="89"/>
      <c r="N173" s="89"/>
      <c r="O173" s="89"/>
      <c r="P173" s="89"/>
      <c r="Q173" s="89"/>
      <c r="R173" s="89"/>
      <c r="S173" s="89"/>
      <c r="T173" s="89"/>
      <c r="U173" s="89"/>
      <c r="V173" s="89"/>
      <c r="W173" s="89"/>
      <c r="X173" s="89"/>
      <c r="Y173" s="89"/>
      <c r="Z173" s="89"/>
      <c r="AA173" s="89"/>
      <c r="AB173" s="89"/>
      <c r="AC173" s="89"/>
      <c r="AD173" s="89"/>
      <c r="AE173" s="89"/>
      <c r="AF173" s="89"/>
      <c r="AG173" s="89"/>
      <c r="AH173" s="89"/>
      <c r="AI173" s="89"/>
      <c r="AJ173" s="89"/>
      <c r="AK173" s="89"/>
      <c r="AL173" s="89"/>
      <c r="AM173" s="89"/>
      <c r="AN173" s="89"/>
      <c r="AO173" s="89"/>
      <c r="AP173" s="89"/>
      <c r="AQ173" s="89"/>
      <c r="AR173" s="89"/>
      <c r="AS173" s="89"/>
      <c r="AT173" s="89"/>
      <c r="AU173" s="89"/>
      <c r="AV173" s="89"/>
      <c r="AW173" s="89"/>
      <c r="AX173" s="89"/>
    </row>
    <row r="174" s="36" customFormat="true" ht="15.75" hidden="false" customHeight="false" outlineLevel="0" collapsed="false">
      <c r="A174" s="89"/>
      <c r="B174" s="89"/>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c r="AA174" s="89"/>
      <c r="AB174" s="89"/>
      <c r="AC174" s="89"/>
      <c r="AD174" s="89"/>
      <c r="AE174" s="89"/>
      <c r="AF174" s="89"/>
      <c r="AG174" s="89"/>
      <c r="AH174" s="89"/>
      <c r="AI174" s="89"/>
      <c r="AJ174" s="89"/>
      <c r="AK174" s="89"/>
      <c r="AL174" s="89"/>
      <c r="AM174" s="89"/>
      <c r="AN174" s="89"/>
      <c r="AO174" s="89"/>
      <c r="AP174" s="89"/>
      <c r="AQ174" s="89"/>
      <c r="AR174" s="89"/>
      <c r="AS174" s="89"/>
      <c r="AT174" s="89"/>
      <c r="AU174" s="89"/>
      <c r="AV174" s="89"/>
      <c r="AW174" s="89"/>
      <c r="AX174" s="89"/>
    </row>
    <row r="175" s="36" customFormat="true" ht="15.75" hidden="false" customHeight="false" outlineLevel="0" collapsed="false">
      <c r="A175" s="89"/>
      <c r="B175" s="89"/>
      <c r="C175" s="89"/>
      <c r="D175" s="89"/>
      <c r="E175" s="89"/>
      <c r="F175" s="89"/>
      <c r="G175" s="89"/>
      <c r="H175" s="89"/>
      <c r="I175" s="89"/>
      <c r="J175" s="89"/>
      <c r="K175" s="89"/>
      <c r="L175" s="89"/>
      <c r="M175" s="89"/>
      <c r="N175" s="89"/>
      <c r="O175" s="89"/>
      <c r="P175" s="89"/>
      <c r="Q175" s="89"/>
      <c r="R175" s="89"/>
      <c r="S175" s="89"/>
      <c r="T175" s="89"/>
      <c r="U175" s="89"/>
      <c r="V175" s="89"/>
      <c r="W175" s="89"/>
      <c r="X175" s="89"/>
      <c r="Y175" s="89"/>
      <c r="Z175" s="89"/>
      <c r="AA175" s="89"/>
      <c r="AB175" s="89"/>
      <c r="AC175" s="89"/>
      <c r="AD175" s="89"/>
      <c r="AE175" s="89"/>
      <c r="AF175" s="89"/>
      <c r="AG175" s="89"/>
      <c r="AH175" s="89"/>
      <c r="AI175" s="89"/>
      <c r="AJ175" s="89"/>
      <c r="AK175" s="89"/>
      <c r="AL175" s="89"/>
      <c r="AM175" s="89"/>
      <c r="AN175" s="89"/>
      <c r="AO175" s="89"/>
      <c r="AP175" s="89"/>
      <c r="AQ175" s="89"/>
      <c r="AR175" s="89"/>
      <c r="AS175" s="89"/>
      <c r="AT175" s="89"/>
      <c r="AU175" s="89"/>
      <c r="AV175" s="89"/>
      <c r="AW175" s="89"/>
      <c r="AX175" s="89"/>
    </row>
    <row r="176" s="36" customFormat="true" ht="15.75" hidden="false" customHeight="false" outlineLevel="0" collapsed="false">
      <c r="A176" s="89"/>
      <c r="B176" s="89"/>
      <c r="C176" s="89"/>
      <c r="D176" s="89"/>
      <c r="E176" s="89"/>
      <c r="F176" s="89"/>
      <c r="G176" s="89"/>
      <c r="H176" s="89"/>
      <c r="I176" s="89"/>
      <c r="J176" s="89"/>
      <c r="K176" s="89"/>
      <c r="L176" s="89"/>
      <c r="M176" s="89"/>
      <c r="N176" s="89"/>
      <c r="O176" s="89"/>
      <c r="P176" s="89"/>
      <c r="Q176" s="89"/>
      <c r="R176" s="89"/>
      <c r="S176" s="89"/>
      <c r="T176" s="89"/>
      <c r="U176" s="89"/>
      <c r="V176" s="89"/>
      <c r="W176" s="89"/>
      <c r="X176" s="89"/>
      <c r="Y176" s="89"/>
      <c r="Z176" s="89"/>
      <c r="AA176" s="89"/>
      <c r="AB176" s="89"/>
      <c r="AC176" s="89"/>
      <c r="AD176" s="89"/>
      <c r="AE176" s="89"/>
      <c r="AF176" s="89"/>
      <c r="AG176" s="89"/>
      <c r="AH176" s="89"/>
      <c r="AI176" s="89"/>
      <c r="AJ176" s="89"/>
      <c r="AK176" s="89"/>
      <c r="AL176" s="89"/>
      <c r="AM176" s="89"/>
      <c r="AN176" s="89"/>
      <c r="AO176" s="89"/>
      <c r="AP176" s="89"/>
      <c r="AQ176" s="89"/>
      <c r="AR176" s="89"/>
      <c r="AS176" s="89"/>
      <c r="AT176" s="89"/>
      <c r="AU176" s="89"/>
      <c r="AV176" s="89"/>
      <c r="AW176" s="89"/>
      <c r="AX176" s="89"/>
    </row>
    <row r="177" s="36" customFormat="true" ht="15.75" hidden="false" customHeight="false" outlineLevel="0" collapsed="false">
      <c r="A177" s="89"/>
      <c r="B177" s="89"/>
      <c r="C177" s="89"/>
      <c r="D177" s="89"/>
      <c r="E177" s="89"/>
      <c r="F177" s="89"/>
      <c r="G177" s="89"/>
      <c r="H177" s="89"/>
      <c r="I177" s="89"/>
      <c r="J177" s="89"/>
      <c r="K177" s="89"/>
      <c r="L177" s="89"/>
      <c r="M177" s="89"/>
      <c r="N177" s="89"/>
      <c r="O177" s="89"/>
      <c r="P177" s="89"/>
      <c r="Q177" s="89"/>
      <c r="R177" s="89"/>
      <c r="S177" s="89"/>
      <c r="T177" s="89"/>
      <c r="U177" s="89"/>
      <c r="V177" s="89"/>
      <c r="W177" s="89"/>
      <c r="X177" s="89"/>
      <c r="Y177" s="89"/>
      <c r="Z177" s="89"/>
      <c r="AA177" s="89"/>
      <c r="AB177" s="89"/>
      <c r="AC177" s="89"/>
      <c r="AD177" s="89"/>
      <c r="AE177" s="89"/>
      <c r="AF177" s="89"/>
      <c r="AG177" s="89"/>
      <c r="AH177" s="89"/>
      <c r="AI177" s="89"/>
      <c r="AJ177" s="89"/>
      <c r="AK177" s="89"/>
      <c r="AL177" s="89"/>
      <c r="AM177" s="89"/>
      <c r="AN177" s="89"/>
      <c r="AO177" s="89"/>
      <c r="AP177" s="89"/>
      <c r="AQ177" s="89"/>
      <c r="AR177" s="89"/>
      <c r="AS177" s="89"/>
      <c r="AT177" s="89"/>
      <c r="AU177" s="89"/>
      <c r="AV177" s="89"/>
      <c r="AW177" s="89"/>
      <c r="AX177" s="89"/>
    </row>
    <row r="178" s="36" customFormat="true" ht="15.75" hidden="false" customHeight="false" outlineLevel="0" collapsed="false">
      <c r="A178" s="89"/>
      <c r="B178" s="89"/>
      <c r="C178" s="89"/>
      <c r="D178" s="89"/>
      <c r="E178" s="89"/>
      <c r="F178" s="89"/>
      <c r="G178" s="89"/>
      <c r="H178" s="89"/>
      <c r="I178" s="89"/>
      <c r="J178" s="89"/>
      <c r="K178" s="89"/>
      <c r="L178" s="89"/>
      <c r="M178" s="89"/>
      <c r="N178" s="89"/>
      <c r="O178" s="89"/>
      <c r="P178" s="89"/>
      <c r="Q178" s="89"/>
      <c r="R178" s="89"/>
      <c r="S178" s="89"/>
      <c r="T178" s="89"/>
      <c r="U178" s="89"/>
      <c r="V178" s="89"/>
      <c r="W178" s="89"/>
      <c r="X178" s="89"/>
      <c r="Y178" s="89"/>
      <c r="Z178" s="89"/>
      <c r="AA178" s="89"/>
      <c r="AB178" s="89"/>
      <c r="AC178" s="89"/>
      <c r="AD178" s="89"/>
      <c r="AE178" s="89"/>
      <c r="AF178" s="89"/>
      <c r="AG178" s="89"/>
      <c r="AH178" s="89"/>
      <c r="AI178" s="89"/>
      <c r="AJ178" s="89"/>
      <c r="AK178" s="89"/>
      <c r="AL178" s="89"/>
      <c r="AM178" s="89"/>
      <c r="AN178" s="89"/>
      <c r="AO178" s="89"/>
      <c r="AP178" s="89"/>
      <c r="AQ178" s="89"/>
      <c r="AR178" s="89"/>
      <c r="AS178" s="89"/>
      <c r="AT178" s="89"/>
      <c r="AU178" s="89"/>
      <c r="AV178" s="89"/>
      <c r="AW178" s="89"/>
      <c r="AX178" s="89"/>
    </row>
    <row r="179" s="36" customFormat="true" ht="15.75" hidden="false" customHeight="false" outlineLevel="0" collapsed="false">
      <c r="A179" s="89"/>
      <c r="B179" s="89"/>
      <c r="C179" s="89"/>
      <c r="D179" s="89"/>
      <c r="E179" s="89"/>
      <c r="F179" s="89"/>
      <c r="G179" s="89"/>
      <c r="H179" s="89"/>
      <c r="I179" s="89"/>
      <c r="J179" s="89"/>
      <c r="K179" s="89"/>
      <c r="L179" s="89"/>
      <c r="M179" s="89"/>
      <c r="N179" s="89"/>
      <c r="O179" s="89"/>
      <c r="P179" s="89"/>
      <c r="Q179" s="89"/>
      <c r="R179" s="89"/>
      <c r="S179" s="89"/>
      <c r="T179" s="89"/>
      <c r="U179" s="89"/>
      <c r="V179" s="89"/>
      <c r="W179" s="89"/>
      <c r="X179" s="89"/>
      <c r="Y179" s="89"/>
      <c r="Z179" s="89"/>
      <c r="AA179" s="89"/>
      <c r="AB179" s="89"/>
      <c r="AC179" s="89"/>
      <c r="AD179" s="89"/>
      <c r="AE179" s="89"/>
      <c r="AF179" s="89"/>
      <c r="AG179" s="89"/>
      <c r="AH179" s="89"/>
      <c r="AI179" s="89"/>
      <c r="AJ179" s="89"/>
      <c r="AK179" s="89"/>
      <c r="AL179" s="89"/>
      <c r="AM179" s="89"/>
      <c r="AN179" s="89"/>
      <c r="AO179" s="89"/>
      <c r="AP179" s="89"/>
      <c r="AQ179" s="89"/>
      <c r="AR179" s="89"/>
      <c r="AS179" s="89"/>
      <c r="AT179" s="89"/>
      <c r="AU179" s="89"/>
      <c r="AV179" s="89"/>
      <c r="AW179" s="89"/>
      <c r="AX179" s="89"/>
    </row>
    <row r="180" s="36" customFormat="true" ht="15.75" hidden="false" customHeight="false" outlineLevel="0" collapsed="false">
      <c r="A180" s="89"/>
      <c r="B180" s="89"/>
      <c r="C180" s="89"/>
      <c r="D180" s="89"/>
      <c r="E180" s="89"/>
      <c r="F180" s="89"/>
      <c r="G180" s="89"/>
      <c r="H180" s="89"/>
      <c r="I180" s="89"/>
      <c r="J180" s="89"/>
      <c r="K180" s="89"/>
      <c r="L180" s="89"/>
      <c r="M180" s="89"/>
      <c r="N180" s="89"/>
      <c r="O180" s="89"/>
      <c r="P180" s="89"/>
      <c r="Q180" s="89"/>
      <c r="R180" s="89"/>
      <c r="S180" s="89"/>
      <c r="T180" s="89"/>
      <c r="U180" s="89"/>
      <c r="V180" s="89"/>
      <c r="W180" s="89"/>
      <c r="X180" s="89"/>
      <c r="Y180" s="89"/>
      <c r="Z180" s="89"/>
      <c r="AA180" s="89"/>
      <c r="AB180" s="89"/>
      <c r="AC180" s="89"/>
      <c r="AD180" s="89"/>
      <c r="AE180" s="89"/>
      <c r="AF180" s="89"/>
      <c r="AG180" s="89"/>
      <c r="AH180" s="89"/>
      <c r="AI180" s="89"/>
      <c r="AJ180" s="89"/>
      <c r="AK180" s="89"/>
      <c r="AL180" s="89"/>
      <c r="AM180" s="89"/>
      <c r="AN180" s="89"/>
      <c r="AO180" s="89"/>
      <c r="AP180" s="89"/>
      <c r="AQ180" s="89"/>
      <c r="AR180" s="89"/>
      <c r="AS180" s="89"/>
      <c r="AT180" s="89"/>
      <c r="AU180" s="89"/>
      <c r="AV180" s="89"/>
      <c r="AW180" s="89"/>
      <c r="AX180" s="89"/>
    </row>
    <row r="181" s="36" customFormat="true" ht="15.75" hidden="false" customHeight="false" outlineLevel="0" collapsed="false">
      <c r="A181" s="89"/>
      <c r="B181" s="89"/>
      <c r="C181" s="89"/>
      <c r="D181" s="89"/>
      <c r="E181" s="89"/>
      <c r="F181" s="89"/>
      <c r="G181" s="89"/>
      <c r="H181" s="89"/>
      <c r="I181" s="89"/>
      <c r="J181" s="89"/>
      <c r="K181" s="89"/>
      <c r="L181" s="89"/>
      <c r="M181" s="89"/>
      <c r="N181" s="89"/>
      <c r="O181" s="89"/>
      <c r="P181" s="89"/>
      <c r="Q181" s="89"/>
      <c r="R181" s="89"/>
      <c r="S181" s="89"/>
      <c r="T181" s="89"/>
      <c r="U181" s="89"/>
      <c r="V181" s="89"/>
      <c r="W181" s="89"/>
      <c r="X181" s="89"/>
      <c r="Y181" s="89"/>
      <c r="Z181" s="89"/>
      <c r="AA181" s="89"/>
      <c r="AB181" s="89"/>
      <c r="AC181" s="89"/>
      <c r="AD181" s="89"/>
      <c r="AE181" s="89"/>
      <c r="AF181" s="89"/>
      <c r="AG181" s="89"/>
      <c r="AH181" s="89"/>
      <c r="AI181" s="89"/>
      <c r="AJ181" s="89"/>
      <c r="AK181" s="89"/>
      <c r="AL181" s="89"/>
      <c r="AM181" s="89"/>
      <c r="AN181" s="89"/>
      <c r="AO181" s="89"/>
      <c r="AP181" s="89"/>
      <c r="AQ181" s="89"/>
      <c r="AR181" s="89"/>
      <c r="AS181" s="89"/>
      <c r="AT181" s="89"/>
      <c r="AU181" s="89"/>
      <c r="AV181" s="89"/>
      <c r="AW181" s="89"/>
      <c r="AX181" s="89"/>
    </row>
    <row r="182" s="36" customFormat="true" ht="15.75" hidden="false" customHeight="false" outlineLevel="0" collapsed="false">
      <c r="A182" s="89"/>
      <c r="B182" s="89"/>
      <c r="C182" s="89"/>
      <c r="D182" s="89"/>
      <c r="E182" s="89"/>
      <c r="F182" s="89"/>
      <c r="G182" s="89"/>
      <c r="H182" s="89"/>
      <c r="I182" s="89"/>
      <c r="J182" s="89"/>
      <c r="K182" s="89"/>
      <c r="L182" s="89"/>
      <c r="M182" s="89"/>
      <c r="N182" s="89"/>
      <c r="O182" s="89"/>
      <c r="P182" s="89"/>
      <c r="Q182" s="89"/>
      <c r="R182" s="89"/>
      <c r="S182" s="89"/>
      <c r="T182" s="89"/>
      <c r="U182" s="89"/>
      <c r="V182" s="89"/>
      <c r="W182" s="89"/>
      <c r="X182" s="89"/>
      <c r="Y182" s="89"/>
      <c r="Z182" s="89"/>
      <c r="AA182" s="89"/>
      <c r="AB182" s="89"/>
      <c r="AC182" s="89"/>
      <c r="AD182" s="89"/>
      <c r="AE182" s="89"/>
      <c r="AF182" s="89"/>
      <c r="AG182" s="89"/>
      <c r="AH182" s="89"/>
      <c r="AI182" s="89"/>
      <c r="AJ182" s="89"/>
      <c r="AK182" s="89"/>
      <c r="AL182" s="89"/>
      <c r="AM182" s="89"/>
      <c r="AN182" s="89"/>
      <c r="AO182" s="89"/>
      <c r="AP182" s="89"/>
      <c r="AQ182" s="89"/>
      <c r="AR182" s="89"/>
      <c r="AS182" s="89"/>
      <c r="AT182" s="89"/>
      <c r="AU182" s="89"/>
      <c r="AV182" s="89"/>
      <c r="AW182" s="89"/>
      <c r="AX182" s="89"/>
    </row>
    <row r="183" s="36" customFormat="true" ht="15.75" hidden="false" customHeight="false" outlineLevel="0" collapsed="false">
      <c r="A183" s="89"/>
      <c r="B183" s="89"/>
      <c r="C183" s="89"/>
      <c r="D183" s="89"/>
      <c r="E183" s="89"/>
      <c r="F183" s="89"/>
      <c r="G183" s="89"/>
      <c r="H183" s="89"/>
      <c r="I183" s="89"/>
      <c r="J183" s="89"/>
      <c r="K183" s="89"/>
      <c r="L183" s="89"/>
      <c r="M183" s="89"/>
      <c r="N183" s="89"/>
      <c r="O183" s="89"/>
      <c r="P183" s="89"/>
      <c r="Q183" s="89"/>
      <c r="R183" s="89"/>
      <c r="S183" s="89"/>
      <c r="T183" s="89"/>
      <c r="U183" s="89"/>
      <c r="V183" s="89"/>
      <c r="W183" s="89"/>
      <c r="X183" s="89"/>
      <c r="Y183" s="89"/>
      <c r="Z183" s="89"/>
      <c r="AA183" s="89"/>
      <c r="AB183" s="89"/>
      <c r="AC183" s="89"/>
      <c r="AD183" s="89"/>
      <c r="AE183" s="89"/>
      <c r="AF183" s="89"/>
      <c r="AG183" s="89"/>
      <c r="AH183" s="89"/>
      <c r="AI183" s="89"/>
      <c r="AJ183" s="89"/>
      <c r="AK183" s="89"/>
      <c r="AL183" s="89"/>
      <c r="AM183" s="89"/>
      <c r="AN183" s="89"/>
      <c r="AO183" s="89"/>
      <c r="AP183" s="89"/>
      <c r="AQ183" s="89"/>
      <c r="AR183" s="89"/>
      <c r="AS183" s="89"/>
      <c r="AT183" s="89"/>
      <c r="AU183" s="89"/>
      <c r="AV183" s="89"/>
      <c r="AW183" s="89"/>
      <c r="AX183" s="89"/>
    </row>
    <row r="184" s="36" customFormat="true" ht="15.75" hidden="false" customHeight="false" outlineLevel="0" collapsed="false">
      <c r="A184" s="89"/>
      <c r="B184" s="89"/>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c r="AA184" s="89"/>
      <c r="AB184" s="89"/>
      <c r="AC184" s="89"/>
      <c r="AD184" s="89"/>
      <c r="AE184" s="89"/>
      <c r="AF184" s="89"/>
      <c r="AG184" s="89"/>
      <c r="AH184" s="89"/>
      <c r="AI184" s="89"/>
      <c r="AJ184" s="89"/>
      <c r="AK184" s="89"/>
      <c r="AL184" s="89"/>
      <c r="AM184" s="89"/>
      <c r="AN184" s="89"/>
      <c r="AO184" s="89"/>
      <c r="AP184" s="89"/>
      <c r="AQ184" s="89"/>
      <c r="AR184" s="89"/>
      <c r="AS184" s="89"/>
      <c r="AT184" s="89"/>
      <c r="AU184" s="89"/>
      <c r="AV184" s="89"/>
      <c r="AW184" s="89"/>
      <c r="AX184" s="89"/>
    </row>
    <row r="185" s="36" customFormat="true" ht="15.75" hidden="false" customHeight="false" outlineLevel="0" collapsed="false">
      <c r="A185" s="89"/>
      <c r="B185" s="89"/>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c r="AA185" s="89"/>
      <c r="AB185" s="89"/>
      <c r="AC185" s="89"/>
      <c r="AD185" s="89"/>
      <c r="AE185" s="89"/>
      <c r="AF185" s="89"/>
      <c r="AG185" s="89"/>
      <c r="AH185" s="89"/>
      <c r="AI185" s="89"/>
      <c r="AJ185" s="89"/>
      <c r="AK185" s="89"/>
      <c r="AL185" s="89"/>
      <c r="AM185" s="89"/>
      <c r="AN185" s="89"/>
      <c r="AO185" s="89"/>
      <c r="AP185" s="89"/>
      <c r="AQ185" s="89"/>
      <c r="AR185" s="89"/>
      <c r="AS185" s="89"/>
      <c r="AT185" s="89"/>
      <c r="AU185" s="89"/>
      <c r="AV185" s="89"/>
      <c r="AW185" s="89"/>
      <c r="AX185" s="89"/>
    </row>
    <row r="186" s="36" customFormat="true" ht="15.75" hidden="false" customHeight="false" outlineLevel="0" collapsed="false">
      <c r="A186" s="89"/>
      <c r="B186" s="89"/>
      <c r="C186" s="89"/>
      <c r="D186" s="89"/>
      <c r="E186" s="89"/>
      <c r="F186" s="89"/>
      <c r="G186" s="89"/>
      <c r="H186" s="89"/>
      <c r="I186" s="89"/>
      <c r="J186" s="89"/>
      <c r="K186" s="89"/>
      <c r="L186" s="89"/>
      <c r="M186" s="89"/>
      <c r="N186" s="89"/>
      <c r="O186" s="89"/>
      <c r="P186" s="89"/>
      <c r="Q186" s="89"/>
      <c r="R186" s="89"/>
      <c r="S186" s="89"/>
      <c r="T186" s="89"/>
      <c r="U186" s="89"/>
      <c r="V186" s="89"/>
      <c r="W186" s="89"/>
      <c r="X186" s="89"/>
      <c r="Y186" s="89"/>
      <c r="Z186" s="89"/>
      <c r="AA186" s="89"/>
      <c r="AB186" s="89"/>
      <c r="AC186" s="89"/>
      <c r="AD186" s="89"/>
      <c r="AE186" s="89"/>
      <c r="AF186" s="89"/>
      <c r="AG186" s="89"/>
      <c r="AH186" s="89"/>
      <c r="AI186" s="89"/>
      <c r="AJ186" s="89"/>
      <c r="AK186" s="89"/>
      <c r="AL186" s="89"/>
      <c r="AM186" s="89"/>
      <c r="AN186" s="89"/>
      <c r="AO186" s="89"/>
      <c r="AP186" s="89"/>
      <c r="AQ186" s="89"/>
      <c r="AR186" s="89"/>
      <c r="AS186" s="89"/>
      <c r="AT186" s="89"/>
      <c r="AU186" s="89"/>
      <c r="AV186" s="89"/>
      <c r="AW186" s="89"/>
      <c r="AX186" s="89"/>
    </row>
    <row r="187" s="36" customFormat="true" ht="15.75" hidden="false" customHeight="false" outlineLevel="0" collapsed="false">
      <c r="A187" s="89"/>
      <c r="B187" s="89"/>
      <c r="C187" s="89"/>
      <c r="D187" s="89"/>
      <c r="E187" s="89"/>
      <c r="F187" s="89"/>
      <c r="G187" s="89"/>
      <c r="H187" s="89"/>
      <c r="I187" s="89"/>
      <c r="J187" s="89"/>
      <c r="K187" s="89"/>
      <c r="L187" s="89"/>
      <c r="M187" s="89"/>
      <c r="N187" s="89"/>
      <c r="O187" s="89"/>
      <c r="P187" s="89"/>
      <c r="Q187" s="89"/>
      <c r="R187" s="89"/>
      <c r="S187" s="89"/>
      <c r="T187" s="89"/>
      <c r="U187" s="89"/>
      <c r="V187" s="89"/>
      <c r="W187" s="89"/>
      <c r="X187" s="89"/>
      <c r="Y187" s="89"/>
      <c r="Z187" s="89"/>
      <c r="AA187" s="89"/>
      <c r="AB187" s="89"/>
      <c r="AC187" s="89"/>
      <c r="AD187" s="89"/>
      <c r="AE187" s="89"/>
      <c r="AF187" s="89"/>
      <c r="AG187" s="89"/>
      <c r="AH187" s="89"/>
      <c r="AI187" s="89"/>
      <c r="AJ187" s="89"/>
      <c r="AK187" s="89"/>
      <c r="AL187" s="89"/>
      <c r="AM187" s="89"/>
      <c r="AN187" s="89"/>
      <c r="AO187" s="89"/>
      <c r="AP187" s="89"/>
      <c r="AQ187" s="89"/>
      <c r="AR187" s="89"/>
      <c r="AS187" s="89"/>
      <c r="AT187" s="89"/>
      <c r="AU187" s="89"/>
      <c r="AV187" s="89"/>
      <c r="AW187" s="89"/>
      <c r="AX187" s="89"/>
    </row>
    <row r="188" s="36" customFormat="true" ht="15.75" hidden="false" customHeight="false" outlineLevel="0" collapsed="false">
      <c r="A188" s="89"/>
      <c r="B188" s="89"/>
      <c r="C188" s="89"/>
      <c r="D188" s="89"/>
      <c r="E188" s="89"/>
      <c r="F188" s="89"/>
      <c r="G188" s="89"/>
      <c r="H188" s="89"/>
      <c r="I188" s="89"/>
      <c r="J188" s="89"/>
      <c r="K188" s="89"/>
      <c r="L188" s="89"/>
      <c r="M188" s="89"/>
      <c r="N188" s="89"/>
      <c r="O188" s="89"/>
      <c r="P188" s="89"/>
      <c r="Q188" s="89"/>
      <c r="R188" s="89"/>
      <c r="S188" s="89"/>
      <c r="T188" s="89"/>
      <c r="U188" s="89"/>
      <c r="V188" s="89"/>
      <c r="W188" s="89"/>
      <c r="X188" s="89"/>
      <c r="Y188" s="89"/>
      <c r="Z188" s="89"/>
      <c r="AA188" s="89"/>
      <c r="AB188" s="89"/>
      <c r="AC188" s="89"/>
      <c r="AD188" s="89"/>
      <c r="AE188" s="89"/>
      <c r="AF188" s="89"/>
      <c r="AG188" s="89"/>
      <c r="AH188" s="89"/>
      <c r="AI188" s="89"/>
      <c r="AJ188" s="89"/>
      <c r="AK188" s="89"/>
      <c r="AL188" s="89"/>
      <c r="AM188" s="89"/>
      <c r="AN188" s="89"/>
      <c r="AO188" s="89"/>
      <c r="AP188" s="89"/>
      <c r="AQ188" s="89"/>
      <c r="AR188" s="89"/>
      <c r="AS188" s="89"/>
      <c r="AT188" s="89"/>
      <c r="AU188" s="89"/>
      <c r="AV188" s="89"/>
      <c r="AW188" s="89"/>
      <c r="AX188" s="89"/>
    </row>
    <row r="189" s="36" customFormat="true" ht="15.75" hidden="false" customHeight="false" outlineLevel="0" collapsed="false">
      <c r="A189" s="89"/>
      <c r="B189" s="89"/>
      <c r="C189" s="89"/>
      <c r="D189" s="89"/>
      <c r="E189" s="89"/>
      <c r="F189" s="89"/>
      <c r="G189" s="89"/>
      <c r="H189" s="89"/>
      <c r="I189" s="89"/>
      <c r="J189" s="89"/>
      <c r="K189" s="89"/>
      <c r="L189" s="89"/>
      <c r="M189" s="89"/>
      <c r="N189" s="89"/>
      <c r="O189" s="89"/>
      <c r="P189" s="89"/>
      <c r="Q189" s="89"/>
      <c r="R189" s="89"/>
      <c r="S189" s="89"/>
      <c r="T189" s="89"/>
      <c r="U189" s="89"/>
      <c r="V189" s="89"/>
      <c r="W189" s="89"/>
      <c r="X189" s="89"/>
      <c r="Y189" s="89"/>
      <c r="Z189" s="89"/>
      <c r="AA189" s="89"/>
      <c r="AB189" s="89"/>
      <c r="AC189" s="89"/>
      <c r="AD189" s="89"/>
      <c r="AE189" s="89"/>
      <c r="AF189" s="89"/>
      <c r="AG189" s="89"/>
      <c r="AH189" s="89"/>
      <c r="AI189" s="89"/>
      <c r="AJ189" s="89"/>
      <c r="AK189" s="89"/>
      <c r="AL189" s="89"/>
      <c r="AM189" s="89"/>
      <c r="AN189" s="89"/>
      <c r="AO189" s="89"/>
      <c r="AP189" s="89"/>
      <c r="AQ189" s="89"/>
      <c r="AR189" s="89"/>
      <c r="AS189" s="89"/>
      <c r="AT189" s="89"/>
      <c r="AU189" s="89"/>
      <c r="AV189" s="89"/>
      <c r="AW189" s="89"/>
      <c r="AX189" s="89"/>
    </row>
    <row r="190" s="36" customFormat="true" ht="15.75" hidden="false" customHeight="false" outlineLevel="0" collapsed="false">
      <c r="A190" s="89"/>
      <c r="B190" s="89"/>
      <c r="C190" s="89"/>
      <c r="D190" s="89"/>
      <c r="E190" s="89"/>
      <c r="F190" s="89"/>
      <c r="G190" s="89"/>
      <c r="H190" s="89"/>
      <c r="I190" s="89"/>
      <c r="J190" s="89"/>
      <c r="K190" s="89"/>
      <c r="L190" s="89"/>
      <c r="M190" s="89"/>
      <c r="N190" s="89"/>
      <c r="O190" s="89"/>
      <c r="P190" s="89"/>
      <c r="Q190" s="89"/>
      <c r="R190" s="89"/>
      <c r="S190" s="89"/>
      <c r="T190" s="89"/>
      <c r="U190" s="89"/>
      <c r="V190" s="89"/>
      <c r="W190" s="89"/>
      <c r="X190" s="89"/>
      <c r="Y190" s="89"/>
      <c r="Z190" s="89"/>
      <c r="AA190" s="89"/>
      <c r="AB190" s="89"/>
      <c r="AC190" s="89"/>
      <c r="AD190" s="89"/>
      <c r="AE190" s="89"/>
      <c r="AF190" s="89"/>
      <c r="AG190" s="89"/>
      <c r="AH190" s="89"/>
      <c r="AI190" s="89"/>
      <c r="AJ190" s="89"/>
      <c r="AK190" s="89"/>
      <c r="AL190" s="89"/>
      <c r="AM190" s="89"/>
      <c r="AN190" s="89"/>
      <c r="AO190" s="89"/>
      <c r="AP190" s="89"/>
      <c r="AQ190" s="89"/>
      <c r="AR190" s="89"/>
      <c r="AS190" s="89"/>
      <c r="AT190" s="89"/>
      <c r="AU190" s="89"/>
      <c r="AV190" s="89"/>
      <c r="AW190" s="89"/>
      <c r="AX190" s="89"/>
    </row>
    <row r="191" s="36" customFormat="true" ht="15.75" hidden="false" customHeight="false" outlineLevel="0" collapsed="false">
      <c r="A191" s="89"/>
      <c r="B191" s="89"/>
      <c r="C191" s="89"/>
      <c r="D191" s="89"/>
      <c r="E191" s="89"/>
      <c r="F191" s="89"/>
      <c r="G191" s="89"/>
      <c r="H191" s="89"/>
      <c r="I191" s="89"/>
      <c r="J191" s="89"/>
      <c r="K191" s="89"/>
      <c r="L191" s="89"/>
      <c r="M191" s="89"/>
      <c r="N191" s="89"/>
      <c r="O191" s="89"/>
      <c r="P191" s="89"/>
      <c r="Q191" s="89"/>
      <c r="R191" s="89"/>
      <c r="S191" s="89"/>
      <c r="T191" s="89"/>
      <c r="U191" s="89"/>
      <c r="V191" s="89"/>
      <c r="W191" s="89"/>
      <c r="X191" s="89"/>
      <c r="Y191" s="89"/>
      <c r="Z191" s="89"/>
      <c r="AA191" s="89"/>
      <c r="AB191" s="89"/>
      <c r="AC191" s="89"/>
      <c r="AD191" s="89"/>
      <c r="AE191" s="89"/>
      <c r="AF191" s="89"/>
      <c r="AG191" s="89"/>
      <c r="AH191" s="89"/>
      <c r="AI191" s="89"/>
      <c r="AJ191" s="89"/>
      <c r="AK191" s="89"/>
      <c r="AL191" s="89"/>
      <c r="AM191" s="89"/>
      <c r="AN191" s="89"/>
      <c r="AO191" s="89"/>
      <c r="AP191" s="89"/>
      <c r="AQ191" s="89"/>
      <c r="AR191" s="89"/>
      <c r="AS191" s="89"/>
      <c r="AT191" s="89"/>
      <c r="AU191" s="89"/>
      <c r="AV191" s="89"/>
      <c r="AW191" s="89"/>
      <c r="AX191" s="89"/>
    </row>
    <row r="192" s="36" customFormat="true" ht="15.75" hidden="false" customHeight="false" outlineLevel="0" collapsed="false">
      <c r="A192" s="89"/>
      <c r="B192" s="89"/>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c r="AA192" s="89"/>
      <c r="AB192" s="89"/>
      <c r="AC192" s="89"/>
      <c r="AD192" s="89"/>
      <c r="AE192" s="89"/>
      <c r="AF192" s="89"/>
      <c r="AG192" s="89"/>
      <c r="AH192" s="89"/>
      <c r="AI192" s="89"/>
      <c r="AJ192" s="89"/>
      <c r="AK192" s="89"/>
      <c r="AL192" s="89"/>
      <c r="AM192" s="89"/>
      <c r="AN192" s="89"/>
      <c r="AO192" s="89"/>
      <c r="AP192" s="89"/>
      <c r="AQ192" s="89"/>
      <c r="AR192" s="89"/>
      <c r="AS192" s="89"/>
      <c r="AT192" s="89"/>
      <c r="AU192" s="89"/>
      <c r="AV192" s="89"/>
      <c r="AW192" s="89"/>
      <c r="AX192" s="89"/>
    </row>
    <row r="193" s="36" customFormat="true" ht="15.75" hidden="false" customHeight="false" outlineLevel="0" collapsed="false">
      <c r="A193" s="89"/>
      <c r="B193" s="89"/>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c r="AA193" s="89"/>
      <c r="AB193" s="89"/>
      <c r="AC193" s="89"/>
      <c r="AD193" s="89"/>
      <c r="AE193" s="89"/>
      <c r="AF193" s="89"/>
      <c r="AG193" s="89"/>
      <c r="AH193" s="89"/>
      <c r="AI193" s="89"/>
      <c r="AJ193" s="89"/>
      <c r="AK193" s="89"/>
      <c r="AL193" s="89"/>
      <c r="AM193" s="89"/>
      <c r="AN193" s="89"/>
      <c r="AO193" s="89"/>
      <c r="AP193" s="89"/>
      <c r="AQ193" s="89"/>
      <c r="AR193" s="89"/>
      <c r="AS193" s="89"/>
      <c r="AT193" s="89"/>
      <c r="AU193" s="89"/>
      <c r="AV193" s="89"/>
      <c r="AW193" s="89"/>
      <c r="AX193" s="89"/>
    </row>
    <row r="194" s="36" customFormat="true" ht="15.75" hidden="false" customHeight="false" outlineLevel="0" collapsed="false">
      <c r="A194" s="89"/>
      <c r="B194" s="89"/>
      <c r="C194" s="89"/>
      <c r="D194" s="89"/>
      <c r="E194" s="89"/>
      <c r="F194" s="89"/>
      <c r="G194" s="89"/>
      <c r="H194" s="89"/>
      <c r="I194" s="89"/>
      <c r="J194" s="89"/>
      <c r="K194" s="89"/>
      <c r="L194" s="89"/>
      <c r="M194" s="89"/>
      <c r="N194" s="89"/>
      <c r="O194" s="89"/>
      <c r="P194" s="89"/>
      <c r="Q194" s="89"/>
      <c r="R194" s="89"/>
      <c r="S194" s="89"/>
      <c r="T194" s="89"/>
      <c r="U194" s="89"/>
      <c r="V194" s="89"/>
      <c r="W194" s="89"/>
      <c r="X194" s="89"/>
      <c r="Y194" s="89"/>
      <c r="Z194" s="89"/>
      <c r="AA194" s="89"/>
      <c r="AB194" s="89"/>
      <c r="AC194" s="89"/>
      <c r="AD194" s="89"/>
      <c r="AE194" s="89"/>
      <c r="AF194" s="89"/>
      <c r="AG194" s="89"/>
      <c r="AH194" s="89"/>
      <c r="AI194" s="89"/>
      <c r="AJ194" s="89"/>
      <c r="AK194" s="89"/>
      <c r="AL194" s="89"/>
      <c r="AM194" s="89"/>
      <c r="AN194" s="89"/>
      <c r="AO194" s="89"/>
      <c r="AP194" s="89"/>
      <c r="AQ194" s="89"/>
      <c r="AR194" s="89"/>
      <c r="AS194" s="89"/>
      <c r="AT194" s="89"/>
      <c r="AU194" s="89"/>
      <c r="AV194" s="89"/>
      <c r="AW194" s="89"/>
      <c r="AX194" s="89"/>
    </row>
    <row r="195" s="36" customFormat="true" ht="15.75" hidden="false" customHeight="false" outlineLevel="0" collapsed="false">
      <c r="A195" s="89"/>
      <c r="B195" s="89"/>
      <c r="C195" s="89"/>
      <c r="D195" s="89"/>
      <c r="E195" s="89"/>
      <c r="F195" s="89"/>
      <c r="G195" s="89"/>
      <c r="H195" s="89"/>
      <c r="I195" s="89"/>
      <c r="J195" s="89"/>
      <c r="K195" s="89"/>
      <c r="L195" s="89"/>
      <c r="M195" s="89"/>
      <c r="N195" s="89"/>
      <c r="O195" s="89"/>
      <c r="P195" s="89"/>
      <c r="Q195" s="89"/>
      <c r="R195" s="89"/>
      <c r="S195" s="89"/>
      <c r="T195" s="89"/>
      <c r="U195" s="89"/>
      <c r="V195" s="89"/>
      <c r="W195" s="89"/>
      <c r="X195" s="89"/>
      <c r="Y195" s="89"/>
      <c r="Z195" s="89"/>
      <c r="AA195" s="89"/>
      <c r="AB195" s="89"/>
      <c r="AC195" s="89"/>
      <c r="AD195" s="89"/>
      <c r="AE195" s="89"/>
      <c r="AF195" s="89"/>
      <c r="AG195" s="89"/>
      <c r="AH195" s="89"/>
      <c r="AI195" s="89"/>
      <c r="AJ195" s="89"/>
      <c r="AK195" s="89"/>
      <c r="AL195" s="89"/>
      <c r="AM195" s="89"/>
      <c r="AN195" s="89"/>
      <c r="AO195" s="89"/>
      <c r="AP195" s="89"/>
      <c r="AQ195" s="89"/>
      <c r="AR195" s="89"/>
      <c r="AS195" s="89"/>
      <c r="AT195" s="89"/>
      <c r="AU195" s="89"/>
      <c r="AV195" s="89"/>
      <c r="AW195" s="89"/>
      <c r="AX195" s="89"/>
    </row>
    <row r="196" s="36" customFormat="true" ht="15.75" hidden="false" customHeight="false" outlineLevel="0" collapsed="false">
      <c r="A196" s="89"/>
      <c r="B196" s="89"/>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c r="AA196" s="89"/>
      <c r="AB196" s="89"/>
      <c r="AC196" s="89"/>
      <c r="AD196" s="89"/>
      <c r="AE196" s="89"/>
      <c r="AF196" s="89"/>
      <c r="AG196" s="89"/>
      <c r="AH196" s="89"/>
      <c r="AI196" s="89"/>
      <c r="AJ196" s="89"/>
      <c r="AK196" s="89"/>
      <c r="AL196" s="89"/>
      <c r="AM196" s="89"/>
      <c r="AN196" s="89"/>
      <c r="AO196" s="89"/>
      <c r="AP196" s="89"/>
      <c r="AQ196" s="89"/>
      <c r="AR196" s="89"/>
      <c r="AS196" s="89"/>
      <c r="AT196" s="89"/>
      <c r="AU196" s="89"/>
      <c r="AV196" s="89"/>
      <c r="AW196" s="89"/>
      <c r="AX196" s="89"/>
    </row>
    <row r="197" s="36" customFormat="true" ht="15.75" hidden="false" customHeight="false" outlineLevel="0" collapsed="false">
      <c r="A197" s="89"/>
      <c r="B197" s="89"/>
      <c r="C197" s="89"/>
      <c r="D197" s="89"/>
      <c r="E197" s="89"/>
      <c r="F197" s="89"/>
      <c r="G197" s="89"/>
      <c r="H197" s="89"/>
      <c r="I197" s="89"/>
      <c r="J197" s="89"/>
      <c r="K197" s="89"/>
      <c r="L197" s="89"/>
      <c r="M197" s="89"/>
      <c r="N197" s="89"/>
      <c r="O197" s="89"/>
      <c r="P197" s="89"/>
      <c r="Q197" s="89"/>
      <c r="R197" s="89"/>
      <c r="S197" s="89"/>
      <c r="T197" s="89"/>
      <c r="U197" s="89"/>
      <c r="V197" s="89"/>
      <c r="W197" s="89"/>
      <c r="X197" s="89"/>
      <c r="Y197" s="89"/>
      <c r="Z197" s="89"/>
      <c r="AA197" s="89"/>
      <c r="AB197" s="89"/>
      <c r="AC197" s="89"/>
      <c r="AD197" s="89"/>
      <c r="AE197" s="89"/>
      <c r="AF197" s="89"/>
      <c r="AG197" s="89"/>
      <c r="AH197" s="89"/>
      <c r="AI197" s="89"/>
      <c r="AJ197" s="89"/>
      <c r="AK197" s="89"/>
      <c r="AL197" s="89"/>
      <c r="AM197" s="89"/>
      <c r="AN197" s="89"/>
      <c r="AO197" s="89"/>
      <c r="AP197" s="89"/>
      <c r="AQ197" s="89"/>
      <c r="AR197" s="89"/>
      <c r="AS197" s="89"/>
      <c r="AT197" s="89"/>
      <c r="AU197" s="89"/>
      <c r="AV197" s="89"/>
      <c r="AW197" s="89"/>
      <c r="AX197" s="89"/>
    </row>
    <row r="198" s="36" customFormat="true" ht="15.75" hidden="false" customHeight="false" outlineLevel="0" collapsed="false">
      <c r="A198" s="89"/>
      <c r="B198" s="89"/>
      <c r="C198" s="89"/>
      <c r="D198" s="89"/>
      <c r="E198" s="89"/>
      <c r="F198" s="89"/>
      <c r="G198" s="89"/>
      <c r="H198" s="89"/>
      <c r="I198" s="89"/>
      <c r="J198" s="89"/>
      <c r="K198" s="89"/>
      <c r="L198" s="89"/>
      <c r="M198" s="89"/>
      <c r="N198" s="89"/>
      <c r="O198" s="89"/>
      <c r="P198" s="89"/>
      <c r="Q198" s="89"/>
      <c r="R198" s="89"/>
      <c r="S198" s="89"/>
      <c r="T198" s="89"/>
      <c r="U198" s="89"/>
      <c r="V198" s="89"/>
      <c r="W198" s="89"/>
      <c r="X198" s="89"/>
      <c r="Y198" s="89"/>
      <c r="Z198" s="89"/>
      <c r="AA198" s="89"/>
      <c r="AB198" s="89"/>
      <c r="AC198" s="89"/>
      <c r="AD198" s="89"/>
      <c r="AE198" s="89"/>
      <c r="AF198" s="89"/>
      <c r="AG198" s="89"/>
      <c r="AH198" s="89"/>
      <c r="AI198" s="89"/>
      <c r="AJ198" s="89"/>
      <c r="AK198" s="89"/>
      <c r="AL198" s="89"/>
      <c r="AM198" s="89"/>
      <c r="AN198" s="89"/>
      <c r="AO198" s="89"/>
      <c r="AP198" s="89"/>
      <c r="AQ198" s="89"/>
      <c r="AR198" s="89"/>
      <c r="AS198" s="89"/>
      <c r="AT198" s="89"/>
      <c r="AU198" s="89"/>
      <c r="AV198" s="89"/>
      <c r="AW198" s="89"/>
      <c r="AX198" s="89"/>
    </row>
    <row r="199" s="36" customFormat="true" ht="15.75" hidden="false" customHeight="false" outlineLevel="0" collapsed="false">
      <c r="A199" s="89"/>
      <c r="B199" s="89"/>
      <c r="C199" s="89"/>
      <c r="D199" s="89"/>
      <c r="E199" s="89"/>
      <c r="F199" s="89"/>
      <c r="G199" s="89"/>
      <c r="H199" s="89"/>
      <c r="I199" s="89"/>
      <c r="J199" s="89"/>
      <c r="K199" s="89"/>
      <c r="L199" s="89"/>
      <c r="M199" s="89"/>
      <c r="N199" s="89"/>
      <c r="O199" s="89"/>
      <c r="P199" s="89"/>
      <c r="Q199" s="89"/>
      <c r="R199" s="89"/>
      <c r="S199" s="89"/>
      <c r="T199" s="89"/>
      <c r="U199" s="89"/>
      <c r="V199" s="89"/>
      <c r="W199" s="89"/>
      <c r="X199" s="89"/>
      <c r="Y199" s="89"/>
      <c r="Z199" s="89"/>
      <c r="AA199" s="89"/>
      <c r="AB199" s="89"/>
      <c r="AC199" s="89"/>
      <c r="AD199" s="89"/>
      <c r="AE199" s="89"/>
      <c r="AF199" s="89"/>
      <c r="AG199" s="89"/>
      <c r="AH199" s="89"/>
      <c r="AI199" s="89"/>
      <c r="AJ199" s="89"/>
      <c r="AK199" s="89"/>
      <c r="AL199" s="89"/>
      <c r="AM199" s="89"/>
      <c r="AN199" s="89"/>
      <c r="AO199" s="89"/>
      <c r="AP199" s="89"/>
      <c r="AQ199" s="89"/>
      <c r="AR199" s="89"/>
      <c r="AS199" s="89"/>
      <c r="AT199" s="89"/>
      <c r="AU199" s="89"/>
      <c r="AV199" s="89"/>
      <c r="AW199" s="89"/>
      <c r="AX199" s="89"/>
    </row>
    <row r="200" s="36" customFormat="true" ht="15.75" hidden="false" customHeight="false" outlineLevel="0" collapsed="false">
      <c r="A200" s="89"/>
      <c r="B200" s="89"/>
      <c r="C200" s="89"/>
      <c r="D200" s="89"/>
      <c r="E200" s="89"/>
      <c r="F200" s="89"/>
      <c r="G200" s="89"/>
      <c r="H200" s="89"/>
      <c r="I200" s="89"/>
      <c r="J200" s="89"/>
      <c r="K200" s="89"/>
      <c r="L200" s="89"/>
      <c r="M200" s="89"/>
      <c r="N200" s="89"/>
      <c r="O200" s="89"/>
      <c r="P200" s="89"/>
      <c r="Q200" s="89"/>
      <c r="R200" s="89"/>
      <c r="S200" s="89"/>
      <c r="T200" s="89"/>
      <c r="U200" s="89"/>
      <c r="V200" s="89"/>
      <c r="W200" s="89"/>
      <c r="X200" s="89"/>
      <c r="Y200" s="89"/>
      <c r="Z200" s="89"/>
      <c r="AA200" s="89"/>
      <c r="AB200" s="89"/>
      <c r="AC200" s="89"/>
      <c r="AD200" s="89"/>
      <c r="AE200" s="89"/>
      <c r="AF200" s="89"/>
      <c r="AG200" s="89"/>
      <c r="AH200" s="89"/>
      <c r="AI200" s="89"/>
      <c r="AJ200" s="89"/>
      <c r="AK200" s="89"/>
      <c r="AL200" s="89"/>
      <c r="AM200" s="89"/>
      <c r="AN200" s="89"/>
      <c r="AO200" s="89"/>
      <c r="AP200" s="89"/>
      <c r="AQ200" s="89"/>
      <c r="AR200" s="89"/>
      <c r="AS200" s="89"/>
      <c r="AT200" s="89"/>
      <c r="AU200" s="89"/>
      <c r="AV200" s="89"/>
      <c r="AW200" s="89"/>
      <c r="AX200" s="89"/>
    </row>
    <row r="201" s="36" customFormat="true" ht="15.75" hidden="false" customHeight="false" outlineLevel="0" collapsed="false">
      <c r="A201" s="89"/>
      <c r="B201" s="89"/>
      <c r="C201" s="89"/>
      <c r="D201" s="89"/>
      <c r="E201" s="89"/>
      <c r="F201" s="89"/>
      <c r="G201" s="89"/>
      <c r="H201" s="89"/>
      <c r="I201" s="89"/>
      <c r="J201" s="89"/>
      <c r="K201" s="89"/>
      <c r="L201" s="89"/>
      <c r="M201" s="89"/>
      <c r="N201" s="89"/>
      <c r="O201" s="89"/>
      <c r="P201" s="89"/>
      <c r="Q201" s="89"/>
      <c r="R201" s="89"/>
      <c r="S201" s="89"/>
      <c r="T201" s="89"/>
      <c r="U201" s="89"/>
      <c r="V201" s="89"/>
      <c r="W201" s="89"/>
      <c r="X201" s="89"/>
      <c r="Y201" s="89"/>
      <c r="Z201" s="89"/>
      <c r="AA201" s="89"/>
      <c r="AB201" s="89"/>
      <c r="AC201" s="89"/>
      <c r="AD201" s="89"/>
      <c r="AE201" s="89"/>
      <c r="AF201" s="89"/>
      <c r="AG201" s="89"/>
      <c r="AH201" s="89"/>
      <c r="AI201" s="89"/>
      <c r="AJ201" s="89"/>
      <c r="AK201" s="89"/>
      <c r="AL201" s="89"/>
      <c r="AM201" s="89"/>
      <c r="AN201" s="89"/>
      <c r="AO201" s="89"/>
      <c r="AP201" s="89"/>
      <c r="AQ201" s="89"/>
      <c r="AR201" s="89"/>
      <c r="AS201" s="89"/>
      <c r="AT201" s="89"/>
      <c r="AU201" s="89"/>
      <c r="AV201" s="89"/>
      <c r="AW201" s="89"/>
      <c r="AX201" s="89"/>
    </row>
    <row r="202" s="36" customFormat="true" ht="15.75" hidden="false" customHeight="false" outlineLevel="0" collapsed="false">
      <c r="A202" s="89"/>
      <c r="B202" s="89"/>
      <c r="C202" s="89"/>
      <c r="D202" s="89"/>
      <c r="E202" s="89"/>
      <c r="F202" s="89"/>
      <c r="G202" s="89"/>
      <c r="H202" s="89"/>
      <c r="I202" s="89"/>
      <c r="J202" s="89"/>
      <c r="K202" s="89"/>
      <c r="L202" s="89"/>
      <c r="M202" s="89"/>
      <c r="N202" s="89"/>
      <c r="O202" s="89"/>
      <c r="P202" s="89"/>
      <c r="Q202" s="89"/>
      <c r="R202" s="89"/>
      <c r="S202" s="89"/>
      <c r="T202" s="89"/>
      <c r="U202" s="89"/>
      <c r="V202" s="89"/>
      <c r="W202" s="89"/>
      <c r="X202" s="89"/>
      <c r="Y202" s="89"/>
      <c r="Z202" s="89"/>
      <c r="AA202" s="89"/>
      <c r="AB202" s="89"/>
      <c r="AC202" s="89"/>
      <c r="AD202" s="89"/>
      <c r="AE202" s="89"/>
      <c r="AF202" s="89"/>
      <c r="AG202" s="89"/>
      <c r="AH202" s="89"/>
      <c r="AI202" s="89"/>
      <c r="AJ202" s="89"/>
      <c r="AK202" s="89"/>
      <c r="AL202" s="89"/>
      <c r="AM202" s="89"/>
      <c r="AN202" s="89"/>
      <c r="AO202" s="89"/>
      <c r="AP202" s="89"/>
      <c r="AQ202" s="89"/>
      <c r="AR202" s="89"/>
      <c r="AS202" s="89"/>
      <c r="AT202" s="89"/>
      <c r="AU202" s="89"/>
      <c r="AV202" s="89"/>
      <c r="AW202" s="89"/>
      <c r="AX202" s="89"/>
    </row>
    <row r="203" s="36" customFormat="true" ht="15.75" hidden="false" customHeight="false" outlineLevel="0" collapsed="false">
      <c r="A203" s="89"/>
      <c r="B203" s="89"/>
      <c r="C203" s="89"/>
      <c r="D203" s="89"/>
      <c r="E203" s="89"/>
      <c r="F203" s="89"/>
      <c r="G203" s="89"/>
      <c r="H203" s="89"/>
      <c r="I203" s="89"/>
      <c r="J203" s="89"/>
      <c r="K203" s="89"/>
      <c r="L203" s="89"/>
      <c r="M203" s="89"/>
      <c r="N203" s="89"/>
      <c r="O203" s="89"/>
      <c r="P203" s="89"/>
      <c r="Q203" s="89"/>
      <c r="R203" s="89"/>
      <c r="S203" s="89"/>
      <c r="T203" s="89"/>
      <c r="U203" s="89"/>
      <c r="V203" s="89"/>
      <c r="W203" s="89"/>
      <c r="X203" s="89"/>
      <c r="Y203" s="89"/>
      <c r="Z203" s="89"/>
      <c r="AA203" s="89"/>
      <c r="AB203" s="89"/>
      <c r="AC203" s="89"/>
      <c r="AD203" s="89"/>
      <c r="AE203" s="89"/>
      <c r="AF203" s="89"/>
      <c r="AG203" s="89"/>
      <c r="AH203" s="89"/>
      <c r="AI203" s="89"/>
      <c r="AJ203" s="89"/>
      <c r="AK203" s="89"/>
      <c r="AL203" s="89"/>
      <c r="AM203" s="89"/>
      <c r="AN203" s="89"/>
      <c r="AO203" s="89"/>
      <c r="AP203" s="89"/>
      <c r="AQ203" s="89"/>
      <c r="AR203" s="89"/>
      <c r="AS203" s="89"/>
      <c r="AT203" s="89"/>
      <c r="AU203" s="89"/>
      <c r="AV203" s="89"/>
      <c r="AW203" s="89"/>
      <c r="AX203" s="89"/>
    </row>
    <row r="204" s="36" customFormat="true" ht="15.75" hidden="false" customHeight="false" outlineLevel="0" collapsed="false">
      <c r="A204" s="89"/>
      <c r="B204" s="89"/>
      <c r="C204" s="89"/>
      <c r="D204" s="89"/>
      <c r="E204" s="89"/>
      <c r="F204" s="89"/>
      <c r="G204" s="89"/>
      <c r="H204" s="89"/>
      <c r="I204" s="89"/>
      <c r="J204" s="89"/>
      <c r="K204" s="89"/>
      <c r="L204" s="89"/>
      <c r="M204" s="89"/>
      <c r="N204" s="89"/>
      <c r="O204" s="89"/>
      <c r="P204" s="89"/>
      <c r="Q204" s="89"/>
      <c r="R204" s="89"/>
      <c r="S204" s="89"/>
      <c r="T204" s="89"/>
      <c r="U204" s="89"/>
      <c r="V204" s="89"/>
      <c r="W204" s="89"/>
      <c r="X204" s="89"/>
      <c r="Y204" s="89"/>
      <c r="Z204" s="89"/>
      <c r="AA204" s="89"/>
      <c r="AB204" s="89"/>
      <c r="AC204" s="89"/>
      <c r="AD204" s="89"/>
      <c r="AE204" s="89"/>
      <c r="AF204" s="89"/>
      <c r="AG204" s="89"/>
      <c r="AH204" s="89"/>
      <c r="AI204" s="89"/>
      <c r="AJ204" s="89"/>
      <c r="AK204" s="89"/>
      <c r="AL204" s="89"/>
      <c r="AM204" s="89"/>
      <c r="AN204" s="89"/>
      <c r="AO204" s="89"/>
      <c r="AP204" s="89"/>
      <c r="AQ204" s="89"/>
      <c r="AR204" s="89"/>
      <c r="AS204" s="89"/>
      <c r="AT204" s="89"/>
      <c r="AU204" s="89"/>
      <c r="AV204" s="89"/>
      <c r="AW204" s="89"/>
      <c r="AX204" s="89"/>
    </row>
    <row r="205" s="36" customFormat="true" ht="15.75" hidden="false" customHeight="false" outlineLevel="0" collapsed="false">
      <c r="A205" s="89"/>
      <c r="B205" s="89"/>
      <c r="C205" s="89"/>
      <c r="D205" s="89"/>
      <c r="E205" s="89"/>
      <c r="F205" s="89"/>
      <c r="G205" s="89"/>
      <c r="H205" s="89"/>
      <c r="I205" s="89"/>
      <c r="J205" s="89"/>
      <c r="K205" s="89"/>
      <c r="L205" s="89"/>
      <c r="M205" s="89"/>
      <c r="N205" s="89"/>
      <c r="O205" s="89"/>
      <c r="P205" s="89"/>
      <c r="Q205" s="89"/>
      <c r="R205" s="89"/>
      <c r="S205" s="89"/>
      <c r="T205" s="89"/>
      <c r="U205" s="89"/>
      <c r="V205" s="89"/>
      <c r="W205" s="89"/>
      <c r="X205" s="89"/>
      <c r="Y205" s="89"/>
      <c r="Z205" s="89"/>
      <c r="AA205" s="89"/>
      <c r="AB205" s="89"/>
      <c r="AC205" s="89"/>
      <c r="AD205" s="89"/>
      <c r="AE205" s="89"/>
      <c r="AF205" s="89"/>
      <c r="AG205" s="89"/>
      <c r="AH205" s="89"/>
      <c r="AI205" s="89"/>
      <c r="AJ205" s="89"/>
      <c r="AK205" s="89"/>
      <c r="AL205" s="89"/>
      <c r="AM205" s="89"/>
      <c r="AN205" s="89"/>
      <c r="AO205" s="89"/>
      <c r="AP205" s="89"/>
      <c r="AQ205" s="89"/>
      <c r="AR205" s="89"/>
      <c r="AS205" s="89"/>
      <c r="AT205" s="89"/>
      <c r="AU205" s="89"/>
      <c r="AV205" s="89"/>
      <c r="AW205" s="89"/>
      <c r="AX205" s="89"/>
    </row>
    <row r="206" s="36" customFormat="true" ht="15.75" hidden="false" customHeight="false" outlineLevel="0" collapsed="false">
      <c r="A206" s="89"/>
      <c r="B206" s="89"/>
      <c r="C206" s="89"/>
      <c r="D206" s="89"/>
      <c r="E206" s="89"/>
      <c r="F206" s="89"/>
      <c r="G206" s="89"/>
      <c r="H206" s="89"/>
      <c r="I206" s="89"/>
      <c r="J206" s="89"/>
      <c r="K206" s="89"/>
      <c r="L206" s="89"/>
      <c r="M206" s="89"/>
      <c r="N206" s="89"/>
      <c r="O206" s="89"/>
      <c r="P206" s="89"/>
      <c r="Q206" s="89"/>
      <c r="R206" s="89"/>
      <c r="S206" s="89"/>
      <c r="T206" s="89"/>
      <c r="U206" s="89"/>
      <c r="V206" s="89"/>
      <c r="W206" s="89"/>
      <c r="X206" s="89"/>
      <c r="Y206" s="89"/>
      <c r="Z206" s="89"/>
      <c r="AA206" s="89"/>
      <c r="AB206" s="89"/>
      <c r="AC206" s="89"/>
      <c r="AD206" s="89"/>
      <c r="AE206" s="89"/>
      <c r="AF206" s="89"/>
      <c r="AG206" s="89"/>
      <c r="AH206" s="89"/>
      <c r="AI206" s="89"/>
      <c r="AJ206" s="89"/>
      <c r="AK206" s="89"/>
      <c r="AL206" s="89"/>
      <c r="AM206" s="89"/>
      <c r="AN206" s="89"/>
      <c r="AO206" s="89"/>
      <c r="AP206" s="89"/>
      <c r="AQ206" s="89"/>
      <c r="AR206" s="89"/>
      <c r="AS206" s="89"/>
      <c r="AT206" s="89"/>
      <c r="AU206" s="89"/>
      <c r="AV206" s="89"/>
      <c r="AW206" s="89"/>
      <c r="AX206" s="89"/>
    </row>
    <row r="207" s="36" customFormat="true" ht="15.75" hidden="false" customHeight="false" outlineLevel="0" collapsed="false">
      <c r="A207" s="89"/>
      <c r="B207" s="89"/>
      <c r="C207" s="89"/>
      <c r="D207" s="89"/>
      <c r="E207" s="89"/>
      <c r="F207" s="89"/>
      <c r="G207" s="89"/>
      <c r="H207" s="89"/>
      <c r="I207" s="89"/>
      <c r="J207" s="89"/>
      <c r="K207" s="89"/>
      <c r="L207" s="89"/>
      <c r="M207" s="89"/>
      <c r="N207" s="89"/>
      <c r="O207" s="89"/>
      <c r="P207" s="89"/>
      <c r="Q207" s="89"/>
      <c r="R207" s="89"/>
      <c r="S207" s="89"/>
      <c r="T207" s="89"/>
      <c r="U207" s="89"/>
      <c r="V207" s="89"/>
      <c r="W207" s="89"/>
      <c r="X207" s="89"/>
      <c r="Y207" s="89"/>
      <c r="Z207" s="89"/>
      <c r="AA207" s="89"/>
      <c r="AB207" s="89"/>
      <c r="AC207" s="89"/>
      <c r="AD207" s="89"/>
      <c r="AE207" s="89"/>
      <c r="AF207" s="89"/>
      <c r="AG207" s="89"/>
      <c r="AH207" s="89"/>
      <c r="AI207" s="89"/>
      <c r="AJ207" s="89"/>
      <c r="AK207" s="89"/>
      <c r="AL207" s="89"/>
      <c r="AM207" s="89"/>
      <c r="AN207" s="89"/>
      <c r="AO207" s="89"/>
      <c r="AP207" s="89"/>
      <c r="AQ207" s="89"/>
      <c r="AR207" s="89"/>
      <c r="AS207" s="89"/>
      <c r="AT207" s="89"/>
      <c r="AU207" s="89"/>
      <c r="AV207" s="89"/>
      <c r="AW207" s="89"/>
      <c r="AX207" s="89"/>
    </row>
    <row r="208" s="36" customFormat="true" ht="15.75" hidden="false" customHeight="false" outlineLevel="0" collapsed="false">
      <c r="A208" s="89"/>
      <c r="B208" s="89"/>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c r="AA208" s="89"/>
      <c r="AB208" s="89"/>
      <c r="AC208" s="89"/>
      <c r="AD208" s="89"/>
      <c r="AE208" s="89"/>
      <c r="AF208" s="89"/>
      <c r="AG208" s="89"/>
      <c r="AH208" s="89"/>
      <c r="AI208" s="89"/>
      <c r="AJ208" s="89"/>
      <c r="AK208" s="89"/>
      <c r="AL208" s="89"/>
      <c r="AM208" s="89"/>
      <c r="AN208" s="89"/>
      <c r="AO208" s="89"/>
      <c r="AP208" s="89"/>
      <c r="AQ208" s="89"/>
      <c r="AR208" s="89"/>
      <c r="AS208" s="89"/>
      <c r="AT208" s="89"/>
      <c r="AU208" s="89"/>
      <c r="AV208" s="89"/>
      <c r="AW208" s="89"/>
      <c r="AX208" s="89"/>
    </row>
    <row r="209" s="36" customFormat="true" ht="15.75" hidden="false" customHeight="false" outlineLevel="0" collapsed="false">
      <c r="A209" s="89"/>
      <c r="B209" s="89"/>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c r="AA209" s="89"/>
      <c r="AB209" s="89"/>
      <c r="AC209" s="89"/>
      <c r="AD209" s="89"/>
      <c r="AE209" s="89"/>
      <c r="AF209" s="89"/>
      <c r="AG209" s="89"/>
      <c r="AH209" s="89"/>
      <c r="AI209" s="89"/>
      <c r="AJ209" s="89"/>
      <c r="AK209" s="89"/>
      <c r="AL209" s="89"/>
      <c r="AM209" s="89"/>
      <c r="AN209" s="89"/>
      <c r="AO209" s="89"/>
      <c r="AP209" s="89"/>
      <c r="AQ209" s="89"/>
      <c r="AR209" s="89"/>
      <c r="AS209" s="89"/>
      <c r="AT209" s="89"/>
      <c r="AU209" s="89"/>
      <c r="AV209" s="89"/>
      <c r="AW209" s="89"/>
      <c r="AX209" s="89"/>
    </row>
    <row r="210" s="36" customFormat="true" ht="15.75" hidden="false" customHeight="false" outlineLevel="0" collapsed="false">
      <c r="A210" s="89"/>
      <c r="B210" s="89"/>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c r="AA210" s="89"/>
      <c r="AB210" s="89"/>
      <c r="AC210" s="89"/>
      <c r="AD210" s="89"/>
      <c r="AE210" s="89"/>
      <c r="AF210" s="89"/>
      <c r="AG210" s="89"/>
      <c r="AH210" s="89"/>
      <c r="AI210" s="89"/>
      <c r="AJ210" s="89"/>
      <c r="AK210" s="89"/>
      <c r="AL210" s="89"/>
      <c r="AM210" s="89"/>
      <c r="AN210" s="89"/>
      <c r="AO210" s="89"/>
      <c r="AP210" s="89"/>
      <c r="AQ210" s="89"/>
      <c r="AR210" s="89"/>
      <c r="AS210" s="89"/>
      <c r="AT210" s="89"/>
      <c r="AU210" s="89"/>
      <c r="AV210" s="89"/>
      <c r="AW210" s="89"/>
      <c r="AX210" s="89"/>
    </row>
    <row r="211" s="36" customFormat="true" ht="15.75" hidden="false" customHeight="false" outlineLevel="0" collapsed="false">
      <c r="A211" s="89"/>
      <c r="B211" s="89"/>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c r="AA211" s="89"/>
      <c r="AB211" s="89"/>
      <c r="AC211" s="89"/>
      <c r="AD211" s="89"/>
      <c r="AE211" s="89"/>
      <c r="AF211" s="89"/>
      <c r="AG211" s="89"/>
      <c r="AH211" s="89"/>
      <c r="AI211" s="89"/>
      <c r="AJ211" s="89"/>
      <c r="AK211" s="89"/>
      <c r="AL211" s="89"/>
      <c r="AM211" s="89"/>
      <c r="AN211" s="89"/>
      <c r="AO211" s="89"/>
      <c r="AP211" s="89"/>
      <c r="AQ211" s="89"/>
      <c r="AR211" s="89"/>
      <c r="AS211" s="89"/>
      <c r="AT211" s="89"/>
      <c r="AU211" s="89"/>
      <c r="AV211" s="89"/>
      <c r="AW211" s="89"/>
      <c r="AX211" s="89"/>
    </row>
    <row r="212" s="36" customFormat="true" ht="15.75" hidden="false" customHeight="false" outlineLevel="0" collapsed="false">
      <c r="A212" s="89"/>
      <c r="B212" s="89"/>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c r="AA212" s="89"/>
      <c r="AB212" s="89"/>
      <c r="AC212" s="89"/>
      <c r="AD212" s="89"/>
      <c r="AE212" s="89"/>
      <c r="AF212" s="89"/>
      <c r="AG212" s="89"/>
      <c r="AH212" s="89"/>
      <c r="AI212" s="89"/>
      <c r="AJ212" s="89"/>
      <c r="AK212" s="89"/>
      <c r="AL212" s="89"/>
      <c r="AM212" s="89"/>
      <c r="AN212" s="89"/>
      <c r="AO212" s="89"/>
      <c r="AP212" s="89"/>
      <c r="AQ212" s="89"/>
      <c r="AR212" s="89"/>
      <c r="AS212" s="89"/>
      <c r="AT212" s="89"/>
      <c r="AU212" s="89"/>
      <c r="AV212" s="89"/>
      <c r="AW212" s="89"/>
      <c r="AX212" s="89"/>
    </row>
    <row r="213" s="36" customFormat="true" ht="15.75" hidden="false" customHeight="false" outlineLevel="0" collapsed="false">
      <c r="A213" s="89"/>
      <c r="B213" s="89"/>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c r="AA213" s="89"/>
      <c r="AB213" s="89"/>
      <c r="AC213" s="89"/>
      <c r="AD213" s="89"/>
      <c r="AE213" s="89"/>
      <c r="AF213" s="89"/>
      <c r="AG213" s="89"/>
      <c r="AH213" s="89"/>
      <c r="AI213" s="89"/>
      <c r="AJ213" s="89"/>
      <c r="AK213" s="89"/>
      <c r="AL213" s="89"/>
      <c r="AM213" s="89"/>
      <c r="AN213" s="89"/>
      <c r="AO213" s="89"/>
      <c r="AP213" s="89"/>
      <c r="AQ213" s="89"/>
      <c r="AR213" s="89"/>
      <c r="AS213" s="89"/>
      <c r="AT213" s="89"/>
      <c r="AU213" s="89"/>
      <c r="AV213" s="89"/>
      <c r="AW213" s="89"/>
      <c r="AX213" s="89"/>
    </row>
    <row r="214" s="36" customFormat="true" ht="15.75" hidden="false" customHeight="false" outlineLevel="0" collapsed="false">
      <c r="A214" s="89"/>
      <c r="B214" s="89"/>
      <c r="C214" s="89"/>
      <c r="D214" s="89"/>
      <c r="E214" s="89"/>
      <c r="F214" s="89"/>
      <c r="G214" s="89"/>
      <c r="H214" s="89"/>
      <c r="I214" s="89"/>
      <c r="J214" s="89"/>
      <c r="K214" s="89"/>
      <c r="L214" s="89"/>
      <c r="M214" s="89"/>
      <c r="N214" s="89"/>
      <c r="O214" s="89"/>
      <c r="P214" s="89"/>
      <c r="Q214" s="89"/>
      <c r="R214" s="89"/>
      <c r="S214" s="89"/>
      <c r="T214" s="89"/>
      <c r="U214" s="89"/>
      <c r="V214" s="89"/>
      <c r="W214" s="89"/>
      <c r="X214" s="89"/>
      <c r="Y214" s="89"/>
      <c r="Z214" s="89"/>
      <c r="AA214" s="89"/>
      <c r="AB214" s="89"/>
      <c r="AC214" s="89"/>
      <c r="AD214" s="89"/>
      <c r="AE214" s="89"/>
      <c r="AF214" s="89"/>
      <c r="AG214" s="89"/>
      <c r="AH214" s="89"/>
      <c r="AI214" s="89"/>
      <c r="AJ214" s="89"/>
      <c r="AK214" s="89"/>
      <c r="AL214" s="89"/>
      <c r="AM214" s="89"/>
      <c r="AN214" s="89"/>
      <c r="AO214" s="89"/>
      <c r="AP214" s="89"/>
      <c r="AQ214" s="89"/>
      <c r="AR214" s="89"/>
      <c r="AS214" s="89"/>
      <c r="AT214" s="89"/>
      <c r="AU214" s="89"/>
      <c r="AV214" s="89"/>
      <c r="AW214" s="89"/>
      <c r="AX214" s="89"/>
    </row>
    <row r="215" s="36" customFormat="true" ht="15.75" hidden="false" customHeight="false" outlineLevel="0" collapsed="false">
      <c r="A215" s="89"/>
      <c r="B215" s="89"/>
      <c r="C215" s="89"/>
      <c r="D215" s="89"/>
      <c r="E215" s="89"/>
      <c r="F215" s="89"/>
      <c r="G215" s="89"/>
      <c r="H215" s="89"/>
      <c r="I215" s="89"/>
      <c r="J215" s="89"/>
      <c r="K215" s="89"/>
      <c r="L215" s="89"/>
      <c r="M215" s="89"/>
      <c r="N215" s="89"/>
      <c r="O215" s="89"/>
      <c r="P215" s="89"/>
      <c r="Q215" s="89"/>
      <c r="R215" s="89"/>
      <c r="S215" s="89"/>
      <c r="T215" s="89"/>
      <c r="U215" s="89"/>
      <c r="V215" s="89"/>
      <c r="W215" s="89"/>
      <c r="X215" s="89"/>
      <c r="Y215" s="89"/>
      <c r="Z215" s="89"/>
      <c r="AA215" s="89"/>
      <c r="AB215" s="89"/>
      <c r="AC215" s="89"/>
      <c r="AD215" s="89"/>
      <c r="AE215" s="89"/>
      <c r="AF215" s="89"/>
      <c r="AG215" s="89"/>
      <c r="AH215" s="89"/>
      <c r="AI215" s="89"/>
      <c r="AJ215" s="89"/>
      <c r="AK215" s="89"/>
      <c r="AL215" s="89"/>
      <c r="AM215" s="89"/>
      <c r="AN215" s="89"/>
      <c r="AO215" s="89"/>
      <c r="AP215" s="89"/>
      <c r="AQ215" s="89"/>
      <c r="AR215" s="89"/>
      <c r="AS215" s="89"/>
      <c r="AT215" s="89"/>
      <c r="AU215" s="89"/>
      <c r="AV215" s="89"/>
      <c r="AW215" s="89"/>
      <c r="AX215" s="89"/>
    </row>
    <row r="216" s="36" customFormat="true" ht="15.75" hidden="false" customHeight="false" outlineLevel="0" collapsed="false">
      <c r="A216" s="89"/>
      <c r="B216" s="89"/>
      <c r="C216" s="89"/>
      <c r="D216" s="89"/>
      <c r="E216" s="89"/>
      <c r="F216" s="89"/>
      <c r="G216" s="89"/>
      <c r="H216" s="89"/>
      <c r="I216" s="89"/>
      <c r="J216" s="89"/>
      <c r="K216" s="89"/>
      <c r="L216" s="89"/>
      <c r="M216" s="89"/>
      <c r="N216" s="89"/>
      <c r="O216" s="89"/>
      <c r="P216" s="89"/>
      <c r="Q216" s="89"/>
      <c r="R216" s="89"/>
      <c r="S216" s="89"/>
      <c r="T216" s="89"/>
      <c r="U216" s="89"/>
      <c r="V216" s="89"/>
      <c r="W216" s="89"/>
      <c r="X216" s="89"/>
      <c r="Y216" s="89"/>
      <c r="Z216" s="89"/>
      <c r="AA216" s="89"/>
      <c r="AB216" s="89"/>
      <c r="AC216" s="89"/>
      <c r="AD216" s="89"/>
      <c r="AE216" s="89"/>
      <c r="AF216" s="89"/>
      <c r="AG216" s="89"/>
      <c r="AH216" s="89"/>
      <c r="AI216" s="89"/>
      <c r="AJ216" s="89"/>
      <c r="AK216" s="89"/>
      <c r="AL216" s="89"/>
      <c r="AM216" s="89"/>
      <c r="AN216" s="89"/>
      <c r="AO216" s="89"/>
      <c r="AP216" s="89"/>
      <c r="AQ216" s="89"/>
      <c r="AR216" s="89"/>
      <c r="AS216" s="89"/>
      <c r="AT216" s="89"/>
      <c r="AU216" s="89"/>
      <c r="AV216" s="89"/>
      <c r="AW216" s="89"/>
      <c r="AX216" s="89"/>
    </row>
    <row r="217" s="36" customFormat="true" ht="15.75" hidden="false" customHeight="false" outlineLevel="0" collapsed="false">
      <c r="A217" s="89"/>
      <c r="B217" s="89"/>
      <c r="C217" s="89"/>
      <c r="D217" s="89"/>
      <c r="E217" s="89"/>
      <c r="F217" s="89"/>
      <c r="G217" s="89"/>
      <c r="H217" s="89"/>
      <c r="I217" s="89"/>
      <c r="J217" s="89"/>
      <c r="K217" s="89"/>
      <c r="L217" s="89"/>
      <c r="M217" s="89"/>
      <c r="N217" s="89"/>
      <c r="O217" s="89"/>
      <c r="P217" s="89"/>
      <c r="Q217" s="89"/>
      <c r="R217" s="89"/>
      <c r="S217" s="89"/>
      <c r="T217" s="89"/>
      <c r="U217" s="89"/>
      <c r="V217" s="89"/>
      <c r="W217" s="89"/>
      <c r="X217" s="89"/>
      <c r="Y217" s="89"/>
      <c r="Z217" s="89"/>
      <c r="AA217" s="89"/>
      <c r="AB217" s="89"/>
      <c r="AC217" s="89"/>
      <c r="AD217" s="89"/>
      <c r="AE217" s="89"/>
      <c r="AF217" s="89"/>
      <c r="AG217" s="89"/>
      <c r="AH217" s="89"/>
      <c r="AI217" s="89"/>
      <c r="AJ217" s="89"/>
      <c r="AK217" s="89"/>
      <c r="AL217" s="89"/>
      <c r="AM217" s="89"/>
      <c r="AN217" s="89"/>
      <c r="AO217" s="89"/>
      <c r="AP217" s="89"/>
      <c r="AQ217" s="89"/>
      <c r="AR217" s="89"/>
      <c r="AS217" s="89"/>
      <c r="AT217" s="89"/>
      <c r="AU217" s="89"/>
      <c r="AV217" s="89"/>
      <c r="AW217" s="89"/>
      <c r="AX217" s="89"/>
    </row>
    <row r="218" s="36" customFormat="true" ht="15.75" hidden="false" customHeight="false" outlineLevel="0" collapsed="false">
      <c r="A218" s="89"/>
      <c r="B218" s="89"/>
      <c r="C218" s="89"/>
      <c r="D218" s="89"/>
      <c r="E218" s="89"/>
      <c r="F218" s="89"/>
      <c r="G218" s="89"/>
      <c r="H218" s="89"/>
      <c r="I218" s="89"/>
      <c r="J218" s="89"/>
      <c r="K218" s="89"/>
      <c r="L218" s="89"/>
      <c r="M218" s="89"/>
      <c r="N218" s="89"/>
      <c r="O218" s="89"/>
      <c r="P218" s="89"/>
      <c r="Q218" s="89"/>
      <c r="R218" s="89"/>
      <c r="S218" s="89"/>
      <c r="T218" s="89"/>
      <c r="U218" s="89"/>
      <c r="V218" s="89"/>
      <c r="W218" s="89"/>
      <c r="X218" s="89"/>
      <c r="Y218" s="89"/>
      <c r="Z218" s="89"/>
      <c r="AA218" s="89"/>
      <c r="AB218" s="89"/>
      <c r="AC218" s="89"/>
      <c r="AD218" s="89"/>
      <c r="AE218" s="89"/>
      <c r="AF218" s="89"/>
      <c r="AG218" s="89"/>
      <c r="AH218" s="89"/>
      <c r="AI218" s="89"/>
      <c r="AJ218" s="89"/>
      <c r="AK218" s="89"/>
      <c r="AL218" s="89"/>
      <c r="AM218" s="89"/>
      <c r="AN218" s="89"/>
      <c r="AO218" s="89"/>
      <c r="AP218" s="89"/>
      <c r="AQ218" s="89"/>
      <c r="AR218" s="89"/>
      <c r="AS218" s="89"/>
      <c r="AT218" s="89"/>
      <c r="AU218" s="89"/>
      <c r="AV218" s="89"/>
      <c r="AW218" s="89"/>
      <c r="AX218" s="89"/>
    </row>
    <row r="219" s="36" customFormat="true" ht="15.75" hidden="false" customHeight="false" outlineLevel="0" collapsed="false">
      <c r="A219" s="89"/>
      <c r="B219" s="89"/>
      <c r="C219" s="89"/>
      <c r="D219" s="89"/>
      <c r="E219" s="89"/>
      <c r="F219" s="89"/>
      <c r="G219" s="89"/>
      <c r="H219" s="89"/>
      <c r="I219" s="89"/>
      <c r="J219" s="89"/>
      <c r="K219" s="89"/>
      <c r="L219" s="89"/>
      <c r="M219" s="89"/>
      <c r="N219" s="89"/>
      <c r="O219" s="89"/>
      <c r="P219" s="89"/>
      <c r="Q219" s="89"/>
      <c r="R219" s="89"/>
      <c r="S219" s="89"/>
      <c r="T219" s="89"/>
      <c r="U219" s="89"/>
      <c r="V219" s="89"/>
      <c r="W219" s="89"/>
      <c r="X219" s="89"/>
      <c r="Y219" s="89"/>
      <c r="Z219" s="89"/>
      <c r="AA219" s="89"/>
      <c r="AB219" s="89"/>
      <c r="AC219" s="89"/>
      <c r="AD219" s="89"/>
      <c r="AE219" s="89"/>
      <c r="AF219" s="89"/>
      <c r="AG219" s="89"/>
      <c r="AH219" s="89"/>
      <c r="AI219" s="89"/>
      <c r="AJ219" s="89"/>
      <c r="AK219" s="89"/>
      <c r="AL219" s="89"/>
      <c r="AM219" s="89"/>
      <c r="AN219" s="89"/>
      <c r="AO219" s="89"/>
      <c r="AP219" s="89"/>
      <c r="AQ219" s="89"/>
      <c r="AR219" s="89"/>
      <c r="AS219" s="89"/>
      <c r="AT219" s="89"/>
      <c r="AU219" s="89"/>
      <c r="AV219" s="89"/>
      <c r="AW219" s="89"/>
      <c r="AX219" s="89"/>
    </row>
    <row r="220" s="36" customFormat="true" ht="15.75" hidden="false" customHeight="false" outlineLevel="0" collapsed="false">
      <c r="A220" s="89"/>
      <c r="B220" s="89"/>
      <c r="C220" s="89"/>
      <c r="D220" s="89"/>
      <c r="E220" s="89"/>
      <c r="F220" s="89"/>
      <c r="G220" s="89"/>
      <c r="H220" s="89"/>
      <c r="I220" s="89"/>
      <c r="J220" s="89"/>
      <c r="K220" s="89"/>
      <c r="L220" s="89"/>
      <c r="M220" s="89"/>
      <c r="N220" s="89"/>
      <c r="O220" s="89"/>
      <c r="P220" s="89"/>
      <c r="Q220" s="89"/>
      <c r="R220" s="89"/>
      <c r="S220" s="89"/>
      <c r="T220" s="89"/>
      <c r="U220" s="89"/>
      <c r="V220" s="89"/>
      <c r="W220" s="89"/>
      <c r="X220" s="89"/>
      <c r="Y220" s="89"/>
      <c r="Z220" s="89"/>
      <c r="AA220" s="89"/>
      <c r="AB220" s="89"/>
      <c r="AC220" s="89"/>
      <c r="AD220" s="89"/>
      <c r="AE220" s="89"/>
      <c r="AF220" s="89"/>
      <c r="AG220" s="89"/>
      <c r="AH220" s="89"/>
      <c r="AI220" s="89"/>
      <c r="AJ220" s="89"/>
      <c r="AK220" s="89"/>
      <c r="AL220" s="89"/>
      <c r="AM220" s="89"/>
      <c r="AN220" s="89"/>
      <c r="AO220" s="89"/>
      <c r="AP220" s="89"/>
      <c r="AQ220" s="89"/>
      <c r="AR220" s="89"/>
      <c r="AS220" s="89"/>
      <c r="AT220" s="89"/>
      <c r="AU220" s="89"/>
      <c r="AV220" s="89"/>
      <c r="AW220" s="89"/>
      <c r="AX220" s="89"/>
    </row>
    <row r="221" s="36" customFormat="true" ht="15.75" hidden="false" customHeight="false" outlineLevel="0" collapsed="false">
      <c r="A221" s="89"/>
      <c r="B221" s="89"/>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c r="AA221" s="89"/>
      <c r="AB221" s="89"/>
      <c r="AC221" s="89"/>
      <c r="AD221" s="89"/>
      <c r="AE221" s="89"/>
      <c r="AF221" s="89"/>
      <c r="AG221" s="89"/>
      <c r="AH221" s="89"/>
      <c r="AI221" s="89"/>
      <c r="AJ221" s="89"/>
      <c r="AK221" s="89"/>
      <c r="AL221" s="89"/>
      <c r="AM221" s="89"/>
      <c r="AN221" s="89"/>
      <c r="AO221" s="89"/>
      <c r="AP221" s="89"/>
      <c r="AQ221" s="89"/>
      <c r="AR221" s="89"/>
      <c r="AS221" s="89"/>
      <c r="AT221" s="89"/>
      <c r="AU221" s="89"/>
      <c r="AV221" s="89"/>
      <c r="AW221" s="89"/>
      <c r="AX221" s="89"/>
    </row>
    <row r="222" s="36" customFormat="true" ht="15.75" hidden="false" customHeight="false" outlineLevel="0" collapsed="false">
      <c r="A222" s="89"/>
      <c r="B222" s="89"/>
      <c r="C222" s="89"/>
      <c r="D222" s="89"/>
      <c r="E222" s="89"/>
      <c r="F222" s="89"/>
      <c r="G222" s="89"/>
      <c r="H222" s="89"/>
      <c r="I222" s="89"/>
      <c r="J222" s="89"/>
      <c r="K222" s="89"/>
      <c r="L222" s="89"/>
      <c r="M222" s="89"/>
      <c r="N222" s="89"/>
      <c r="O222" s="89"/>
      <c r="P222" s="89"/>
      <c r="Q222" s="89"/>
      <c r="R222" s="89"/>
      <c r="S222" s="89"/>
      <c r="T222" s="89"/>
      <c r="U222" s="89"/>
      <c r="V222" s="89"/>
      <c r="W222" s="89"/>
      <c r="X222" s="89"/>
      <c r="Y222" s="89"/>
      <c r="Z222" s="89"/>
      <c r="AA222" s="89"/>
      <c r="AB222" s="89"/>
      <c r="AC222" s="89"/>
      <c r="AD222" s="89"/>
      <c r="AE222" s="89"/>
      <c r="AF222" s="89"/>
      <c r="AG222" s="89"/>
      <c r="AH222" s="89"/>
      <c r="AI222" s="89"/>
      <c r="AJ222" s="89"/>
      <c r="AK222" s="89"/>
      <c r="AL222" s="89"/>
      <c r="AM222" s="89"/>
      <c r="AN222" s="89"/>
      <c r="AO222" s="89"/>
      <c r="AP222" s="89"/>
      <c r="AQ222" s="89"/>
      <c r="AR222" s="89"/>
      <c r="AS222" s="89"/>
      <c r="AT222" s="89"/>
      <c r="AU222" s="89"/>
      <c r="AV222" s="89"/>
      <c r="AW222" s="89"/>
      <c r="AX222" s="89"/>
    </row>
    <row r="223" s="36" customFormat="true" ht="15.75" hidden="false" customHeight="false" outlineLevel="0" collapsed="false">
      <c r="A223" s="89"/>
      <c r="B223" s="89"/>
      <c r="C223" s="89"/>
      <c r="D223" s="89"/>
      <c r="E223" s="89"/>
      <c r="F223" s="89"/>
      <c r="G223" s="89"/>
      <c r="H223" s="89"/>
      <c r="I223" s="89"/>
      <c r="J223" s="89"/>
      <c r="K223" s="89"/>
      <c r="L223" s="89"/>
      <c r="M223" s="89"/>
      <c r="N223" s="89"/>
      <c r="O223" s="89"/>
      <c r="P223" s="89"/>
      <c r="Q223" s="89"/>
      <c r="R223" s="89"/>
      <c r="S223" s="89"/>
      <c r="T223" s="89"/>
      <c r="U223" s="89"/>
      <c r="V223" s="89"/>
      <c r="W223" s="89"/>
      <c r="X223" s="89"/>
      <c r="Y223" s="89"/>
      <c r="Z223" s="89"/>
      <c r="AA223" s="89"/>
      <c r="AB223" s="89"/>
      <c r="AC223" s="89"/>
      <c r="AD223" s="89"/>
      <c r="AE223" s="89"/>
      <c r="AF223" s="89"/>
      <c r="AG223" s="89"/>
      <c r="AH223" s="89"/>
      <c r="AI223" s="89"/>
      <c r="AJ223" s="89"/>
      <c r="AK223" s="89"/>
      <c r="AL223" s="89"/>
      <c r="AM223" s="89"/>
      <c r="AN223" s="89"/>
      <c r="AO223" s="89"/>
      <c r="AP223" s="89"/>
      <c r="AQ223" s="89"/>
      <c r="AR223" s="89"/>
      <c r="AS223" s="89"/>
      <c r="AT223" s="89"/>
      <c r="AU223" s="89"/>
      <c r="AV223" s="89"/>
      <c r="AW223" s="89"/>
      <c r="AX223" s="89"/>
    </row>
    <row r="224" s="36" customFormat="true" ht="15.75" hidden="false" customHeight="false" outlineLevel="0" collapsed="false">
      <c r="A224" s="89"/>
      <c r="B224" s="89"/>
      <c r="C224" s="89"/>
      <c r="D224" s="89"/>
      <c r="E224" s="89"/>
      <c r="F224" s="89"/>
      <c r="G224" s="89"/>
      <c r="H224" s="89"/>
      <c r="I224" s="89"/>
      <c r="J224" s="89"/>
      <c r="K224" s="89"/>
      <c r="L224" s="89"/>
      <c r="M224" s="89"/>
      <c r="N224" s="89"/>
      <c r="O224" s="89"/>
      <c r="P224" s="89"/>
      <c r="Q224" s="89"/>
      <c r="R224" s="89"/>
      <c r="S224" s="89"/>
      <c r="T224" s="89"/>
      <c r="U224" s="89"/>
      <c r="V224" s="89"/>
      <c r="W224" s="89"/>
      <c r="X224" s="89"/>
      <c r="Y224" s="89"/>
      <c r="Z224" s="89"/>
      <c r="AA224" s="89"/>
      <c r="AB224" s="89"/>
      <c r="AC224" s="89"/>
      <c r="AD224" s="89"/>
      <c r="AE224" s="89"/>
      <c r="AF224" s="89"/>
      <c r="AG224" s="89"/>
      <c r="AH224" s="89"/>
      <c r="AI224" s="89"/>
      <c r="AJ224" s="89"/>
      <c r="AK224" s="89"/>
      <c r="AL224" s="89"/>
      <c r="AM224" s="89"/>
      <c r="AN224" s="89"/>
      <c r="AO224" s="89"/>
      <c r="AP224" s="89"/>
      <c r="AQ224" s="89"/>
      <c r="AR224" s="89"/>
      <c r="AS224" s="89"/>
      <c r="AT224" s="89"/>
      <c r="AU224" s="89"/>
      <c r="AV224" s="89"/>
      <c r="AW224" s="89"/>
      <c r="AX224" s="89"/>
    </row>
    <row r="225" s="36" customFormat="true" ht="15.75" hidden="false" customHeight="false" outlineLevel="0" collapsed="false">
      <c r="A225" s="89"/>
      <c r="B225" s="89"/>
      <c r="C225" s="89"/>
      <c r="D225" s="89"/>
      <c r="E225" s="89"/>
      <c r="F225" s="89"/>
      <c r="G225" s="89"/>
      <c r="H225" s="89"/>
      <c r="I225" s="89"/>
      <c r="J225" s="89"/>
      <c r="K225" s="89"/>
      <c r="L225" s="89"/>
      <c r="M225" s="89"/>
      <c r="N225" s="89"/>
      <c r="O225" s="89"/>
      <c r="P225" s="89"/>
      <c r="Q225" s="89"/>
      <c r="R225" s="89"/>
      <c r="S225" s="89"/>
      <c r="T225" s="89"/>
      <c r="U225" s="89"/>
      <c r="V225" s="89"/>
      <c r="W225" s="89"/>
      <c r="X225" s="89"/>
      <c r="Y225" s="89"/>
      <c r="Z225" s="89"/>
      <c r="AA225" s="89"/>
      <c r="AB225" s="89"/>
      <c r="AC225" s="89"/>
      <c r="AD225" s="89"/>
      <c r="AE225" s="89"/>
      <c r="AF225" s="89"/>
      <c r="AG225" s="89"/>
      <c r="AH225" s="89"/>
      <c r="AI225" s="89"/>
      <c r="AJ225" s="89"/>
      <c r="AK225" s="89"/>
      <c r="AL225" s="89"/>
      <c r="AM225" s="89"/>
      <c r="AN225" s="89"/>
      <c r="AO225" s="89"/>
      <c r="AP225" s="89"/>
      <c r="AQ225" s="89"/>
      <c r="AR225" s="89"/>
      <c r="AS225" s="89"/>
      <c r="AT225" s="89"/>
      <c r="AU225" s="89"/>
      <c r="AV225" s="89"/>
      <c r="AW225" s="89"/>
      <c r="AX225" s="89"/>
    </row>
    <row r="226" s="36" customFormat="true" ht="15.75" hidden="false" customHeight="false" outlineLevel="0" collapsed="false">
      <c r="A226" s="89"/>
      <c r="B226" s="89"/>
      <c r="C226" s="89"/>
      <c r="D226" s="89"/>
      <c r="E226" s="89"/>
      <c r="F226" s="89"/>
      <c r="G226" s="89"/>
      <c r="H226" s="89"/>
      <c r="I226" s="89"/>
      <c r="J226" s="89"/>
      <c r="K226" s="89"/>
      <c r="L226" s="89"/>
      <c r="M226" s="89"/>
      <c r="N226" s="89"/>
      <c r="O226" s="89"/>
      <c r="P226" s="89"/>
      <c r="Q226" s="89"/>
      <c r="R226" s="89"/>
      <c r="S226" s="89"/>
      <c r="T226" s="89"/>
      <c r="U226" s="89"/>
      <c r="V226" s="89"/>
      <c r="W226" s="89"/>
      <c r="X226" s="89"/>
      <c r="Y226" s="89"/>
      <c r="Z226" s="89"/>
      <c r="AA226" s="89"/>
      <c r="AB226" s="89"/>
      <c r="AC226" s="89"/>
      <c r="AD226" s="89"/>
      <c r="AE226" s="89"/>
      <c r="AF226" s="89"/>
      <c r="AG226" s="89"/>
      <c r="AH226" s="89"/>
      <c r="AI226" s="89"/>
      <c r="AJ226" s="89"/>
      <c r="AK226" s="89"/>
      <c r="AL226" s="89"/>
      <c r="AM226" s="89"/>
      <c r="AN226" s="89"/>
      <c r="AO226" s="89"/>
      <c r="AP226" s="89"/>
      <c r="AQ226" s="89"/>
      <c r="AR226" s="89"/>
      <c r="AS226" s="89"/>
      <c r="AT226" s="89"/>
      <c r="AU226" s="89"/>
      <c r="AV226" s="89"/>
      <c r="AW226" s="89"/>
      <c r="AX226" s="89"/>
    </row>
    <row r="227" s="36" customFormat="true" ht="15.75" hidden="false" customHeight="false" outlineLevel="0" collapsed="false">
      <c r="A227" s="89"/>
      <c r="B227" s="89"/>
      <c r="C227" s="89"/>
      <c r="D227" s="89"/>
      <c r="E227" s="89"/>
      <c r="F227" s="89"/>
      <c r="G227" s="89"/>
      <c r="H227" s="89"/>
      <c r="I227" s="89"/>
      <c r="J227" s="89"/>
      <c r="K227" s="89"/>
      <c r="L227" s="89"/>
      <c r="M227" s="89"/>
      <c r="N227" s="89"/>
      <c r="O227" s="89"/>
      <c r="P227" s="89"/>
      <c r="Q227" s="89"/>
      <c r="R227" s="89"/>
      <c r="S227" s="89"/>
      <c r="T227" s="89"/>
      <c r="U227" s="89"/>
      <c r="V227" s="89"/>
      <c r="W227" s="89"/>
      <c r="X227" s="89"/>
      <c r="Y227" s="89"/>
      <c r="Z227" s="89"/>
      <c r="AA227" s="89"/>
      <c r="AB227" s="89"/>
      <c r="AC227" s="89"/>
      <c r="AD227" s="89"/>
      <c r="AE227" s="89"/>
      <c r="AF227" s="89"/>
      <c r="AG227" s="89"/>
      <c r="AH227" s="89"/>
      <c r="AI227" s="89"/>
      <c r="AJ227" s="89"/>
      <c r="AK227" s="89"/>
      <c r="AL227" s="89"/>
      <c r="AM227" s="89"/>
      <c r="AN227" s="89"/>
      <c r="AO227" s="89"/>
      <c r="AP227" s="89"/>
      <c r="AQ227" s="89"/>
      <c r="AR227" s="89"/>
      <c r="AS227" s="89"/>
      <c r="AT227" s="89"/>
      <c r="AU227" s="89"/>
      <c r="AV227" s="89"/>
      <c r="AW227" s="89"/>
      <c r="AX227" s="89"/>
    </row>
    <row r="228" s="36" customFormat="true" ht="15.75" hidden="false" customHeight="false" outlineLevel="0" collapsed="false">
      <c r="A228" s="89"/>
      <c r="B228" s="89"/>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c r="AA228" s="89"/>
      <c r="AB228" s="89"/>
      <c r="AC228" s="89"/>
      <c r="AD228" s="89"/>
      <c r="AE228" s="89"/>
      <c r="AF228" s="89"/>
      <c r="AG228" s="89"/>
      <c r="AH228" s="89"/>
      <c r="AI228" s="89"/>
      <c r="AJ228" s="89"/>
      <c r="AK228" s="89"/>
      <c r="AL228" s="89"/>
      <c r="AM228" s="89"/>
      <c r="AN228" s="89"/>
      <c r="AO228" s="89"/>
      <c r="AP228" s="89"/>
      <c r="AQ228" s="89"/>
      <c r="AR228" s="89"/>
      <c r="AS228" s="89"/>
      <c r="AT228" s="89"/>
      <c r="AU228" s="89"/>
      <c r="AV228" s="89"/>
      <c r="AW228" s="89"/>
      <c r="AX228" s="89"/>
    </row>
    <row r="229" s="36" customFormat="true" ht="15.75" hidden="false" customHeight="false" outlineLevel="0" collapsed="false">
      <c r="A229" s="89"/>
      <c r="B229" s="89"/>
      <c r="C229" s="89"/>
      <c r="D229" s="89"/>
      <c r="E229" s="89"/>
      <c r="F229" s="89"/>
      <c r="G229" s="89"/>
      <c r="H229" s="89"/>
      <c r="I229" s="89"/>
      <c r="J229" s="89"/>
      <c r="K229" s="89"/>
      <c r="L229" s="89"/>
      <c r="M229" s="89"/>
      <c r="N229" s="89"/>
      <c r="O229" s="89"/>
      <c r="P229" s="89"/>
      <c r="Q229" s="89"/>
      <c r="R229" s="89"/>
      <c r="S229" s="89"/>
      <c r="T229" s="89"/>
      <c r="U229" s="89"/>
      <c r="V229" s="89"/>
      <c r="W229" s="89"/>
      <c r="X229" s="89"/>
      <c r="Y229" s="89"/>
      <c r="Z229" s="89"/>
      <c r="AA229" s="89"/>
      <c r="AB229" s="89"/>
      <c r="AC229" s="89"/>
      <c r="AD229" s="89"/>
      <c r="AE229" s="89"/>
      <c r="AF229" s="89"/>
      <c r="AG229" s="89"/>
      <c r="AH229" s="89"/>
      <c r="AI229" s="89"/>
      <c r="AJ229" s="89"/>
      <c r="AK229" s="89"/>
      <c r="AL229" s="89"/>
      <c r="AM229" s="89"/>
      <c r="AN229" s="89"/>
      <c r="AO229" s="89"/>
      <c r="AP229" s="89"/>
      <c r="AQ229" s="89"/>
      <c r="AR229" s="89"/>
      <c r="AS229" s="89"/>
      <c r="AT229" s="89"/>
      <c r="AU229" s="89"/>
      <c r="AV229" s="89"/>
      <c r="AW229" s="89"/>
      <c r="AX229" s="89"/>
    </row>
    <row r="230" s="36" customFormat="true" ht="15.75" hidden="false" customHeight="false" outlineLevel="0" collapsed="false">
      <c r="A230" s="89"/>
      <c r="B230" s="89"/>
      <c r="C230" s="89"/>
      <c r="D230" s="89"/>
      <c r="E230" s="89"/>
      <c r="F230" s="89"/>
      <c r="G230" s="89"/>
      <c r="H230" s="89"/>
      <c r="I230" s="89"/>
      <c r="J230" s="89"/>
      <c r="K230" s="89"/>
      <c r="L230" s="89"/>
      <c r="M230" s="89"/>
      <c r="N230" s="89"/>
      <c r="O230" s="89"/>
      <c r="P230" s="89"/>
      <c r="Q230" s="89"/>
      <c r="R230" s="89"/>
      <c r="S230" s="89"/>
      <c r="T230" s="89"/>
      <c r="U230" s="89"/>
      <c r="V230" s="89"/>
      <c r="W230" s="89"/>
      <c r="X230" s="89"/>
      <c r="Y230" s="89"/>
      <c r="Z230" s="89"/>
      <c r="AA230" s="89"/>
      <c r="AB230" s="89"/>
      <c r="AC230" s="89"/>
      <c r="AD230" s="89"/>
      <c r="AE230" s="89"/>
      <c r="AF230" s="89"/>
      <c r="AG230" s="89"/>
      <c r="AH230" s="89"/>
      <c r="AI230" s="89"/>
      <c r="AJ230" s="89"/>
      <c r="AK230" s="89"/>
      <c r="AL230" s="89"/>
      <c r="AM230" s="89"/>
      <c r="AN230" s="89"/>
      <c r="AO230" s="89"/>
      <c r="AP230" s="89"/>
      <c r="AQ230" s="89"/>
      <c r="AR230" s="89"/>
      <c r="AS230" s="89"/>
      <c r="AT230" s="89"/>
      <c r="AU230" s="89"/>
      <c r="AV230" s="89"/>
      <c r="AW230" s="89"/>
      <c r="AX230" s="89"/>
    </row>
    <row r="231" s="36" customFormat="true" ht="15.75" hidden="false" customHeight="false" outlineLevel="0" collapsed="false">
      <c r="A231" s="89"/>
      <c r="B231" s="89"/>
      <c r="C231" s="89"/>
      <c r="D231" s="89"/>
      <c r="E231" s="89"/>
      <c r="F231" s="89"/>
      <c r="G231" s="89"/>
      <c r="H231" s="89"/>
      <c r="I231" s="89"/>
      <c r="J231" s="89"/>
      <c r="K231" s="89"/>
      <c r="L231" s="89"/>
      <c r="M231" s="89"/>
      <c r="N231" s="89"/>
      <c r="O231" s="89"/>
      <c r="P231" s="89"/>
      <c r="Q231" s="89"/>
      <c r="R231" s="89"/>
      <c r="S231" s="89"/>
      <c r="T231" s="89"/>
      <c r="U231" s="89"/>
      <c r="V231" s="89"/>
      <c r="W231" s="89"/>
      <c r="X231" s="89"/>
      <c r="Y231" s="89"/>
      <c r="Z231" s="89"/>
      <c r="AA231" s="89"/>
      <c r="AB231" s="89"/>
      <c r="AC231" s="89"/>
      <c r="AD231" s="89"/>
      <c r="AE231" s="89"/>
      <c r="AF231" s="89"/>
      <c r="AG231" s="89"/>
      <c r="AH231" s="89"/>
      <c r="AI231" s="89"/>
      <c r="AJ231" s="89"/>
      <c r="AK231" s="89"/>
      <c r="AL231" s="89"/>
      <c r="AM231" s="89"/>
      <c r="AN231" s="89"/>
      <c r="AO231" s="89"/>
      <c r="AP231" s="89"/>
      <c r="AQ231" s="89"/>
      <c r="AR231" s="89"/>
      <c r="AS231" s="89"/>
      <c r="AT231" s="89"/>
      <c r="AU231" s="89"/>
      <c r="AV231" s="89"/>
      <c r="AW231" s="89"/>
      <c r="AX231" s="89"/>
    </row>
    <row r="232" s="36" customFormat="true" ht="15.75" hidden="false" customHeight="false" outlineLevel="0" collapsed="false">
      <c r="A232" s="89"/>
      <c r="B232" s="89"/>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c r="AA232" s="89"/>
      <c r="AB232" s="89"/>
      <c r="AC232" s="89"/>
      <c r="AD232" s="89"/>
      <c r="AE232" s="89"/>
      <c r="AF232" s="89"/>
      <c r="AG232" s="89"/>
      <c r="AH232" s="89"/>
      <c r="AI232" s="89"/>
      <c r="AJ232" s="89"/>
      <c r="AK232" s="89"/>
      <c r="AL232" s="89"/>
      <c r="AM232" s="89"/>
      <c r="AN232" s="89"/>
      <c r="AO232" s="89"/>
      <c r="AP232" s="89"/>
      <c r="AQ232" s="89"/>
      <c r="AR232" s="89"/>
      <c r="AS232" s="89"/>
      <c r="AT232" s="89"/>
      <c r="AU232" s="89"/>
      <c r="AV232" s="89"/>
      <c r="AW232" s="89"/>
      <c r="AX232" s="89"/>
    </row>
    <row r="233" s="36" customFormat="true" ht="15.75" hidden="false" customHeight="false" outlineLevel="0" collapsed="false">
      <c r="A233" s="89"/>
      <c r="B233" s="89"/>
      <c r="C233" s="89"/>
      <c r="D233" s="89"/>
      <c r="E233" s="89"/>
      <c r="F233" s="89"/>
      <c r="G233" s="89"/>
      <c r="H233" s="89"/>
      <c r="I233" s="89"/>
      <c r="J233" s="89"/>
      <c r="K233" s="89"/>
      <c r="L233" s="89"/>
      <c r="M233" s="89"/>
      <c r="N233" s="89"/>
      <c r="O233" s="89"/>
      <c r="P233" s="89"/>
      <c r="Q233" s="89"/>
      <c r="R233" s="89"/>
      <c r="S233" s="89"/>
      <c r="T233" s="89"/>
      <c r="U233" s="89"/>
      <c r="V233" s="89"/>
      <c r="W233" s="89"/>
      <c r="X233" s="89"/>
      <c r="Y233" s="89"/>
      <c r="Z233" s="89"/>
      <c r="AA233" s="89"/>
      <c r="AB233" s="89"/>
      <c r="AC233" s="89"/>
      <c r="AD233" s="89"/>
      <c r="AE233" s="89"/>
      <c r="AF233" s="89"/>
      <c r="AG233" s="89"/>
      <c r="AH233" s="89"/>
      <c r="AI233" s="89"/>
      <c r="AJ233" s="89"/>
      <c r="AK233" s="89"/>
      <c r="AL233" s="89"/>
      <c r="AM233" s="89"/>
      <c r="AN233" s="89"/>
      <c r="AO233" s="89"/>
      <c r="AP233" s="89"/>
      <c r="AQ233" s="89"/>
      <c r="AR233" s="89"/>
      <c r="AS233" s="89"/>
      <c r="AT233" s="89"/>
      <c r="AU233" s="89"/>
      <c r="AV233" s="89"/>
      <c r="AW233" s="89"/>
      <c r="AX233" s="89"/>
    </row>
    <row r="234" s="36" customFormat="true" ht="15.75" hidden="false" customHeight="false" outlineLevel="0" collapsed="false">
      <c r="A234" s="89"/>
      <c r="B234" s="89"/>
      <c r="C234" s="89"/>
      <c r="D234" s="89"/>
      <c r="E234" s="89"/>
      <c r="F234" s="89"/>
      <c r="G234" s="89"/>
      <c r="H234" s="89"/>
      <c r="I234" s="89"/>
      <c r="J234" s="89"/>
      <c r="K234" s="89"/>
      <c r="L234" s="89"/>
      <c r="M234" s="89"/>
      <c r="N234" s="89"/>
      <c r="O234" s="89"/>
      <c r="P234" s="89"/>
      <c r="Q234" s="89"/>
      <c r="R234" s="89"/>
      <c r="S234" s="89"/>
      <c r="T234" s="89"/>
      <c r="U234" s="89"/>
      <c r="V234" s="89"/>
      <c r="W234" s="89"/>
      <c r="X234" s="89"/>
      <c r="Y234" s="89"/>
      <c r="Z234" s="89"/>
      <c r="AA234" s="89"/>
      <c r="AB234" s="89"/>
      <c r="AC234" s="89"/>
      <c r="AD234" s="89"/>
      <c r="AE234" s="89"/>
      <c r="AF234" s="89"/>
      <c r="AG234" s="89"/>
      <c r="AH234" s="89"/>
      <c r="AI234" s="89"/>
      <c r="AJ234" s="89"/>
      <c r="AK234" s="89"/>
      <c r="AL234" s="89"/>
      <c r="AM234" s="89"/>
      <c r="AN234" s="89"/>
      <c r="AO234" s="89"/>
      <c r="AP234" s="89"/>
      <c r="AQ234" s="89"/>
      <c r="AR234" s="89"/>
      <c r="AS234" s="89"/>
      <c r="AT234" s="89"/>
      <c r="AU234" s="89"/>
      <c r="AV234" s="89"/>
      <c r="AW234" s="89"/>
      <c r="AX234" s="89"/>
    </row>
    <row r="235" s="36" customFormat="true" ht="15.75" hidden="false" customHeight="false" outlineLevel="0" collapsed="false">
      <c r="A235" s="89"/>
      <c r="B235" s="89"/>
      <c r="C235" s="89"/>
      <c r="D235" s="89"/>
      <c r="E235" s="89"/>
      <c r="F235" s="89"/>
      <c r="G235" s="89"/>
      <c r="H235" s="89"/>
      <c r="I235" s="89"/>
      <c r="J235" s="89"/>
      <c r="K235" s="89"/>
      <c r="L235" s="89"/>
      <c r="M235" s="89"/>
      <c r="N235" s="89"/>
      <c r="O235" s="89"/>
      <c r="P235" s="89"/>
      <c r="Q235" s="89"/>
      <c r="R235" s="89"/>
      <c r="S235" s="89"/>
      <c r="T235" s="89"/>
      <c r="U235" s="89"/>
      <c r="V235" s="89"/>
      <c r="W235" s="89"/>
      <c r="X235" s="89"/>
      <c r="Y235" s="89"/>
      <c r="Z235" s="89"/>
      <c r="AA235" s="89"/>
      <c r="AB235" s="89"/>
      <c r="AC235" s="89"/>
      <c r="AD235" s="89"/>
      <c r="AE235" s="89"/>
      <c r="AF235" s="89"/>
      <c r="AG235" s="89"/>
      <c r="AH235" s="89"/>
      <c r="AI235" s="89"/>
      <c r="AJ235" s="89"/>
      <c r="AK235" s="89"/>
      <c r="AL235" s="89"/>
      <c r="AM235" s="89"/>
      <c r="AN235" s="89"/>
      <c r="AO235" s="89"/>
      <c r="AP235" s="89"/>
      <c r="AQ235" s="89"/>
      <c r="AR235" s="89"/>
      <c r="AS235" s="89"/>
      <c r="AT235" s="89"/>
      <c r="AU235" s="89"/>
      <c r="AV235" s="89"/>
      <c r="AW235" s="89"/>
      <c r="AX235" s="89"/>
    </row>
    <row r="236" s="36" customFormat="true" ht="15.75" hidden="false" customHeight="false" outlineLevel="0" collapsed="false">
      <c r="A236" s="89"/>
      <c r="B236" s="89"/>
      <c r="C236" s="89"/>
      <c r="D236" s="89"/>
      <c r="E236" s="89"/>
      <c r="F236" s="89"/>
      <c r="G236" s="89"/>
      <c r="H236" s="89"/>
      <c r="I236" s="89"/>
      <c r="J236" s="89"/>
      <c r="K236" s="89"/>
      <c r="L236" s="89"/>
      <c r="M236" s="89"/>
      <c r="N236" s="89"/>
      <c r="O236" s="89"/>
      <c r="P236" s="89"/>
      <c r="Q236" s="89"/>
      <c r="R236" s="89"/>
      <c r="S236" s="89"/>
      <c r="T236" s="89"/>
      <c r="U236" s="89"/>
      <c r="V236" s="89"/>
      <c r="W236" s="89"/>
      <c r="X236" s="89"/>
      <c r="Y236" s="89"/>
      <c r="Z236" s="89"/>
      <c r="AA236" s="89"/>
      <c r="AB236" s="89"/>
      <c r="AC236" s="89"/>
      <c r="AD236" s="89"/>
      <c r="AE236" s="89"/>
      <c r="AF236" s="89"/>
      <c r="AG236" s="89"/>
      <c r="AH236" s="89"/>
      <c r="AI236" s="89"/>
      <c r="AJ236" s="89"/>
      <c r="AK236" s="89"/>
      <c r="AL236" s="89"/>
      <c r="AM236" s="89"/>
      <c r="AN236" s="89"/>
      <c r="AO236" s="89"/>
      <c r="AP236" s="89"/>
      <c r="AQ236" s="89"/>
      <c r="AR236" s="89"/>
      <c r="AS236" s="89"/>
      <c r="AT236" s="89"/>
      <c r="AU236" s="89"/>
      <c r="AV236" s="89"/>
      <c r="AW236" s="89"/>
      <c r="AX236" s="89"/>
    </row>
    <row r="237" s="36" customFormat="true" ht="15.75" hidden="false" customHeight="false" outlineLevel="0" collapsed="false">
      <c r="A237" s="89"/>
      <c r="B237" s="89"/>
      <c r="C237" s="89"/>
      <c r="D237" s="89"/>
      <c r="E237" s="89"/>
      <c r="F237" s="89"/>
      <c r="G237" s="89"/>
      <c r="H237" s="89"/>
      <c r="I237" s="89"/>
      <c r="J237" s="89"/>
      <c r="K237" s="89"/>
      <c r="L237" s="89"/>
      <c r="M237" s="89"/>
      <c r="N237" s="89"/>
      <c r="O237" s="89"/>
      <c r="P237" s="89"/>
      <c r="Q237" s="89"/>
      <c r="R237" s="89"/>
      <c r="S237" s="89"/>
      <c r="T237" s="89"/>
      <c r="U237" s="89"/>
      <c r="V237" s="89"/>
      <c r="W237" s="89"/>
      <c r="X237" s="89"/>
      <c r="Y237" s="89"/>
      <c r="Z237" s="89"/>
      <c r="AA237" s="89"/>
      <c r="AB237" s="89"/>
      <c r="AC237" s="89"/>
      <c r="AD237" s="89"/>
      <c r="AE237" s="89"/>
      <c r="AF237" s="89"/>
      <c r="AG237" s="89"/>
      <c r="AH237" s="89"/>
      <c r="AI237" s="89"/>
      <c r="AJ237" s="89"/>
      <c r="AK237" s="89"/>
      <c r="AL237" s="89"/>
      <c r="AM237" s="89"/>
      <c r="AN237" s="89"/>
      <c r="AO237" s="89"/>
      <c r="AP237" s="89"/>
      <c r="AQ237" s="89"/>
      <c r="AR237" s="89"/>
      <c r="AS237" s="89"/>
      <c r="AT237" s="89"/>
      <c r="AU237" s="89"/>
      <c r="AV237" s="89"/>
      <c r="AW237" s="89"/>
      <c r="AX237" s="89"/>
    </row>
    <row r="238" s="36" customFormat="true" ht="15.75" hidden="false" customHeight="false" outlineLevel="0" collapsed="false">
      <c r="A238" s="89"/>
      <c r="B238" s="89"/>
      <c r="C238" s="89"/>
      <c r="D238" s="89"/>
      <c r="E238" s="89"/>
      <c r="F238" s="89"/>
      <c r="G238" s="89"/>
      <c r="H238" s="89"/>
      <c r="I238" s="89"/>
      <c r="J238" s="89"/>
      <c r="K238" s="89"/>
      <c r="L238" s="89"/>
      <c r="M238" s="89"/>
      <c r="N238" s="89"/>
      <c r="O238" s="89"/>
      <c r="P238" s="89"/>
      <c r="Q238" s="89"/>
      <c r="R238" s="89"/>
      <c r="S238" s="89"/>
      <c r="T238" s="89"/>
      <c r="U238" s="89"/>
      <c r="V238" s="89"/>
      <c r="W238" s="89"/>
      <c r="X238" s="89"/>
      <c r="Y238" s="89"/>
      <c r="Z238" s="89"/>
      <c r="AA238" s="89"/>
      <c r="AB238" s="89"/>
      <c r="AC238" s="89"/>
      <c r="AD238" s="89"/>
      <c r="AE238" s="89"/>
      <c r="AF238" s="89"/>
      <c r="AG238" s="89"/>
      <c r="AH238" s="89"/>
      <c r="AI238" s="89"/>
      <c r="AJ238" s="89"/>
      <c r="AK238" s="89"/>
      <c r="AL238" s="89"/>
      <c r="AM238" s="89"/>
      <c r="AN238" s="89"/>
      <c r="AO238" s="89"/>
      <c r="AP238" s="89"/>
      <c r="AQ238" s="89"/>
      <c r="AR238" s="89"/>
      <c r="AS238" s="89"/>
      <c r="AT238" s="89"/>
      <c r="AU238" s="89"/>
      <c r="AV238" s="89"/>
      <c r="AW238" s="89"/>
      <c r="AX238" s="89"/>
    </row>
    <row r="239" s="36" customFormat="true" ht="15.75" hidden="false" customHeight="false" outlineLevel="0" collapsed="false">
      <c r="A239" s="89"/>
      <c r="B239" s="89"/>
      <c r="C239" s="89"/>
      <c r="D239" s="89"/>
      <c r="E239" s="89"/>
      <c r="F239" s="89"/>
      <c r="G239" s="89"/>
      <c r="H239" s="89"/>
      <c r="I239" s="89"/>
      <c r="J239" s="89"/>
      <c r="K239" s="89"/>
      <c r="L239" s="89"/>
      <c r="M239" s="89"/>
      <c r="N239" s="89"/>
      <c r="O239" s="89"/>
      <c r="P239" s="89"/>
      <c r="Q239" s="89"/>
      <c r="R239" s="89"/>
      <c r="S239" s="89"/>
      <c r="T239" s="89"/>
      <c r="U239" s="89"/>
      <c r="V239" s="89"/>
      <c r="W239" s="89"/>
      <c r="X239" s="89"/>
      <c r="Y239" s="89"/>
      <c r="Z239" s="89"/>
      <c r="AA239" s="89"/>
      <c r="AB239" s="89"/>
      <c r="AC239" s="89"/>
      <c r="AD239" s="89"/>
      <c r="AE239" s="89"/>
      <c r="AF239" s="89"/>
      <c r="AG239" s="89"/>
      <c r="AH239" s="89"/>
      <c r="AI239" s="89"/>
      <c r="AJ239" s="89"/>
      <c r="AK239" s="89"/>
      <c r="AL239" s="89"/>
      <c r="AM239" s="89"/>
      <c r="AN239" s="89"/>
      <c r="AO239" s="89"/>
      <c r="AP239" s="89"/>
      <c r="AQ239" s="89"/>
      <c r="AR239" s="89"/>
      <c r="AS239" s="89"/>
      <c r="AT239" s="89"/>
      <c r="AU239" s="89"/>
      <c r="AV239" s="89"/>
      <c r="AW239" s="89"/>
      <c r="AX239" s="89"/>
    </row>
    <row r="240" s="91" customFormat="true" ht="15.75" hidden="false" customHeight="false" outlineLevel="0" collapsed="false">
      <c r="A240" s="90"/>
      <c r="B240" s="90"/>
      <c r="C240" s="90"/>
      <c r="D240" s="90"/>
      <c r="E240" s="89"/>
      <c r="F240" s="90"/>
      <c r="G240" s="90"/>
      <c r="H240" s="90"/>
      <c r="I240" s="90"/>
      <c r="J240" s="90"/>
      <c r="K240" s="90"/>
      <c r="L240" s="90"/>
      <c r="M240" s="90"/>
      <c r="N240" s="90"/>
      <c r="O240" s="90"/>
      <c r="P240" s="90"/>
      <c r="Q240" s="90"/>
      <c r="R240" s="90"/>
      <c r="S240" s="90"/>
      <c r="T240" s="90"/>
      <c r="U240" s="90"/>
      <c r="V240" s="90"/>
      <c r="W240" s="90"/>
      <c r="X240" s="90"/>
      <c r="Y240" s="90"/>
      <c r="Z240" s="90"/>
      <c r="AA240" s="90"/>
      <c r="AB240" s="90"/>
      <c r="AC240" s="90"/>
      <c r="AD240" s="90"/>
      <c r="AE240" s="90"/>
      <c r="AF240" s="90"/>
      <c r="AG240" s="90"/>
      <c r="AH240" s="90"/>
      <c r="AI240" s="90"/>
      <c r="AJ240" s="90"/>
      <c r="AK240" s="90"/>
      <c r="AL240" s="90"/>
      <c r="AM240" s="90"/>
      <c r="AN240" s="90"/>
      <c r="AO240" s="90"/>
      <c r="AP240" s="90"/>
      <c r="AQ240" s="90"/>
      <c r="AR240" s="90"/>
      <c r="AS240" s="90"/>
      <c r="AT240" s="90"/>
      <c r="AU240" s="90"/>
      <c r="AV240" s="90"/>
      <c r="AW240" s="90"/>
      <c r="AX240" s="90"/>
    </row>
    <row r="241" s="91" customFormat="true" ht="15.75" hidden="false" customHeight="false" outlineLevel="0" collapsed="false">
      <c r="A241" s="90"/>
      <c r="B241" s="90"/>
      <c r="C241" s="90"/>
      <c r="D241" s="90"/>
      <c r="E241" s="89"/>
      <c r="F241" s="90"/>
      <c r="G241" s="90"/>
      <c r="H241" s="90"/>
      <c r="I241" s="90"/>
      <c r="J241" s="90"/>
      <c r="K241" s="90"/>
      <c r="L241" s="90"/>
      <c r="M241" s="90"/>
      <c r="N241" s="90"/>
      <c r="O241" s="90"/>
      <c r="P241" s="90"/>
      <c r="Q241" s="90"/>
      <c r="R241" s="90"/>
      <c r="S241" s="90"/>
      <c r="T241" s="90"/>
      <c r="U241" s="90"/>
      <c r="V241" s="90"/>
      <c r="W241" s="90"/>
      <c r="X241" s="90"/>
      <c r="Y241" s="90"/>
      <c r="Z241" s="90"/>
      <c r="AA241" s="90"/>
      <c r="AB241" s="90"/>
      <c r="AC241" s="90"/>
      <c r="AD241" s="90"/>
      <c r="AE241" s="90"/>
      <c r="AF241" s="90"/>
      <c r="AG241" s="90"/>
      <c r="AH241" s="90"/>
      <c r="AI241" s="90"/>
      <c r="AJ241" s="90"/>
      <c r="AK241" s="90"/>
      <c r="AL241" s="90"/>
      <c r="AM241" s="90"/>
      <c r="AN241" s="90"/>
      <c r="AO241" s="90"/>
      <c r="AP241" s="90"/>
      <c r="AQ241" s="90"/>
      <c r="AR241" s="90"/>
      <c r="AS241" s="90"/>
      <c r="AT241" s="90"/>
      <c r="AU241" s="90"/>
      <c r="AV241" s="90"/>
      <c r="AW241" s="90"/>
      <c r="AX241" s="90"/>
    </row>
    <row r="242" s="91" customFormat="true" ht="15.75" hidden="false" customHeight="false" outlineLevel="0" collapsed="false">
      <c r="A242" s="90"/>
      <c r="B242" s="90"/>
      <c r="C242" s="90"/>
      <c r="D242" s="90"/>
      <c r="E242" s="89"/>
      <c r="F242" s="90"/>
      <c r="G242" s="90"/>
      <c r="H242" s="90"/>
      <c r="I242" s="90"/>
      <c r="J242" s="90"/>
      <c r="K242" s="90"/>
      <c r="L242" s="90"/>
      <c r="M242" s="90"/>
      <c r="N242" s="90"/>
      <c r="O242" s="90"/>
      <c r="P242" s="90"/>
      <c r="Q242" s="90"/>
      <c r="R242" s="90"/>
      <c r="S242" s="90"/>
      <c r="T242" s="90"/>
      <c r="U242" s="90"/>
      <c r="V242" s="90"/>
      <c r="W242" s="90"/>
      <c r="X242" s="90"/>
      <c r="Y242" s="90"/>
      <c r="Z242" s="90"/>
      <c r="AA242" s="90"/>
      <c r="AB242" s="90"/>
      <c r="AC242" s="90"/>
      <c r="AD242" s="90"/>
      <c r="AE242" s="90"/>
      <c r="AF242" s="90"/>
      <c r="AG242" s="90"/>
      <c r="AH242" s="90"/>
      <c r="AI242" s="90"/>
      <c r="AJ242" s="90"/>
      <c r="AK242" s="90"/>
      <c r="AL242" s="90"/>
      <c r="AM242" s="90"/>
      <c r="AN242" s="90"/>
      <c r="AO242" s="90"/>
      <c r="AP242" s="90"/>
      <c r="AQ242" s="90"/>
      <c r="AR242" s="90"/>
      <c r="AS242" s="90"/>
      <c r="AT242" s="90"/>
      <c r="AU242" s="90"/>
      <c r="AV242" s="90"/>
      <c r="AW242" s="90"/>
      <c r="AX242" s="90"/>
    </row>
    <row r="243" s="91" customFormat="true" ht="15.75" hidden="false" customHeight="false" outlineLevel="0" collapsed="false">
      <c r="A243" s="90"/>
      <c r="B243" s="90"/>
      <c r="C243" s="90"/>
      <c r="D243" s="90"/>
      <c r="E243" s="89"/>
      <c r="F243" s="90"/>
      <c r="G243" s="90"/>
      <c r="H243" s="90"/>
      <c r="I243" s="90"/>
      <c r="J243" s="90"/>
      <c r="K243" s="90"/>
      <c r="L243" s="90"/>
      <c r="M243" s="90"/>
      <c r="N243" s="90"/>
      <c r="O243" s="90"/>
      <c r="P243" s="90"/>
      <c r="Q243" s="90"/>
      <c r="R243" s="90"/>
      <c r="S243" s="90"/>
      <c r="T243" s="90"/>
      <c r="U243" s="90"/>
      <c r="V243" s="90"/>
      <c r="W243" s="90"/>
      <c r="X243" s="90"/>
      <c r="Y243" s="90"/>
      <c r="Z243" s="90"/>
      <c r="AA243" s="90"/>
      <c r="AB243" s="90"/>
      <c r="AC243" s="90"/>
      <c r="AD243" s="90"/>
      <c r="AE243" s="90"/>
      <c r="AF243" s="90"/>
      <c r="AG243" s="90"/>
      <c r="AH243" s="90"/>
      <c r="AI243" s="90"/>
      <c r="AJ243" s="90"/>
      <c r="AK243" s="90"/>
      <c r="AL243" s="90"/>
      <c r="AM243" s="90"/>
      <c r="AN243" s="90"/>
      <c r="AO243" s="90"/>
      <c r="AP243" s="90"/>
      <c r="AQ243" s="90"/>
      <c r="AR243" s="90"/>
      <c r="AS243" s="90"/>
      <c r="AT243" s="90"/>
      <c r="AU243" s="90"/>
      <c r="AV243" s="90"/>
      <c r="AW243" s="90"/>
      <c r="AX243" s="90"/>
    </row>
    <row r="244" s="91" customFormat="true" ht="15.75" hidden="false" customHeight="false" outlineLevel="0" collapsed="false">
      <c r="A244" s="90"/>
      <c r="B244" s="90"/>
      <c r="C244" s="90"/>
      <c r="D244" s="90"/>
      <c r="E244" s="89"/>
      <c r="F244" s="90"/>
      <c r="G244" s="90"/>
      <c r="H244" s="90"/>
      <c r="I244" s="90"/>
      <c r="J244" s="90"/>
      <c r="K244" s="90"/>
      <c r="L244" s="90"/>
      <c r="M244" s="90"/>
      <c r="N244" s="90"/>
      <c r="O244" s="90"/>
      <c r="P244" s="90"/>
      <c r="Q244" s="90"/>
      <c r="R244" s="90"/>
      <c r="S244" s="90"/>
      <c r="T244" s="90"/>
      <c r="U244" s="90"/>
      <c r="V244" s="90"/>
      <c r="W244" s="90"/>
      <c r="X244" s="90"/>
      <c r="Y244" s="90"/>
      <c r="Z244" s="90"/>
      <c r="AA244" s="90"/>
      <c r="AB244" s="90"/>
      <c r="AC244" s="90"/>
      <c r="AD244" s="90"/>
      <c r="AE244" s="90"/>
      <c r="AF244" s="90"/>
      <c r="AG244" s="90"/>
      <c r="AH244" s="90"/>
      <c r="AI244" s="90"/>
      <c r="AJ244" s="90"/>
      <c r="AK244" s="90"/>
      <c r="AL244" s="90"/>
      <c r="AM244" s="90"/>
      <c r="AN244" s="90"/>
      <c r="AO244" s="90"/>
      <c r="AP244" s="90"/>
      <c r="AQ244" s="90"/>
      <c r="AR244" s="90"/>
      <c r="AS244" s="90"/>
      <c r="AT244" s="90"/>
      <c r="AU244" s="90"/>
      <c r="AV244" s="90"/>
      <c r="AW244" s="90"/>
      <c r="AX244" s="90"/>
    </row>
    <row r="245" s="91" customFormat="true" ht="15.75" hidden="false" customHeight="false" outlineLevel="0" collapsed="false">
      <c r="A245" s="90"/>
      <c r="B245" s="90"/>
      <c r="C245" s="90"/>
      <c r="D245" s="90"/>
      <c r="E245" s="89"/>
      <c r="F245" s="90"/>
      <c r="G245" s="90"/>
      <c r="H245" s="90"/>
      <c r="I245" s="90"/>
      <c r="J245" s="90"/>
      <c r="K245" s="90"/>
      <c r="L245" s="90"/>
      <c r="M245" s="90"/>
      <c r="N245" s="90"/>
      <c r="O245" s="90"/>
      <c r="P245" s="90"/>
      <c r="Q245" s="90"/>
      <c r="R245" s="90"/>
      <c r="S245" s="90"/>
      <c r="T245" s="90"/>
      <c r="U245" s="90"/>
      <c r="V245" s="90"/>
      <c r="W245" s="90"/>
      <c r="X245" s="90"/>
      <c r="Y245" s="90"/>
      <c r="Z245" s="90"/>
      <c r="AA245" s="90"/>
      <c r="AB245" s="90"/>
      <c r="AC245" s="90"/>
      <c r="AD245" s="90"/>
      <c r="AE245" s="90"/>
      <c r="AF245" s="90"/>
      <c r="AG245" s="90"/>
      <c r="AH245" s="90"/>
      <c r="AI245" s="90"/>
      <c r="AJ245" s="90"/>
      <c r="AK245" s="90"/>
      <c r="AL245" s="90"/>
      <c r="AM245" s="90"/>
      <c r="AN245" s="90"/>
      <c r="AO245" s="90"/>
      <c r="AP245" s="90"/>
      <c r="AQ245" s="90"/>
      <c r="AR245" s="90"/>
      <c r="AS245" s="90"/>
      <c r="AT245" s="90"/>
      <c r="AU245" s="90"/>
      <c r="AV245" s="90"/>
      <c r="AW245" s="90"/>
      <c r="AX245" s="90"/>
    </row>
    <row r="246" s="91" customFormat="true" ht="15.75" hidden="false" customHeight="false" outlineLevel="0" collapsed="false">
      <c r="A246" s="90"/>
      <c r="B246" s="90"/>
      <c r="C246" s="90"/>
      <c r="D246" s="90"/>
      <c r="E246" s="89"/>
      <c r="F246" s="90"/>
      <c r="G246" s="90"/>
      <c r="H246" s="90"/>
      <c r="I246" s="90"/>
      <c r="J246" s="90"/>
      <c r="K246" s="90"/>
      <c r="L246" s="90"/>
      <c r="M246" s="90"/>
      <c r="N246" s="90"/>
      <c r="O246" s="90"/>
      <c r="P246" s="90"/>
      <c r="Q246" s="90"/>
      <c r="R246" s="90"/>
      <c r="S246" s="90"/>
      <c r="T246" s="90"/>
      <c r="U246" s="90"/>
      <c r="V246" s="90"/>
      <c r="W246" s="90"/>
      <c r="X246" s="90"/>
      <c r="Y246" s="90"/>
      <c r="Z246" s="90"/>
      <c r="AA246" s="90"/>
      <c r="AB246" s="90"/>
      <c r="AC246" s="90"/>
      <c r="AD246" s="90"/>
      <c r="AE246" s="90"/>
      <c r="AF246" s="90"/>
      <c r="AG246" s="90"/>
      <c r="AH246" s="90"/>
      <c r="AI246" s="90"/>
      <c r="AJ246" s="90"/>
      <c r="AK246" s="90"/>
      <c r="AL246" s="90"/>
      <c r="AM246" s="90"/>
      <c r="AN246" s="90"/>
      <c r="AO246" s="90"/>
      <c r="AP246" s="90"/>
      <c r="AQ246" s="90"/>
      <c r="AR246" s="90"/>
      <c r="AS246" s="90"/>
      <c r="AT246" s="90"/>
      <c r="AU246" s="90"/>
      <c r="AV246" s="90"/>
      <c r="AW246" s="90"/>
      <c r="AX246" s="90"/>
    </row>
    <row r="247" s="91" customFormat="true" ht="15.75" hidden="false" customHeight="false" outlineLevel="0" collapsed="false">
      <c r="A247" s="90"/>
      <c r="B247" s="90"/>
      <c r="C247" s="90"/>
      <c r="D247" s="90"/>
      <c r="E247" s="89"/>
      <c r="F247" s="90"/>
      <c r="G247" s="90"/>
      <c r="H247" s="90"/>
      <c r="I247" s="90"/>
      <c r="J247" s="90"/>
      <c r="K247" s="90"/>
      <c r="L247" s="90"/>
      <c r="M247" s="90"/>
      <c r="N247" s="90"/>
      <c r="O247" s="90"/>
      <c r="P247" s="90"/>
      <c r="Q247" s="90"/>
      <c r="R247" s="90"/>
      <c r="S247" s="90"/>
      <c r="T247" s="90"/>
      <c r="U247" s="90"/>
      <c r="V247" s="90"/>
      <c r="W247" s="90"/>
      <c r="X247" s="90"/>
      <c r="Y247" s="90"/>
      <c r="Z247" s="90"/>
      <c r="AA247" s="90"/>
      <c r="AB247" s="90"/>
      <c r="AC247" s="90"/>
      <c r="AD247" s="90"/>
      <c r="AE247" s="90"/>
      <c r="AF247" s="90"/>
      <c r="AG247" s="90"/>
      <c r="AH247" s="90"/>
      <c r="AI247" s="90"/>
      <c r="AJ247" s="90"/>
      <c r="AK247" s="90"/>
      <c r="AL247" s="90"/>
      <c r="AM247" s="90"/>
      <c r="AN247" s="90"/>
      <c r="AO247" s="90"/>
      <c r="AP247" s="90"/>
      <c r="AQ247" s="90"/>
      <c r="AR247" s="90"/>
      <c r="AS247" s="90"/>
      <c r="AT247" s="90"/>
      <c r="AU247" s="90"/>
      <c r="AV247" s="90"/>
      <c r="AW247" s="90"/>
      <c r="AX247" s="90"/>
    </row>
    <row r="248" s="91" customFormat="true" ht="15.75" hidden="false" customHeight="false" outlineLevel="0" collapsed="false">
      <c r="A248" s="90"/>
      <c r="B248" s="90"/>
      <c r="C248" s="90"/>
      <c r="D248" s="90"/>
      <c r="E248" s="89"/>
      <c r="F248" s="90"/>
      <c r="G248" s="90"/>
      <c r="H248" s="90"/>
      <c r="I248" s="90"/>
      <c r="J248" s="90"/>
      <c r="K248" s="90"/>
      <c r="L248" s="90"/>
      <c r="M248" s="90"/>
      <c r="N248" s="90"/>
      <c r="O248" s="90"/>
      <c r="P248" s="90"/>
      <c r="Q248" s="90"/>
      <c r="R248" s="90"/>
      <c r="S248" s="90"/>
      <c r="T248" s="90"/>
      <c r="U248" s="90"/>
      <c r="V248" s="90"/>
      <c r="W248" s="90"/>
      <c r="X248" s="90"/>
      <c r="Y248" s="90"/>
      <c r="Z248" s="90"/>
      <c r="AA248" s="90"/>
      <c r="AB248" s="90"/>
      <c r="AC248" s="90"/>
      <c r="AD248" s="90"/>
      <c r="AE248" s="90"/>
      <c r="AF248" s="90"/>
      <c r="AG248" s="90"/>
      <c r="AH248" s="90"/>
      <c r="AI248" s="90"/>
      <c r="AJ248" s="90"/>
      <c r="AK248" s="90"/>
      <c r="AL248" s="90"/>
      <c r="AM248" s="90"/>
      <c r="AN248" s="90"/>
      <c r="AO248" s="90"/>
      <c r="AP248" s="90"/>
      <c r="AQ248" s="90"/>
      <c r="AR248" s="90"/>
      <c r="AS248" s="90"/>
      <c r="AT248" s="90"/>
      <c r="AU248" s="90"/>
      <c r="AV248" s="90"/>
      <c r="AW248" s="90"/>
      <c r="AX248" s="90"/>
    </row>
    <row r="249" s="91" customFormat="true" ht="15.75" hidden="false" customHeight="false" outlineLevel="0" collapsed="false">
      <c r="A249" s="90"/>
      <c r="B249" s="90"/>
      <c r="C249" s="90"/>
      <c r="D249" s="90"/>
      <c r="E249" s="89"/>
      <c r="F249" s="90"/>
      <c r="G249" s="90"/>
      <c r="H249" s="90"/>
      <c r="I249" s="90"/>
      <c r="J249" s="90"/>
      <c r="K249" s="90"/>
      <c r="L249" s="90"/>
      <c r="M249" s="90"/>
      <c r="N249" s="90"/>
      <c r="O249" s="90"/>
      <c r="P249" s="90"/>
      <c r="Q249" s="90"/>
      <c r="R249" s="90"/>
      <c r="S249" s="90"/>
      <c r="T249" s="90"/>
      <c r="U249" s="90"/>
      <c r="V249" s="90"/>
      <c r="W249" s="90"/>
      <c r="X249" s="90"/>
      <c r="Y249" s="90"/>
      <c r="Z249" s="90"/>
      <c r="AA249" s="90"/>
      <c r="AB249" s="90"/>
      <c r="AC249" s="90"/>
      <c r="AD249" s="90"/>
      <c r="AE249" s="90"/>
      <c r="AF249" s="90"/>
      <c r="AG249" s="90"/>
      <c r="AH249" s="90"/>
      <c r="AI249" s="90"/>
      <c r="AJ249" s="90"/>
      <c r="AK249" s="90"/>
      <c r="AL249" s="90"/>
      <c r="AM249" s="90"/>
      <c r="AN249" s="90"/>
      <c r="AO249" s="90"/>
      <c r="AP249" s="90"/>
      <c r="AQ249" s="90"/>
      <c r="AR249" s="90"/>
      <c r="AS249" s="90"/>
      <c r="AT249" s="90"/>
      <c r="AU249" s="90"/>
      <c r="AV249" s="90"/>
      <c r="AW249" s="90"/>
      <c r="AX249" s="90"/>
    </row>
    <row r="250" s="91" customFormat="true" ht="15.75" hidden="false" customHeight="false" outlineLevel="0" collapsed="false">
      <c r="A250" s="90"/>
      <c r="B250" s="90"/>
      <c r="C250" s="90"/>
      <c r="D250" s="90"/>
      <c r="E250" s="89"/>
      <c r="F250" s="90"/>
      <c r="G250" s="90"/>
      <c r="H250" s="90"/>
      <c r="I250" s="90"/>
      <c r="J250" s="90"/>
      <c r="K250" s="90"/>
      <c r="L250" s="90"/>
      <c r="M250" s="90"/>
      <c r="N250" s="90"/>
      <c r="O250" s="90"/>
      <c r="P250" s="90"/>
      <c r="Q250" s="90"/>
      <c r="R250" s="90"/>
      <c r="S250" s="90"/>
      <c r="T250" s="90"/>
      <c r="U250" s="90"/>
      <c r="V250" s="90"/>
      <c r="W250" s="90"/>
      <c r="X250" s="90"/>
      <c r="Y250" s="90"/>
      <c r="Z250" s="90"/>
      <c r="AA250" s="90"/>
      <c r="AB250" s="90"/>
      <c r="AC250" s="90"/>
      <c r="AD250" s="90"/>
      <c r="AE250" s="90"/>
      <c r="AF250" s="90"/>
      <c r="AG250" s="90"/>
      <c r="AH250" s="90"/>
      <c r="AI250" s="90"/>
      <c r="AJ250" s="90"/>
      <c r="AK250" s="90"/>
      <c r="AL250" s="90"/>
      <c r="AM250" s="90"/>
      <c r="AN250" s="90"/>
      <c r="AO250" s="90"/>
      <c r="AP250" s="90"/>
      <c r="AQ250" s="90"/>
      <c r="AR250" s="90"/>
      <c r="AS250" s="90"/>
      <c r="AT250" s="90"/>
      <c r="AU250" s="90"/>
      <c r="AV250" s="90"/>
      <c r="AW250" s="90"/>
      <c r="AX250" s="90"/>
    </row>
    <row r="251" s="91" customFormat="true" ht="15.75" hidden="false" customHeight="false" outlineLevel="0" collapsed="false">
      <c r="A251" s="90"/>
      <c r="B251" s="90"/>
      <c r="C251" s="90"/>
      <c r="D251" s="90"/>
      <c r="E251" s="89"/>
      <c r="F251" s="90"/>
      <c r="G251" s="90"/>
      <c r="H251" s="90"/>
      <c r="I251" s="90"/>
      <c r="J251" s="90"/>
      <c r="K251" s="90"/>
      <c r="L251" s="90"/>
      <c r="M251" s="90"/>
      <c r="N251" s="90"/>
      <c r="O251" s="90"/>
      <c r="P251" s="90"/>
      <c r="Q251" s="90"/>
      <c r="R251" s="90"/>
      <c r="S251" s="90"/>
      <c r="T251" s="90"/>
      <c r="U251" s="90"/>
      <c r="V251" s="90"/>
      <c r="W251" s="90"/>
      <c r="X251" s="90"/>
      <c r="Y251" s="90"/>
      <c r="Z251" s="90"/>
      <c r="AA251" s="90"/>
      <c r="AB251" s="90"/>
      <c r="AC251" s="90"/>
      <c r="AD251" s="90"/>
      <c r="AE251" s="90"/>
      <c r="AF251" s="90"/>
      <c r="AG251" s="90"/>
      <c r="AH251" s="90"/>
      <c r="AI251" s="90"/>
      <c r="AJ251" s="90"/>
      <c r="AK251" s="90"/>
      <c r="AL251" s="90"/>
      <c r="AM251" s="90"/>
      <c r="AN251" s="90"/>
      <c r="AO251" s="90"/>
      <c r="AP251" s="90"/>
      <c r="AQ251" s="90"/>
      <c r="AR251" s="90"/>
      <c r="AS251" s="90"/>
      <c r="AT251" s="90"/>
      <c r="AU251" s="90"/>
      <c r="AV251" s="90"/>
      <c r="AW251" s="90"/>
      <c r="AX251" s="90"/>
    </row>
    <row r="252" s="91" customFormat="true" ht="15.75" hidden="false" customHeight="false" outlineLevel="0" collapsed="false">
      <c r="A252" s="90"/>
      <c r="B252" s="90"/>
      <c r="C252" s="90"/>
      <c r="D252" s="90"/>
      <c r="E252" s="89"/>
      <c r="F252" s="90"/>
      <c r="G252" s="90"/>
      <c r="H252" s="90"/>
      <c r="I252" s="90"/>
      <c r="J252" s="90"/>
      <c r="K252" s="90"/>
      <c r="L252" s="90"/>
      <c r="M252" s="90"/>
      <c r="N252" s="90"/>
      <c r="O252" s="90"/>
      <c r="P252" s="90"/>
      <c r="Q252" s="90"/>
      <c r="R252" s="90"/>
      <c r="S252" s="90"/>
      <c r="T252" s="90"/>
      <c r="U252" s="90"/>
      <c r="V252" s="90"/>
      <c r="W252" s="90"/>
      <c r="X252" s="90"/>
      <c r="Y252" s="90"/>
      <c r="Z252" s="90"/>
      <c r="AA252" s="90"/>
      <c r="AB252" s="90"/>
      <c r="AC252" s="90"/>
      <c r="AD252" s="90"/>
      <c r="AE252" s="90"/>
      <c r="AF252" s="90"/>
      <c r="AG252" s="90"/>
      <c r="AH252" s="90"/>
      <c r="AI252" s="90"/>
      <c r="AJ252" s="90"/>
      <c r="AK252" s="90"/>
      <c r="AL252" s="90"/>
      <c r="AM252" s="90"/>
      <c r="AN252" s="90"/>
      <c r="AO252" s="90"/>
      <c r="AP252" s="90"/>
      <c r="AQ252" s="90"/>
      <c r="AR252" s="90"/>
      <c r="AS252" s="90"/>
      <c r="AT252" s="90"/>
      <c r="AU252" s="90"/>
      <c r="AV252" s="90"/>
      <c r="AW252" s="90"/>
      <c r="AX252" s="90"/>
    </row>
    <row r="253" s="91" customFormat="true" ht="15.75" hidden="false" customHeight="false" outlineLevel="0" collapsed="false">
      <c r="A253" s="90"/>
      <c r="B253" s="90"/>
      <c r="C253" s="90"/>
      <c r="D253" s="90"/>
      <c r="E253" s="89"/>
      <c r="F253" s="90"/>
      <c r="G253" s="90"/>
      <c r="H253" s="90"/>
      <c r="I253" s="90"/>
      <c r="J253" s="90"/>
      <c r="K253" s="90"/>
      <c r="L253" s="90"/>
      <c r="M253" s="90"/>
      <c r="N253" s="90"/>
      <c r="O253" s="90"/>
      <c r="P253" s="90"/>
      <c r="Q253" s="90"/>
      <c r="R253" s="90"/>
      <c r="S253" s="90"/>
      <c r="T253" s="90"/>
      <c r="U253" s="90"/>
      <c r="V253" s="90"/>
      <c r="W253" s="90"/>
      <c r="X253" s="90"/>
      <c r="Y253" s="90"/>
      <c r="Z253" s="90"/>
      <c r="AA253" s="90"/>
      <c r="AB253" s="90"/>
      <c r="AC253" s="90"/>
      <c r="AD253" s="90"/>
      <c r="AE253" s="90"/>
      <c r="AF253" s="90"/>
      <c r="AG253" s="90"/>
      <c r="AH253" s="90"/>
      <c r="AI253" s="90"/>
      <c r="AJ253" s="90"/>
      <c r="AK253" s="90"/>
      <c r="AL253" s="90"/>
      <c r="AM253" s="90"/>
      <c r="AN253" s="90"/>
      <c r="AO253" s="90"/>
      <c r="AP253" s="90"/>
      <c r="AQ253" s="90"/>
      <c r="AR253" s="90"/>
      <c r="AS253" s="90"/>
      <c r="AT253" s="90"/>
      <c r="AU253" s="90"/>
      <c r="AV253" s="90"/>
      <c r="AW253" s="90"/>
      <c r="AX253" s="90"/>
    </row>
    <row r="254" s="91" customFormat="true" ht="15.75" hidden="false" customHeight="false" outlineLevel="0" collapsed="false">
      <c r="A254" s="90"/>
      <c r="B254" s="90"/>
      <c r="C254" s="90"/>
      <c r="D254" s="90"/>
      <c r="E254" s="89"/>
      <c r="F254" s="90"/>
      <c r="G254" s="90"/>
      <c r="H254" s="90"/>
      <c r="I254" s="90"/>
      <c r="J254" s="90"/>
      <c r="K254" s="90"/>
      <c r="L254" s="90"/>
      <c r="M254" s="90"/>
      <c r="N254" s="90"/>
      <c r="O254" s="90"/>
      <c r="P254" s="90"/>
      <c r="Q254" s="90"/>
      <c r="R254" s="90"/>
      <c r="S254" s="90"/>
      <c r="T254" s="90"/>
      <c r="U254" s="90"/>
      <c r="V254" s="90"/>
      <c r="W254" s="90"/>
      <c r="X254" s="90"/>
      <c r="Y254" s="90"/>
      <c r="Z254" s="90"/>
      <c r="AA254" s="90"/>
      <c r="AB254" s="90"/>
      <c r="AC254" s="90"/>
      <c r="AD254" s="90"/>
      <c r="AE254" s="90"/>
      <c r="AF254" s="90"/>
      <c r="AG254" s="90"/>
      <c r="AH254" s="90"/>
      <c r="AI254" s="90"/>
      <c r="AJ254" s="90"/>
      <c r="AK254" s="90"/>
      <c r="AL254" s="90"/>
      <c r="AM254" s="90"/>
      <c r="AN254" s="90"/>
      <c r="AO254" s="90"/>
      <c r="AP254" s="90"/>
      <c r="AQ254" s="90"/>
      <c r="AR254" s="90"/>
      <c r="AS254" s="90"/>
      <c r="AT254" s="90"/>
      <c r="AU254" s="90"/>
      <c r="AV254" s="90"/>
      <c r="AW254" s="90"/>
      <c r="AX254" s="90"/>
    </row>
    <row r="255" s="91" customFormat="true" ht="15.75" hidden="false" customHeight="false" outlineLevel="0" collapsed="false">
      <c r="A255" s="90"/>
      <c r="B255" s="90"/>
      <c r="C255" s="90"/>
      <c r="D255" s="90"/>
      <c r="E255" s="89"/>
      <c r="F255" s="90"/>
      <c r="G255" s="90"/>
      <c r="H255" s="90"/>
      <c r="I255" s="90"/>
      <c r="J255" s="90"/>
      <c r="K255" s="90"/>
      <c r="L255" s="90"/>
      <c r="M255" s="90"/>
      <c r="N255" s="90"/>
      <c r="O255" s="90"/>
      <c r="P255" s="90"/>
      <c r="Q255" s="90"/>
      <c r="R255" s="90"/>
      <c r="S255" s="90"/>
      <c r="T255" s="90"/>
      <c r="U255" s="90"/>
      <c r="V255" s="90"/>
      <c r="W255" s="90"/>
      <c r="X255" s="90"/>
      <c r="Y255" s="90"/>
      <c r="Z255" s="90"/>
      <c r="AA255" s="90"/>
      <c r="AB255" s="90"/>
      <c r="AC255" s="90"/>
      <c r="AD255" s="90"/>
      <c r="AE255" s="90"/>
      <c r="AF255" s="90"/>
      <c r="AG255" s="90"/>
      <c r="AH255" s="90"/>
      <c r="AI255" s="90"/>
      <c r="AJ255" s="90"/>
      <c r="AK255" s="90"/>
      <c r="AL255" s="90"/>
      <c r="AM255" s="90"/>
      <c r="AN255" s="90"/>
      <c r="AO255" s="90"/>
      <c r="AP255" s="90"/>
      <c r="AQ255" s="90"/>
      <c r="AR255" s="90"/>
      <c r="AS255" s="90"/>
      <c r="AT255" s="90"/>
      <c r="AU255" s="90"/>
      <c r="AV255" s="90"/>
      <c r="AW255" s="90"/>
      <c r="AX255" s="90"/>
    </row>
    <row r="256" s="91" customFormat="true" ht="15.75" hidden="false" customHeight="false" outlineLevel="0" collapsed="false">
      <c r="A256" s="90"/>
      <c r="B256" s="90"/>
      <c r="C256" s="90"/>
      <c r="D256" s="90"/>
      <c r="E256" s="89"/>
      <c r="F256" s="90"/>
      <c r="G256" s="90"/>
      <c r="H256" s="90"/>
      <c r="I256" s="90"/>
      <c r="J256" s="90"/>
      <c r="K256" s="90"/>
      <c r="L256" s="90"/>
      <c r="M256" s="90"/>
      <c r="N256" s="90"/>
      <c r="O256" s="90"/>
      <c r="P256" s="90"/>
      <c r="Q256" s="90"/>
      <c r="R256" s="90"/>
      <c r="S256" s="90"/>
      <c r="T256" s="90"/>
      <c r="U256" s="90"/>
      <c r="V256" s="90"/>
      <c r="W256" s="90"/>
      <c r="X256" s="90"/>
      <c r="Y256" s="90"/>
      <c r="Z256" s="90"/>
      <c r="AA256" s="90"/>
      <c r="AB256" s="90"/>
      <c r="AC256" s="90"/>
      <c r="AD256" s="90"/>
      <c r="AE256" s="90"/>
      <c r="AF256" s="90"/>
      <c r="AG256" s="90"/>
      <c r="AH256" s="90"/>
      <c r="AI256" s="90"/>
      <c r="AJ256" s="90"/>
      <c r="AK256" s="90"/>
      <c r="AL256" s="90"/>
      <c r="AM256" s="90"/>
      <c r="AN256" s="90"/>
      <c r="AO256" s="90"/>
      <c r="AP256" s="90"/>
      <c r="AQ256" s="90"/>
      <c r="AR256" s="90"/>
      <c r="AS256" s="90"/>
      <c r="AT256" s="90"/>
      <c r="AU256" s="90"/>
      <c r="AV256" s="90"/>
      <c r="AW256" s="90"/>
      <c r="AX256" s="90"/>
    </row>
    <row r="257" s="91" customFormat="true" ht="15.75" hidden="false" customHeight="false" outlineLevel="0" collapsed="false">
      <c r="A257" s="90"/>
      <c r="B257" s="90"/>
      <c r="C257" s="90"/>
      <c r="D257" s="90"/>
      <c r="E257" s="89"/>
      <c r="F257" s="90"/>
      <c r="G257" s="90"/>
      <c r="H257" s="90"/>
      <c r="I257" s="90"/>
      <c r="J257" s="90"/>
      <c r="K257" s="90"/>
      <c r="L257" s="90"/>
      <c r="M257" s="90"/>
      <c r="N257" s="90"/>
      <c r="O257" s="90"/>
      <c r="P257" s="90"/>
      <c r="Q257" s="90"/>
      <c r="R257" s="90"/>
      <c r="S257" s="90"/>
      <c r="T257" s="90"/>
      <c r="U257" s="90"/>
      <c r="V257" s="90"/>
      <c r="W257" s="90"/>
      <c r="X257" s="90"/>
      <c r="Y257" s="90"/>
      <c r="Z257" s="90"/>
      <c r="AA257" s="90"/>
      <c r="AB257" s="90"/>
      <c r="AC257" s="90"/>
      <c r="AD257" s="90"/>
      <c r="AE257" s="90"/>
      <c r="AF257" s="90"/>
      <c r="AG257" s="90"/>
      <c r="AH257" s="90"/>
      <c r="AI257" s="90"/>
      <c r="AJ257" s="90"/>
      <c r="AK257" s="90"/>
      <c r="AL257" s="90"/>
      <c r="AM257" s="90"/>
      <c r="AN257" s="90"/>
      <c r="AO257" s="90"/>
      <c r="AP257" s="90"/>
      <c r="AQ257" s="90"/>
      <c r="AR257" s="90"/>
      <c r="AS257" s="90"/>
      <c r="AT257" s="90"/>
      <c r="AU257" s="90"/>
      <c r="AV257" s="90"/>
      <c r="AW257" s="90"/>
      <c r="AX257" s="90"/>
    </row>
    <row r="258" s="91" customFormat="true" ht="15.75" hidden="false" customHeight="false" outlineLevel="0" collapsed="false">
      <c r="A258" s="90"/>
      <c r="B258" s="90"/>
      <c r="C258" s="90"/>
      <c r="D258" s="90"/>
      <c r="E258" s="89"/>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c r="AG258" s="90"/>
      <c r="AH258" s="90"/>
      <c r="AI258" s="90"/>
      <c r="AJ258" s="90"/>
      <c r="AK258" s="90"/>
      <c r="AL258" s="90"/>
      <c r="AM258" s="90"/>
      <c r="AN258" s="90"/>
      <c r="AO258" s="90"/>
      <c r="AP258" s="90"/>
      <c r="AQ258" s="90"/>
      <c r="AR258" s="90"/>
      <c r="AS258" s="90"/>
      <c r="AT258" s="90"/>
      <c r="AU258" s="90"/>
      <c r="AV258" s="90"/>
      <c r="AW258" s="90"/>
      <c r="AX258" s="90"/>
    </row>
    <row r="259" s="91" customFormat="true" ht="15.75" hidden="false" customHeight="false" outlineLevel="0" collapsed="false">
      <c r="A259" s="90"/>
      <c r="B259" s="90"/>
      <c r="C259" s="90"/>
      <c r="D259" s="90"/>
      <c r="E259" s="89"/>
      <c r="F259" s="90"/>
      <c r="G259" s="90"/>
      <c r="H259" s="90"/>
      <c r="I259" s="90"/>
      <c r="J259" s="90"/>
      <c r="K259" s="90"/>
      <c r="L259" s="90"/>
      <c r="M259" s="90"/>
      <c r="N259" s="90"/>
      <c r="O259" s="90"/>
      <c r="P259" s="90"/>
      <c r="Q259" s="90"/>
      <c r="R259" s="90"/>
      <c r="S259" s="90"/>
      <c r="T259" s="90"/>
      <c r="U259" s="90"/>
      <c r="V259" s="90"/>
      <c r="W259" s="90"/>
      <c r="X259" s="90"/>
      <c r="Y259" s="90"/>
      <c r="Z259" s="90"/>
      <c r="AA259" s="90"/>
      <c r="AB259" s="90"/>
      <c r="AC259" s="90"/>
      <c r="AD259" s="90"/>
      <c r="AE259" s="90"/>
      <c r="AF259" s="90"/>
      <c r="AG259" s="90"/>
      <c r="AH259" s="90"/>
      <c r="AI259" s="90"/>
      <c r="AJ259" s="90"/>
      <c r="AK259" s="90"/>
      <c r="AL259" s="90"/>
      <c r="AM259" s="90"/>
      <c r="AN259" s="90"/>
      <c r="AO259" s="90"/>
      <c r="AP259" s="90"/>
      <c r="AQ259" s="90"/>
      <c r="AR259" s="90"/>
      <c r="AS259" s="90"/>
      <c r="AT259" s="90"/>
      <c r="AU259" s="90"/>
      <c r="AV259" s="90"/>
      <c r="AW259" s="90"/>
      <c r="AX259" s="90"/>
    </row>
    <row r="260" s="91" customFormat="true" ht="15.75" hidden="false" customHeight="false" outlineLevel="0" collapsed="false">
      <c r="A260" s="90"/>
      <c r="B260" s="90"/>
      <c r="C260" s="90"/>
      <c r="D260" s="90"/>
      <c r="E260" s="89"/>
      <c r="F260" s="90"/>
      <c r="G260" s="90"/>
      <c r="H260" s="90"/>
      <c r="I260" s="90"/>
      <c r="J260" s="90"/>
      <c r="K260" s="90"/>
      <c r="L260" s="90"/>
      <c r="M260" s="90"/>
      <c r="N260" s="90"/>
      <c r="O260" s="90"/>
      <c r="P260" s="90"/>
      <c r="Q260" s="90"/>
      <c r="R260" s="90"/>
      <c r="S260" s="90"/>
      <c r="T260" s="90"/>
      <c r="U260" s="90"/>
      <c r="V260" s="90"/>
      <c r="W260" s="90"/>
      <c r="X260" s="90"/>
      <c r="Y260" s="90"/>
      <c r="Z260" s="90"/>
      <c r="AA260" s="90"/>
      <c r="AB260" s="90"/>
      <c r="AC260" s="90"/>
      <c r="AD260" s="90"/>
      <c r="AE260" s="90"/>
      <c r="AF260" s="90"/>
      <c r="AG260" s="90"/>
      <c r="AH260" s="90"/>
      <c r="AI260" s="90"/>
      <c r="AJ260" s="90"/>
      <c r="AK260" s="90"/>
      <c r="AL260" s="90"/>
      <c r="AM260" s="90"/>
      <c r="AN260" s="90"/>
      <c r="AO260" s="90"/>
      <c r="AP260" s="90"/>
      <c r="AQ260" s="90"/>
      <c r="AR260" s="90"/>
      <c r="AS260" s="90"/>
      <c r="AT260" s="90"/>
      <c r="AU260" s="90"/>
      <c r="AV260" s="90"/>
      <c r="AW260" s="90"/>
      <c r="AX260" s="90"/>
    </row>
    <row r="261" s="91" customFormat="true" ht="15.75" hidden="false" customHeight="false" outlineLevel="0" collapsed="false">
      <c r="A261" s="90"/>
      <c r="B261" s="90"/>
      <c r="C261" s="90"/>
      <c r="D261" s="90"/>
      <c r="E261" s="89"/>
      <c r="F261" s="90"/>
      <c r="G261" s="90"/>
      <c r="H261" s="90"/>
      <c r="I261" s="90"/>
      <c r="J261" s="90"/>
      <c r="K261" s="90"/>
      <c r="L261" s="90"/>
      <c r="M261" s="90"/>
      <c r="N261" s="90"/>
      <c r="O261" s="90"/>
      <c r="P261" s="90"/>
      <c r="Q261" s="90"/>
      <c r="R261" s="90"/>
      <c r="S261" s="90"/>
      <c r="T261" s="90"/>
      <c r="U261" s="90"/>
      <c r="V261" s="90"/>
      <c r="W261" s="90"/>
      <c r="X261" s="90"/>
      <c r="Y261" s="90"/>
      <c r="Z261" s="90"/>
      <c r="AA261" s="90"/>
      <c r="AB261" s="90"/>
      <c r="AC261" s="90"/>
      <c r="AD261" s="90"/>
      <c r="AE261" s="90"/>
      <c r="AF261" s="90"/>
      <c r="AG261" s="90"/>
      <c r="AH261" s="90"/>
      <c r="AI261" s="90"/>
      <c r="AJ261" s="90"/>
      <c r="AK261" s="90"/>
      <c r="AL261" s="90"/>
      <c r="AM261" s="90"/>
      <c r="AN261" s="90"/>
      <c r="AO261" s="90"/>
      <c r="AP261" s="90"/>
      <c r="AQ261" s="90"/>
      <c r="AR261" s="90"/>
      <c r="AS261" s="90"/>
      <c r="AT261" s="90"/>
      <c r="AU261" s="90"/>
      <c r="AV261" s="90"/>
      <c r="AW261" s="90"/>
      <c r="AX261" s="90"/>
    </row>
    <row r="262" s="91" customFormat="true" ht="15.75" hidden="false" customHeight="false" outlineLevel="0" collapsed="false">
      <c r="A262" s="90"/>
      <c r="B262" s="90"/>
      <c r="C262" s="90"/>
      <c r="D262" s="90"/>
      <c r="E262" s="89"/>
      <c r="F262" s="90"/>
      <c r="G262" s="90"/>
      <c r="H262" s="90"/>
      <c r="I262" s="90"/>
      <c r="J262" s="90"/>
      <c r="K262" s="90"/>
      <c r="L262" s="90"/>
      <c r="M262" s="90"/>
      <c r="N262" s="90"/>
      <c r="O262" s="90"/>
      <c r="P262" s="90"/>
      <c r="Q262" s="90"/>
      <c r="R262" s="90"/>
      <c r="S262" s="90"/>
      <c r="T262" s="90"/>
      <c r="U262" s="90"/>
      <c r="V262" s="90"/>
      <c r="W262" s="90"/>
      <c r="X262" s="90"/>
      <c r="Y262" s="90"/>
      <c r="Z262" s="90"/>
      <c r="AA262" s="90"/>
      <c r="AB262" s="90"/>
      <c r="AC262" s="90"/>
      <c r="AD262" s="90"/>
      <c r="AE262" s="90"/>
      <c r="AF262" s="90"/>
      <c r="AG262" s="90"/>
      <c r="AH262" s="90"/>
      <c r="AI262" s="90"/>
      <c r="AJ262" s="90"/>
      <c r="AK262" s="90"/>
      <c r="AL262" s="90"/>
      <c r="AM262" s="90"/>
      <c r="AN262" s="90"/>
      <c r="AO262" s="90"/>
      <c r="AP262" s="90"/>
      <c r="AQ262" s="90"/>
      <c r="AR262" s="90"/>
      <c r="AS262" s="90"/>
      <c r="AT262" s="90"/>
      <c r="AU262" s="90"/>
      <c r="AV262" s="90"/>
      <c r="AW262" s="90"/>
      <c r="AX262" s="90"/>
    </row>
    <row r="263" s="91" customFormat="true" ht="15.75" hidden="false" customHeight="false" outlineLevel="0" collapsed="false">
      <c r="A263" s="90"/>
      <c r="B263" s="90"/>
      <c r="C263" s="90"/>
      <c r="D263" s="90"/>
      <c r="E263" s="89"/>
      <c r="F263" s="90"/>
      <c r="G263" s="90"/>
      <c r="H263" s="90"/>
      <c r="I263" s="90"/>
      <c r="J263" s="90"/>
      <c r="K263" s="90"/>
      <c r="L263" s="90"/>
      <c r="M263" s="90"/>
      <c r="N263" s="90"/>
      <c r="O263" s="90"/>
      <c r="P263" s="90"/>
      <c r="Q263" s="90"/>
      <c r="R263" s="90"/>
      <c r="S263" s="90"/>
      <c r="T263" s="90"/>
      <c r="U263" s="90"/>
      <c r="V263" s="90"/>
      <c r="W263" s="90"/>
      <c r="X263" s="90"/>
      <c r="Y263" s="90"/>
      <c r="Z263" s="90"/>
      <c r="AA263" s="90"/>
      <c r="AB263" s="90"/>
      <c r="AC263" s="90"/>
      <c r="AD263" s="90"/>
      <c r="AE263" s="90"/>
      <c r="AF263" s="90"/>
      <c r="AG263" s="90"/>
      <c r="AH263" s="90"/>
      <c r="AI263" s="90"/>
      <c r="AJ263" s="90"/>
      <c r="AK263" s="90"/>
      <c r="AL263" s="90"/>
      <c r="AM263" s="90"/>
      <c r="AN263" s="90"/>
      <c r="AO263" s="90"/>
      <c r="AP263" s="90"/>
      <c r="AQ263" s="90"/>
      <c r="AR263" s="90"/>
      <c r="AS263" s="90"/>
      <c r="AT263" s="90"/>
      <c r="AU263" s="90"/>
      <c r="AV263" s="90"/>
      <c r="AW263" s="90"/>
      <c r="AX263" s="90"/>
    </row>
    <row r="264" s="91" customFormat="true" ht="15.75" hidden="false" customHeight="false" outlineLevel="0" collapsed="false">
      <c r="A264" s="90"/>
      <c r="B264" s="90"/>
      <c r="C264" s="90"/>
      <c r="D264" s="90"/>
      <c r="E264" s="89"/>
      <c r="F264" s="90"/>
      <c r="G264" s="90"/>
      <c r="H264" s="90"/>
      <c r="I264" s="90"/>
      <c r="J264" s="90"/>
      <c r="K264" s="90"/>
      <c r="L264" s="90"/>
      <c r="M264" s="90"/>
      <c r="N264" s="90"/>
      <c r="O264" s="90"/>
      <c r="P264" s="90"/>
      <c r="Q264" s="90"/>
      <c r="R264" s="90"/>
      <c r="S264" s="90"/>
      <c r="T264" s="90"/>
      <c r="U264" s="90"/>
      <c r="V264" s="90"/>
      <c r="W264" s="90"/>
      <c r="X264" s="90"/>
      <c r="Y264" s="90"/>
      <c r="Z264" s="90"/>
      <c r="AA264" s="90"/>
      <c r="AB264" s="90"/>
      <c r="AC264" s="90"/>
      <c r="AD264" s="90"/>
      <c r="AE264" s="90"/>
      <c r="AF264" s="90"/>
      <c r="AG264" s="90"/>
      <c r="AH264" s="90"/>
      <c r="AI264" s="90"/>
      <c r="AJ264" s="90"/>
      <c r="AK264" s="90"/>
      <c r="AL264" s="90"/>
      <c r="AM264" s="90"/>
      <c r="AN264" s="90"/>
      <c r="AO264" s="90"/>
      <c r="AP264" s="90"/>
      <c r="AQ264" s="90"/>
      <c r="AR264" s="90"/>
      <c r="AS264" s="90"/>
      <c r="AT264" s="90"/>
      <c r="AU264" s="90"/>
      <c r="AV264" s="90"/>
      <c r="AW264" s="90"/>
      <c r="AX264" s="90"/>
    </row>
    <row r="265" s="91" customFormat="true" ht="15.75" hidden="false" customHeight="false" outlineLevel="0" collapsed="false">
      <c r="A265" s="90"/>
      <c r="B265" s="90"/>
      <c r="C265" s="90"/>
      <c r="D265" s="90"/>
      <c r="E265" s="89"/>
      <c r="F265" s="90"/>
      <c r="G265" s="90"/>
      <c r="H265" s="90"/>
      <c r="I265" s="90"/>
      <c r="J265" s="90"/>
      <c r="K265" s="90"/>
      <c r="L265" s="90"/>
      <c r="M265" s="90"/>
      <c r="N265" s="90"/>
      <c r="O265" s="90"/>
      <c r="P265" s="90"/>
      <c r="Q265" s="90"/>
      <c r="R265" s="90"/>
      <c r="S265" s="90"/>
      <c r="T265" s="90"/>
      <c r="U265" s="90"/>
      <c r="V265" s="90"/>
      <c r="W265" s="90"/>
      <c r="X265" s="90"/>
      <c r="Y265" s="90"/>
      <c r="Z265" s="90"/>
      <c r="AA265" s="90"/>
      <c r="AB265" s="90"/>
      <c r="AC265" s="90"/>
      <c r="AD265" s="90"/>
      <c r="AE265" s="90"/>
      <c r="AF265" s="90"/>
      <c r="AG265" s="90"/>
      <c r="AH265" s="90"/>
      <c r="AI265" s="90"/>
      <c r="AJ265" s="90"/>
      <c r="AK265" s="90"/>
      <c r="AL265" s="90"/>
      <c r="AM265" s="90"/>
      <c r="AN265" s="90"/>
      <c r="AO265" s="90"/>
      <c r="AP265" s="90"/>
      <c r="AQ265" s="90"/>
      <c r="AR265" s="90"/>
      <c r="AS265" s="90"/>
      <c r="AT265" s="90"/>
      <c r="AU265" s="90"/>
      <c r="AV265" s="90"/>
      <c r="AW265" s="90"/>
      <c r="AX265" s="90"/>
    </row>
    <row r="266" s="91" customFormat="true" ht="15.75" hidden="false" customHeight="false" outlineLevel="0" collapsed="false">
      <c r="A266" s="90"/>
      <c r="B266" s="90"/>
      <c r="C266" s="90"/>
      <c r="D266" s="90"/>
      <c r="E266" s="89"/>
      <c r="F266" s="90"/>
      <c r="G266" s="90"/>
      <c r="H266" s="90"/>
      <c r="I266" s="90"/>
      <c r="J266" s="90"/>
      <c r="K266" s="90"/>
      <c r="L266" s="90"/>
      <c r="M266" s="90"/>
      <c r="N266" s="90"/>
      <c r="O266" s="90"/>
      <c r="P266" s="90"/>
      <c r="Q266" s="90"/>
      <c r="R266" s="90"/>
      <c r="S266" s="90"/>
      <c r="T266" s="90"/>
      <c r="U266" s="90"/>
      <c r="V266" s="90"/>
      <c r="W266" s="90"/>
      <c r="X266" s="90"/>
      <c r="Y266" s="90"/>
      <c r="Z266" s="90"/>
      <c r="AA266" s="90"/>
      <c r="AB266" s="90"/>
      <c r="AC266" s="90"/>
      <c r="AD266" s="90"/>
      <c r="AE266" s="90"/>
      <c r="AF266" s="90"/>
      <c r="AG266" s="90"/>
      <c r="AH266" s="90"/>
      <c r="AI266" s="90"/>
      <c r="AJ266" s="90"/>
      <c r="AK266" s="90"/>
      <c r="AL266" s="90"/>
      <c r="AM266" s="90"/>
      <c r="AN266" s="90"/>
      <c r="AO266" s="90"/>
      <c r="AP266" s="90"/>
      <c r="AQ266" s="90"/>
      <c r="AR266" s="90"/>
      <c r="AS266" s="90"/>
      <c r="AT266" s="90"/>
      <c r="AU266" s="90"/>
      <c r="AV266" s="90"/>
      <c r="AW266" s="90"/>
      <c r="AX266" s="90"/>
    </row>
    <row r="267" s="91" customFormat="true" ht="15.75" hidden="false" customHeight="false" outlineLevel="0" collapsed="false">
      <c r="A267" s="90"/>
      <c r="B267" s="90"/>
      <c r="C267" s="90"/>
      <c r="D267" s="90"/>
      <c r="E267" s="89"/>
      <c r="F267" s="90"/>
      <c r="G267" s="90"/>
      <c r="H267" s="90"/>
      <c r="I267" s="90"/>
      <c r="J267" s="90"/>
      <c r="K267" s="90"/>
      <c r="L267" s="90"/>
      <c r="M267" s="90"/>
      <c r="N267" s="90"/>
      <c r="O267" s="90"/>
      <c r="P267" s="90"/>
      <c r="Q267" s="90"/>
      <c r="R267" s="90"/>
      <c r="S267" s="90"/>
      <c r="T267" s="90"/>
      <c r="U267" s="90"/>
      <c r="V267" s="90"/>
      <c r="W267" s="90"/>
      <c r="X267" s="90"/>
      <c r="Y267" s="90"/>
      <c r="Z267" s="90"/>
      <c r="AA267" s="90"/>
      <c r="AB267" s="90"/>
      <c r="AC267" s="90"/>
      <c r="AD267" s="90"/>
      <c r="AE267" s="90"/>
      <c r="AF267" s="90"/>
      <c r="AG267" s="90"/>
      <c r="AH267" s="90"/>
      <c r="AI267" s="90"/>
      <c r="AJ267" s="90"/>
      <c r="AK267" s="90"/>
      <c r="AL267" s="90"/>
      <c r="AM267" s="90"/>
      <c r="AN267" s="90"/>
      <c r="AO267" s="90"/>
      <c r="AP267" s="90"/>
      <c r="AQ267" s="90"/>
      <c r="AR267" s="90"/>
      <c r="AS267" s="90"/>
      <c r="AT267" s="90"/>
      <c r="AU267" s="90"/>
      <c r="AV267" s="90"/>
      <c r="AW267" s="90"/>
      <c r="AX267" s="90"/>
    </row>
    <row r="268" s="91" customFormat="true" ht="15.75" hidden="false" customHeight="false" outlineLevel="0" collapsed="false">
      <c r="A268" s="90"/>
      <c r="B268" s="90"/>
      <c r="C268" s="90"/>
      <c r="D268" s="90"/>
      <c r="E268" s="89"/>
      <c r="F268" s="90"/>
      <c r="G268" s="90"/>
      <c r="H268" s="90"/>
      <c r="I268" s="90"/>
      <c r="J268" s="90"/>
      <c r="K268" s="90"/>
      <c r="L268" s="90"/>
      <c r="M268" s="90"/>
      <c r="N268" s="90"/>
      <c r="O268" s="90"/>
      <c r="P268" s="90"/>
      <c r="Q268" s="90"/>
      <c r="R268" s="90"/>
      <c r="S268" s="90"/>
      <c r="T268" s="90"/>
      <c r="U268" s="90"/>
      <c r="V268" s="90"/>
      <c r="W268" s="90"/>
      <c r="X268" s="90"/>
      <c r="Y268" s="90"/>
      <c r="Z268" s="90"/>
      <c r="AA268" s="90"/>
      <c r="AB268" s="90"/>
      <c r="AC268" s="90"/>
      <c r="AD268" s="90"/>
      <c r="AE268" s="90"/>
      <c r="AF268" s="90"/>
      <c r="AG268" s="90"/>
      <c r="AH268" s="90"/>
      <c r="AI268" s="90"/>
      <c r="AJ268" s="90"/>
      <c r="AK268" s="90"/>
      <c r="AL268" s="90"/>
      <c r="AM268" s="90"/>
      <c r="AN268" s="90"/>
      <c r="AO268" s="90"/>
      <c r="AP268" s="90"/>
      <c r="AQ268" s="90"/>
      <c r="AR268" s="90"/>
      <c r="AS268" s="90"/>
      <c r="AT268" s="90"/>
      <c r="AU268" s="90"/>
      <c r="AV268" s="90"/>
      <c r="AW268" s="90"/>
      <c r="AX268" s="90"/>
    </row>
    <row r="269" s="91" customFormat="true" ht="15.75" hidden="false" customHeight="false" outlineLevel="0" collapsed="false">
      <c r="A269" s="90"/>
      <c r="B269" s="90"/>
      <c r="C269" s="90"/>
      <c r="D269" s="90"/>
      <c r="E269" s="89"/>
      <c r="F269" s="90"/>
      <c r="G269" s="90"/>
      <c r="H269" s="90"/>
      <c r="I269" s="90"/>
      <c r="J269" s="90"/>
      <c r="K269" s="90"/>
      <c r="L269" s="90"/>
      <c r="M269" s="90"/>
      <c r="N269" s="90"/>
      <c r="O269" s="90"/>
      <c r="P269" s="90"/>
      <c r="Q269" s="90"/>
      <c r="R269" s="90"/>
      <c r="S269" s="90"/>
      <c r="T269" s="90"/>
      <c r="U269" s="90"/>
      <c r="V269" s="90"/>
      <c r="W269" s="90"/>
      <c r="X269" s="90"/>
      <c r="Y269" s="90"/>
      <c r="Z269" s="90"/>
      <c r="AA269" s="90"/>
      <c r="AB269" s="90"/>
      <c r="AC269" s="90"/>
      <c r="AD269" s="90"/>
      <c r="AE269" s="90"/>
      <c r="AF269" s="90"/>
      <c r="AG269" s="90"/>
      <c r="AH269" s="90"/>
      <c r="AI269" s="90"/>
      <c r="AJ269" s="90"/>
      <c r="AK269" s="90"/>
      <c r="AL269" s="90"/>
      <c r="AM269" s="90"/>
      <c r="AN269" s="90"/>
      <c r="AO269" s="90"/>
      <c r="AP269" s="90"/>
      <c r="AQ269" s="90"/>
      <c r="AR269" s="90"/>
      <c r="AS269" s="90"/>
      <c r="AT269" s="90"/>
      <c r="AU269" s="90"/>
      <c r="AV269" s="90"/>
      <c r="AW269" s="90"/>
      <c r="AX269" s="90"/>
    </row>
    <row r="270" s="91" customFormat="true" ht="15.75" hidden="false" customHeight="false" outlineLevel="0" collapsed="false">
      <c r="A270" s="90"/>
      <c r="B270" s="90"/>
      <c r="C270" s="90"/>
      <c r="D270" s="90"/>
      <c r="E270" s="89"/>
      <c r="F270" s="90"/>
      <c r="G270" s="90"/>
      <c r="H270" s="90"/>
      <c r="I270" s="90"/>
      <c r="J270" s="90"/>
      <c r="K270" s="90"/>
      <c r="L270" s="90"/>
      <c r="M270" s="90"/>
      <c r="N270" s="90"/>
      <c r="O270" s="90"/>
      <c r="P270" s="90"/>
      <c r="Q270" s="90"/>
      <c r="R270" s="90"/>
      <c r="S270" s="90"/>
      <c r="T270" s="90"/>
      <c r="U270" s="90"/>
      <c r="V270" s="90"/>
      <c r="W270" s="90"/>
      <c r="X270" s="90"/>
      <c r="Y270" s="90"/>
      <c r="Z270" s="90"/>
      <c r="AA270" s="90"/>
      <c r="AB270" s="90"/>
      <c r="AC270" s="90"/>
      <c r="AD270" s="90"/>
      <c r="AE270" s="90"/>
      <c r="AF270" s="90"/>
      <c r="AG270" s="90"/>
      <c r="AH270" s="90"/>
      <c r="AI270" s="90"/>
      <c r="AJ270" s="90"/>
      <c r="AK270" s="90"/>
      <c r="AL270" s="90"/>
      <c r="AM270" s="90"/>
      <c r="AN270" s="90"/>
      <c r="AO270" s="90"/>
      <c r="AP270" s="90"/>
      <c r="AQ270" s="90"/>
      <c r="AR270" s="90"/>
      <c r="AS270" s="90"/>
      <c r="AT270" s="90"/>
      <c r="AU270" s="90"/>
      <c r="AV270" s="90"/>
      <c r="AW270" s="90"/>
      <c r="AX270" s="90"/>
    </row>
    <row r="271" s="91" customFormat="true" ht="15.75" hidden="false" customHeight="false" outlineLevel="0" collapsed="false">
      <c r="A271" s="90"/>
      <c r="B271" s="90"/>
      <c r="C271" s="90"/>
      <c r="D271" s="90"/>
      <c r="E271" s="89"/>
      <c r="F271" s="90"/>
      <c r="G271" s="90"/>
      <c r="H271" s="90"/>
      <c r="I271" s="90"/>
      <c r="J271" s="90"/>
      <c r="K271" s="90"/>
      <c r="L271" s="90"/>
      <c r="M271" s="90"/>
      <c r="N271" s="90"/>
      <c r="O271" s="90"/>
      <c r="P271" s="90"/>
      <c r="Q271" s="90"/>
      <c r="R271" s="90"/>
      <c r="S271" s="90"/>
      <c r="T271" s="90"/>
      <c r="U271" s="90"/>
      <c r="V271" s="90"/>
      <c r="W271" s="90"/>
      <c r="X271" s="90"/>
      <c r="Y271" s="90"/>
      <c r="Z271" s="90"/>
      <c r="AA271" s="90"/>
      <c r="AB271" s="90"/>
      <c r="AC271" s="90"/>
      <c r="AD271" s="90"/>
      <c r="AE271" s="90"/>
      <c r="AF271" s="90"/>
      <c r="AG271" s="90"/>
      <c r="AH271" s="90"/>
      <c r="AI271" s="90"/>
      <c r="AJ271" s="90"/>
      <c r="AK271" s="90"/>
      <c r="AL271" s="90"/>
      <c r="AM271" s="90"/>
      <c r="AN271" s="90"/>
      <c r="AO271" s="90"/>
      <c r="AP271" s="90"/>
      <c r="AQ271" s="90"/>
      <c r="AR271" s="90"/>
      <c r="AS271" s="90"/>
      <c r="AT271" s="90"/>
      <c r="AU271" s="90"/>
      <c r="AV271" s="90"/>
      <c r="AW271" s="90"/>
      <c r="AX271" s="90"/>
    </row>
    <row r="272" s="91" customFormat="true" ht="15.75" hidden="false" customHeight="false" outlineLevel="0" collapsed="false">
      <c r="A272" s="90"/>
      <c r="B272" s="90"/>
      <c r="C272" s="90"/>
      <c r="D272" s="90"/>
      <c r="E272" s="89"/>
      <c r="F272" s="90"/>
      <c r="G272" s="90"/>
      <c r="H272" s="90"/>
      <c r="I272" s="90"/>
      <c r="J272" s="90"/>
      <c r="K272" s="90"/>
      <c r="L272" s="90"/>
      <c r="M272" s="90"/>
      <c r="N272" s="90"/>
      <c r="O272" s="90"/>
      <c r="P272" s="90"/>
      <c r="Q272" s="90"/>
      <c r="R272" s="90"/>
      <c r="S272" s="90"/>
      <c r="T272" s="90"/>
      <c r="U272" s="90"/>
      <c r="V272" s="90"/>
      <c r="W272" s="90"/>
      <c r="X272" s="90"/>
      <c r="Y272" s="90"/>
      <c r="Z272" s="90"/>
      <c r="AA272" s="90"/>
      <c r="AB272" s="90"/>
      <c r="AC272" s="90"/>
      <c r="AD272" s="90"/>
      <c r="AE272" s="90"/>
      <c r="AF272" s="90"/>
      <c r="AG272" s="90"/>
      <c r="AH272" s="90"/>
      <c r="AI272" s="90"/>
      <c r="AJ272" s="90"/>
      <c r="AK272" s="90"/>
      <c r="AL272" s="90"/>
      <c r="AM272" s="90"/>
      <c r="AN272" s="90"/>
      <c r="AO272" s="90"/>
      <c r="AP272" s="90"/>
      <c r="AQ272" s="90"/>
      <c r="AR272" s="90"/>
      <c r="AS272" s="90"/>
      <c r="AT272" s="90"/>
      <c r="AU272" s="90"/>
      <c r="AV272" s="90"/>
      <c r="AW272" s="90"/>
      <c r="AX272" s="90"/>
    </row>
    <row r="273" s="91" customFormat="true" ht="15.75" hidden="false" customHeight="false" outlineLevel="0" collapsed="false">
      <c r="A273" s="90"/>
      <c r="B273" s="90"/>
      <c r="C273" s="90"/>
      <c r="D273" s="90"/>
      <c r="E273" s="89"/>
      <c r="F273" s="90"/>
      <c r="G273" s="90"/>
      <c r="H273" s="90"/>
      <c r="I273" s="90"/>
      <c r="J273" s="90"/>
      <c r="K273" s="90"/>
      <c r="L273" s="90"/>
      <c r="M273" s="90"/>
      <c r="N273" s="90"/>
      <c r="O273" s="90"/>
      <c r="P273" s="90"/>
      <c r="Q273" s="90"/>
      <c r="R273" s="90"/>
      <c r="S273" s="90"/>
      <c r="T273" s="90"/>
      <c r="U273" s="90"/>
      <c r="V273" s="90"/>
      <c r="W273" s="90"/>
      <c r="X273" s="90"/>
      <c r="Y273" s="90"/>
      <c r="Z273" s="90"/>
      <c r="AA273" s="90"/>
      <c r="AB273" s="90"/>
      <c r="AC273" s="90"/>
      <c r="AD273" s="90"/>
      <c r="AE273" s="90"/>
      <c r="AF273" s="90"/>
      <c r="AG273" s="90"/>
      <c r="AH273" s="90"/>
      <c r="AI273" s="90"/>
      <c r="AJ273" s="90"/>
      <c r="AK273" s="90"/>
      <c r="AL273" s="90"/>
      <c r="AM273" s="90"/>
      <c r="AN273" s="90"/>
      <c r="AO273" s="90"/>
      <c r="AP273" s="90"/>
      <c r="AQ273" s="90"/>
      <c r="AR273" s="90"/>
      <c r="AS273" s="90"/>
      <c r="AT273" s="90"/>
      <c r="AU273" s="90"/>
      <c r="AV273" s="90"/>
      <c r="AW273" s="90"/>
      <c r="AX273" s="90"/>
    </row>
    <row r="274" s="91" customFormat="true" ht="15.75" hidden="false" customHeight="false" outlineLevel="0" collapsed="false">
      <c r="A274" s="90"/>
      <c r="B274" s="90"/>
      <c r="C274" s="90"/>
      <c r="D274" s="90"/>
      <c r="E274" s="89"/>
      <c r="F274" s="90"/>
      <c r="G274" s="90"/>
      <c r="H274" s="90"/>
      <c r="I274" s="90"/>
      <c r="J274" s="90"/>
      <c r="K274" s="90"/>
      <c r="L274" s="90"/>
      <c r="M274" s="90"/>
      <c r="N274" s="90"/>
      <c r="O274" s="90"/>
      <c r="P274" s="90"/>
      <c r="Q274" s="90"/>
      <c r="R274" s="90"/>
      <c r="S274" s="90"/>
      <c r="T274" s="90"/>
      <c r="U274" s="90"/>
      <c r="V274" s="90"/>
      <c r="W274" s="90"/>
      <c r="X274" s="90"/>
      <c r="Y274" s="90"/>
      <c r="Z274" s="90"/>
      <c r="AA274" s="90"/>
      <c r="AB274" s="90"/>
      <c r="AC274" s="90"/>
      <c r="AD274" s="90"/>
      <c r="AE274" s="90"/>
      <c r="AF274" s="90"/>
      <c r="AG274" s="90"/>
      <c r="AH274" s="90"/>
      <c r="AI274" s="90"/>
      <c r="AJ274" s="90"/>
      <c r="AK274" s="90"/>
      <c r="AL274" s="90"/>
      <c r="AM274" s="90"/>
      <c r="AN274" s="90"/>
      <c r="AO274" s="90"/>
      <c r="AP274" s="90"/>
      <c r="AQ274" s="90"/>
      <c r="AR274" s="90"/>
      <c r="AS274" s="90"/>
      <c r="AT274" s="90"/>
      <c r="AU274" s="90"/>
      <c r="AV274" s="90"/>
      <c r="AW274" s="90"/>
      <c r="AX274" s="90"/>
    </row>
    <row r="275" s="91" customFormat="true" ht="15.75" hidden="false" customHeight="false" outlineLevel="0" collapsed="false">
      <c r="A275" s="90"/>
      <c r="B275" s="90"/>
      <c r="C275" s="90"/>
      <c r="D275" s="90"/>
      <c r="E275" s="89"/>
      <c r="F275" s="90"/>
      <c r="G275" s="90"/>
      <c r="H275" s="90"/>
      <c r="I275" s="90"/>
      <c r="J275" s="90"/>
      <c r="K275" s="90"/>
      <c r="L275" s="90"/>
      <c r="M275" s="90"/>
      <c r="N275" s="90"/>
      <c r="O275" s="90"/>
      <c r="P275" s="90"/>
      <c r="Q275" s="90"/>
      <c r="R275" s="90"/>
      <c r="S275" s="90"/>
      <c r="T275" s="90"/>
      <c r="U275" s="90"/>
      <c r="V275" s="90"/>
      <c r="W275" s="90"/>
      <c r="X275" s="90"/>
      <c r="Y275" s="90"/>
      <c r="Z275" s="90"/>
      <c r="AA275" s="90"/>
      <c r="AB275" s="90"/>
      <c r="AC275" s="90"/>
      <c r="AD275" s="90"/>
      <c r="AE275" s="90"/>
      <c r="AF275" s="90"/>
      <c r="AG275" s="90"/>
      <c r="AH275" s="90"/>
      <c r="AI275" s="90"/>
      <c r="AJ275" s="90"/>
      <c r="AK275" s="90"/>
      <c r="AL275" s="90"/>
      <c r="AM275" s="90"/>
      <c r="AN275" s="90"/>
      <c r="AO275" s="90"/>
      <c r="AP275" s="90"/>
      <c r="AQ275" s="90"/>
      <c r="AR275" s="90"/>
      <c r="AS275" s="90"/>
      <c r="AT275" s="90"/>
      <c r="AU275" s="90"/>
      <c r="AV275" s="90"/>
      <c r="AW275" s="90"/>
      <c r="AX275" s="90"/>
    </row>
    <row r="276" s="91" customFormat="true" ht="15.75" hidden="false" customHeight="false" outlineLevel="0" collapsed="false">
      <c r="A276" s="90"/>
      <c r="B276" s="90"/>
      <c r="C276" s="90"/>
      <c r="D276" s="90"/>
      <c r="E276" s="89"/>
      <c r="F276" s="90"/>
      <c r="G276" s="90"/>
      <c r="H276" s="90"/>
      <c r="I276" s="90"/>
      <c r="J276" s="90"/>
      <c r="K276" s="90"/>
      <c r="L276" s="90"/>
      <c r="M276" s="90"/>
      <c r="N276" s="90"/>
      <c r="O276" s="90"/>
      <c r="P276" s="90"/>
      <c r="Q276" s="90"/>
      <c r="R276" s="90"/>
      <c r="S276" s="90"/>
      <c r="T276" s="90"/>
      <c r="U276" s="90"/>
      <c r="V276" s="90"/>
      <c r="W276" s="90"/>
      <c r="X276" s="90"/>
      <c r="Y276" s="90"/>
      <c r="Z276" s="90"/>
      <c r="AA276" s="90"/>
      <c r="AB276" s="90"/>
      <c r="AC276" s="90"/>
      <c r="AD276" s="90"/>
      <c r="AE276" s="90"/>
      <c r="AF276" s="90"/>
      <c r="AG276" s="90"/>
      <c r="AH276" s="90"/>
      <c r="AI276" s="90"/>
      <c r="AJ276" s="90"/>
      <c r="AK276" s="90"/>
      <c r="AL276" s="90"/>
      <c r="AM276" s="90"/>
      <c r="AN276" s="90"/>
      <c r="AO276" s="90"/>
      <c r="AP276" s="90"/>
      <c r="AQ276" s="90"/>
      <c r="AR276" s="90"/>
      <c r="AS276" s="90"/>
      <c r="AT276" s="90"/>
      <c r="AU276" s="90"/>
      <c r="AV276" s="90"/>
      <c r="AW276" s="90"/>
      <c r="AX276" s="90"/>
    </row>
    <row r="277" s="91" customFormat="true" ht="15.75" hidden="false" customHeight="false" outlineLevel="0" collapsed="false">
      <c r="A277" s="90"/>
      <c r="B277" s="90"/>
      <c r="C277" s="90"/>
      <c r="D277" s="90"/>
      <c r="E277" s="89"/>
      <c r="F277" s="90"/>
      <c r="G277" s="90"/>
      <c r="H277" s="90"/>
      <c r="I277" s="90"/>
      <c r="J277" s="90"/>
      <c r="K277" s="90"/>
      <c r="L277" s="90"/>
      <c r="M277" s="90"/>
      <c r="N277" s="90"/>
      <c r="O277" s="90"/>
      <c r="P277" s="90"/>
      <c r="Q277" s="90"/>
      <c r="R277" s="90"/>
      <c r="S277" s="90"/>
      <c r="T277" s="90"/>
      <c r="U277" s="90"/>
      <c r="V277" s="90"/>
      <c r="W277" s="90"/>
      <c r="X277" s="90"/>
      <c r="Y277" s="90"/>
      <c r="Z277" s="90"/>
      <c r="AA277" s="90"/>
      <c r="AB277" s="90"/>
      <c r="AC277" s="90"/>
      <c r="AD277" s="90"/>
      <c r="AE277" s="90"/>
      <c r="AF277" s="90"/>
      <c r="AG277" s="90"/>
      <c r="AH277" s="90"/>
      <c r="AI277" s="90"/>
      <c r="AJ277" s="90"/>
      <c r="AK277" s="90"/>
      <c r="AL277" s="90"/>
      <c r="AM277" s="90"/>
      <c r="AN277" s="90"/>
      <c r="AO277" s="90"/>
      <c r="AP277" s="90"/>
      <c r="AQ277" s="90"/>
      <c r="AR277" s="90"/>
      <c r="AS277" s="90"/>
      <c r="AT277" s="90"/>
      <c r="AU277" s="90"/>
      <c r="AV277" s="90"/>
      <c r="AW277" s="90"/>
      <c r="AX277" s="90"/>
    </row>
    <row r="278" s="91" customFormat="true" ht="15.75" hidden="false" customHeight="false" outlineLevel="0" collapsed="false">
      <c r="A278" s="90"/>
      <c r="B278" s="90"/>
      <c r="C278" s="90"/>
      <c r="D278" s="90"/>
      <c r="E278" s="89"/>
      <c r="F278" s="90"/>
      <c r="G278" s="90"/>
      <c r="H278" s="90"/>
      <c r="I278" s="90"/>
      <c r="J278" s="90"/>
      <c r="K278" s="90"/>
      <c r="L278" s="90"/>
      <c r="M278" s="90"/>
      <c r="N278" s="90"/>
      <c r="O278" s="90"/>
      <c r="P278" s="90"/>
      <c r="Q278" s="90"/>
      <c r="R278" s="90"/>
      <c r="S278" s="90"/>
      <c r="T278" s="90"/>
      <c r="U278" s="90"/>
      <c r="V278" s="90"/>
      <c r="W278" s="90"/>
      <c r="X278" s="90"/>
      <c r="Y278" s="90"/>
      <c r="Z278" s="90"/>
      <c r="AA278" s="90"/>
      <c r="AB278" s="90"/>
      <c r="AC278" s="90"/>
      <c r="AD278" s="90"/>
      <c r="AE278" s="90"/>
      <c r="AF278" s="90"/>
      <c r="AG278" s="90"/>
      <c r="AH278" s="90"/>
      <c r="AI278" s="90"/>
      <c r="AJ278" s="90"/>
      <c r="AK278" s="90"/>
      <c r="AL278" s="90"/>
      <c r="AM278" s="90"/>
      <c r="AN278" s="90"/>
      <c r="AO278" s="90"/>
      <c r="AP278" s="90"/>
      <c r="AQ278" s="90"/>
      <c r="AR278" s="90"/>
      <c r="AS278" s="90"/>
      <c r="AT278" s="90"/>
      <c r="AU278" s="90"/>
      <c r="AV278" s="90"/>
      <c r="AW278" s="90"/>
      <c r="AX278" s="90"/>
    </row>
    <row r="279" s="91" customFormat="true" ht="15.75" hidden="false" customHeight="false" outlineLevel="0" collapsed="false">
      <c r="A279" s="90"/>
      <c r="B279" s="90"/>
      <c r="C279" s="90"/>
      <c r="D279" s="90"/>
      <c r="E279" s="89"/>
      <c r="F279" s="90"/>
      <c r="G279" s="90"/>
      <c r="H279" s="90"/>
      <c r="I279" s="90"/>
      <c r="J279" s="90"/>
      <c r="K279" s="90"/>
      <c r="L279" s="90"/>
      <c r="M279" s="90"/>
      <c r="N279" s="90"/>
      <c r="O279" s="90"/>
      <c r="P279" s="90"/>
      <c r="Q279" s="90"/>
      <c r="R279" s="90"/>
      <c r="S279" s="90"/>
      <c r="T279" s="90"/>
      <c r="U279" s="90"/>
      <c r="V279" s="90"/>
      <c r="W279" s="90"/>
      <c r="X279" s="90"/>
      <c r="Y279" s="90"/>
      <c r="Z279" s="90"/>
      <c r="AA279" s="90"/>
      <c r="AB279" s="90"/>
      <c r="AC279" s="90"/>
      <c r="AD279" s="90"/>
      <c r="AE279" s="90"/>
      <c r="AF279" s="90"/>
      <c r="AG279" s="90"/>
      <c r="AH279" s="90"/>
      <c r="AI279" s="90"/>
      <c r="AJ279" s="90"/>
      <c r="AK279" s="90"/>
      <c r="AL279" s="90"/>
      <c r="AM279" s="90"/>
      <c r="AN279" s="90"/>
      <c r="AO279" s="90"/>
      <c r="AP279" s="90"/>
      <c r="AQ279" s="90"/>
      <c r="AR279" s="90"/>
      <c r="AS279" s="90"/>
      <c r="AT279" s="90"/>
      <c r="AU279" s="90"/>
      <c r="AV279" s="90"/>
      <c r="AW279" s="90"/>
      <c r="AX279" s="90"/>
    </row>
    <row r="280" s="91" customFormat="true" ht="15.75" hidden="false" customHeight="false" outlineLevel="0" collapsed="false">
      <c r="A280" s="90"/>
      <c r="B280" s="90"/>
      <c r="C280" s="90"/>
      <c r="D280" s="90"/>
      <c r="E280" s="89"/>
      <c r="F280" s="90"/>
      <c r="G280" s="90"/>
      <c r="H280" s="90"/>
      <c r="I280" s="90"/>
      <c r="J280" s="90"/>
      <c r="K280" s="90"/>
      <c r="L280" s="90"/>
      <c r="M280" s="90"/>
      <c r="N280" s="90"/>
      <c r="O280" s="90"/>
      <c r="P280" s="90"/>
      <c r="Q280" s="90"/>
      <c r="R280" s="90"/>
      <c r="S280" s="90"/>
      <c r="T280" s="90"/>
      <c r="U280" s="90"/>
      <c r="V280" s="90"/>
      <c r="W280" s="90"/>
      <c r="X280" s="90"/>
      <c r="Y280" s="90"/>
      <c r="Z280" s="90"/>
      <c r="AA280" s="90"/>
      <c r="AB280" s="90"/>
      <c r="AC280" s="90"/>
      <c r="AD280" s="90"/>
      <c r="AE280" s="90"/>
      <c r="AF280" s="90"/>
      <c r="AG280" s="90"/>
      <c r="AH280" s="90"/>
      <c r="AI280" s="90"/>
      <c r="AJ280" s="90"/>
      <c r="AK280" s="90"/>
      <c r="AL280" s="90"/>
      <c r="AM280" s="90"/>
      <c r="AN280" s="90"/>
      <c r="AO280" s="90"/>
      <c r="AP280" s="90"/>
      <c r="AQ280" s="90"/>
      <c r="AR280" s="90"/>
      <c r="AS280" s="90"/>
      <c r="AT280" s="90"/>
      <c r="AU280" s="90"/>
      <c r="AV280" s="90"/>
      <c r="AW280" s="90"/>
      <c r="AX280" s="90"/>
    </row>
    <row r="281" s="91" customFormat="true" ht="15.75" hidden="false" customHeight="false" outlineLevel="0" collapsed="false">
      <c r="A281" s="90"/>
      <c r="B281" s="90"/>
      <c r="C281" s="90"/>
      <c r="D281" s="90"/>
      <c r="E281" s="89"/>
      <c r="F281" s="90"/>
      <c r="G281" s="90"/>
      <c r="H281" s="90"/>
      <c r="I281" s="90"/>
      <c r="J281" s="90"/>
      <c r="K281" s="90"/>
      <c r="L281" s="90"/>
      <c r="M281" s="90"/>
      <c r="N281" s="90"/>
      <c r="O281" s="90"/>
      <c r="P281" s="90"/>
      <c r="Q281" s="90"/>
      <c r="R281" s="90"/>
      <c r="S281" s="90"/>
      <c r="T281" s="90"/>
      <c r="U281" s="90"/>
      <c r="V281" s="90"/>
      <c r="W281" s="90"/>
      <c r="X281" s="90"/>
      <c r="Y281" s="90"/>
      <c r="Z281" s="90"/>
      <c r="AA281" s="90"/>
      <c r="AB281" s="90"/>
      <c r="AC281" s="90"/>
      <c r="AD281" s="90"/>
      <c r="AE281" s="90"/>
      <c r="AF281" s="90"/>
      <c r="AG281" s="90"/>
      <c r="AH281" s="90"/>
      <c r="AI281" s="90"/>
      <c r="AJ281" s="90"/>
      <c r="AK281" s="90"/>
      <c r="AL281" s="90"/>
      <c r="AM281" s="90"/>
      <c r="AN281" s="90"/>
      <c r="AO281" s="90"/>
      <c r="AP281" s="90"/>
      <c r="AQ281" s="90"/>
      <c r="AR281" s="90"/>
      <c r="AS281" s="90"/>
      <c r="AT281" s="90"/>
      <c r="AU281" s="90"/>
      <c r="AV281" s="90"/>
      <c r="AW281" s="90"/>
      <c r="AX281" s="90"/>
    </row>
    <row r="282" s="91" customFormat="true" ht="15.75" hidden="false" customHeight="false" outlineLevel="0" collapsed="false">
      <c r="A282" s="90"/>
      <c r="B282" s="90"/>
      <c r="C282" s="90"/>
      <c r="D282" s="90"/>
      <c r="E282" s="89"/>
      <c r="F282" s="90"/>
      <c r="G282" s="90"/>
      <c r="H282" s="90"/>
      <c r="I282" s="90"/>
      <c r="J282" s="90"/>
      <c r="K282" s="90"/>
      <c r="L282" s="90"/>
      <c r="M282" s="90"/>
      <c r="N282" s="90"/>
      <c r="O282" s="90"/>
      <c r="P282" s="90"/>
      <c r="Q282" s="90"/>
      <c r="R282" s="90"/>
      <c r="S282" s="90"/>
      <c r="T282" s="90"/>
      <c r="U282" s="90"/>
      <c r="V282" s="90"/>
      <c r="W282" s="90"/>
      <c r="X282" s="90"/>
      <c r="Y282" s="90"/>
      <c r="Z282" s="90"/>
      <c r="AA282" s="90"/>
      <c r="AB282" s="90"/>
      <c r="AC282" s="90"/>
      <c r="AD282" s="90"/>
      <c r="AE282" s="90"/>
      <c r="AF282" s="90"/>
      <c r="AG282" s="90"/>
      <c r="AH282" s="90"/>
      <c r="AI282" s="90"/>
      <c r="AJ282" s="90"/>
      <c r="AK282" s="90"/>
      <c r="AL282" s="90"/>
      <c r="AM282" s="90"/>
      <c r="AN282" s="90"/>
      <c r="AO282" s="90"/>
      <c r="AP282" s="90"/>
      <c r="AQ282" s="90"/>
      <c r="AR282" s="90"/>
      <c r="AS282" s="90"/>
      <c r="AT282" s="90"/>
      <c r="AU282" s="90"/>
      <c r="AV282" s="90"/>
      <c r="AW282" s="90"/>
      <c r="AX282" s="90"/>
    </row>
    <row r="283" s="91" customFormat="true" ht="15.75" hidden="false" customHeight="false" outlineLevel="0" collapsed="false">
      <c r="A283" s="90"/>
      <c r="B283" s="90"/>
      <c r="C283" s="90"/>
      <c r="D283" s="90"/>
      <c r="E283" s="89"/>
      <c r="F283" s="90"/>
      <c r="G283" s="90"/>
      <c r="H283" s="90"/>
      <c r="I283" s="90"/>
      <c r="J283" s="90"/>
      <c r="K283" s="90"/>
      <c r="L283" s="90"/>
      <c r="M283" s="90"/>
      <c r="N283" s="90"/>
      <c r="O283" s="90"/>
      <c r="P283" s="90"/>
      <c r="Q283" s="90"/>
      <c r="R283" s="90"/>
      <c r="S283" s="90"/>
      <c r="T283" s="90"/>
      <c r="U283" s="90"/>
      <c r="V283" s="90"/>
      <c r="W283" s="90"/>
      <c r="X283" s="90"/>
      <c r="Y283" s="90"/>
      <c r="Z283" s="90"/>
      <c r="AA283" s="90"/>
      <c r="AB283" s="90"/>
      <c r="AC283" s="90"/>
      <c r="AD283" s="90"/>
      <c r="AE283" s="90"/>
      <c r="AF283" s="90"/>
      <c r="AG283" s="90"/>
      <c r="AH283" s="90"/>
      <c r="AI283" s="90"/>
      <c r="AJ283" s="90"/>
      <c r="AK283" s="90"/>
      <c r="AL283" s="90"/>
      <c r="AM283" s="90"/>
      <c r="AN283" s="90"/>
      <c r="AO283" s="90"/>
      <c r="AP283" s="90"/>
      <c r="AQ283" s="90"/>
      <c r="AR283" s="90"/>
      <c r="AS283" s="90"/>
      <c r="AT283" s="90"/>
      <c r="AU283" s="90"/>
      <c r="AV283" s="90"/>
      <c r="AW283" s="90"/>
      <c r="AX283" s="90"/>
    </row>
    <row r="284" s="91" customFormat="true" ht="15.75" hidden="false" customHeight="false" outlineLevel="0" collapsed="false">
      <c r="A284" s="90"/>
      <c r="B284" s="90"/>
      <c r="C284" s="90"/>
      <c r="D284" s="90"/>
      <c r="E284" s="89"/>
      <c r="F284" s="90"/>
      <c r="G284" s="90"/>
      <c r="H284" s="90"/>
      <c r="I284" s="90"/>
      <c r="J284" s="90"/>
      <c r="K284" s="90"/>
      <c r="L284" s="90"/>
      <c r="M284" s="90"/>
      <c r="N284" s="90"/>
      <c r="O284" s="90"/>
      <c r="P284" s="90"/>
      <c r="Q284" s="90"/>
      <c r="R284" s="90"/>
      <c r="S284" s="90"/>
      <c r="T284" s="90"/>
      <c r="U284" s="90"/>
      <c r="V284" s="90"/>
      <c r="W284" s="90"/>
      <c r="X284" s="90"/>
      <c r="Y284" s="90"/>
      <c r="Z284" s="90"/>
      <c r="AA284" s="90"/>
      <c r="AB284" s="90"/>
      <c r="AC284" s="90"/>
      <c r="AD284" s="90"/>
      <c r="AE284" s="90"/>
      <c r="AF284" s="90"/>
      <c r="AG284" s="90"/>
      <c r="AH284" s="90"/>
      <c r="AI284" s="90"/>
      <c r="AJ284" s="90"/>
      <c r="AK284" s="90"/>
      <c r="AL284" s="90"/>
      <c r="AM284" s="90"/>
      <c r="AN284" s="90"/>
      <c r="AO284" s="90"/>
      <c r="AP284" s="90"/>
      <c r="AQ284" s="90"/>
      <c r="AR284" s="90"/>
      <c r="AS284" s="90"/>
      <c r="AT284" s="90"/>
      <c r="AU284" s="90"/>
      <c r="AV284" s="90"/>
      <c r="AW284" s="90"/>
      <c r="AX284" s="90"/>
    </row>
    <row r="285" s="91" customFormat="true" ht="15.75" hidden="false" customHeight="false" outlineLevel="0" collapsed="false">
      <c r="A285" s="90"/>
      <c r="B285" s="90"/>
      <c r="C285" s="90"/>
      <c r="D285" s="90"/>
      <c r="E285" s="89"/>
      <c r="F285" s="90"/>
      <c r="G285" s="90"/>
      <c r="H285" s="90"/>
      <c r="I285" s="90"/>
      <c r="J285" s="90"/>
      <c r="K285" s="90"/>
      <c r="L285" s="90"/>
      <c r="M285" s="90"/>
      <c r="N285" s="90"/>
      <c r="O285" s="90"/>
      <c r="P285" s="90"/>
      <c r="Q285" s="90"/>
      <c r="R285" s="90"/>
      <c r="S285" s="90"/>
      <c r="T285" s="90"/>
      <c r="U285" s="90"/>
      <c r="V285" s="90"/>
      <c r="W285" s="90"/>
      <c r="X285" s="90"/>
      <c r="Y285" s="90"/>
      <c r="Z285" s="90"/>
      <c r="AA285" s="90"/>
      <c r="AB285" s="90"/>
      <c r="AC285" s="90"/>
      <c r="AD285" s="90"/>
      <c r="AE285" s="90"/>
      <c r="AF285" s="90"/>
      <c r="AG285" s="90"/>
      <c r="AH285" s="90"/>
      <c r="AI285" s="90"/>
      <c r="AJ285" s="90"/>
      <c r="AK285" s="90"/>
      <c r="AL285" s="90"/>
      <c r="AM285" s="90"/>
      <c r="AN285" s="90"/>
      <c r="AO285" s="90"/>
      <c r="AP285" s="90"/>
      <c r="AQ285" s="90"/>
      <c r="AR285" s="90"/>
      <c r="AS285" s="90"/>
      <c r="AT285" s="90"/>
      <c r="AU285" s="90"/>
      <c r="AV285" s="90"/>
      <c r="AW285" s="90"/>
      <c r="AX285" s="90"/>
    </row>
    <row r="286" s="91" customFormat="true" ht="15.75" hidden="false" customHeight="false" outlineLevel="0" collapsed="false">
      <c r="A286" s="90"/>
      <c r="B286" s="90"/>
      <c r="C286" s="90"/>
      <c r="D286" s="90"/>
      <c r="E286" s="89"/>
      <c r="F286" s="90"/>
      <c r="G286" s="90"/>
      <c r="H286" s="90"/>
      <c r="I286" s="90"/>
      <c r="J286" s="90"/>
      <c r="K286" s="90"/>
      <c r="L286" s="90"/>
      <c r="M286" s="90"/>
      <c r="N286" s="90"/>
      <c r="O286" s="90"/>
      <c r="P286" s="90"/>
      <c r="Q286" s="90"/>
      <c r="R286" s="90"/>
      <c r="S286" s="90"/>
      <c r="T286" s="90"/>
      <c r="U286" s="90"/>
      <c r="V286" s="90"/>
      <c r="W286" s="90"/>
      <c r="X286" s="90"/>
      <c r="Y286" s="90"/>
      <c r="Z286" s="90"/>
      <c r="AA286" s="90"/>
      <c r="AB286" s="90"/>
      <c r="AC286" s="90"/>
      <c r="AD286" s="90"/>
      <c r="AE286" s="90"/>
      <c r="AF286" s="90"/>
      <c r="AG286" s="90"/>
      <c r="AH286" s="90"/>
      <c r="AI286" s="90"/>
      <c r="AJ286" s="90"/>
      <c r="AK286" s="90"/>
      <c r="AL286" s="90"/>
      <c r="AM286" s="90"/>
      <c r="AN286" s="90"/>
      <c r="AO286" s="90"/>
      <c r="AP286" s="90"/>
      <c r="AQ286" s="90"/>
      <c r="AR286" s="90"/>
      <c r="AS286" s="90"/>
      <c r="AT286" s="90"/>
      <c r="AU286" s="90"/>
      <c r="AV286" s="90"/>
      <c r="AW286" s="90"/>
      <c r="AX286" s="90"/>
    </row>
    <row r="287" s="91" customFormat="true" ht="15.75" hidden="false" customHeight="false" outlineLevel="0" collapsed="false">
      <c r="A287" s="90"/>
      <c r="B287" s="90"/>
      <c r="C287" s="90"/>
      <c r="D287" s="90"/>
      <c r="E287" s="89"/>
      <c r="F287" s="90"/>
      <c r="G287" s="90"/>
      <c r="H287" s="90"/>
      <c r="I287" s="90"/>
      <c r="J287" s="90"/>
      <c r="K287" s="90"/>
      <c r="L287" s="90"/>
      <c r="M287" s="90"/>
      <c r="N287" s="90"/>
      <c r="O287" s="90"/>
      <c r="P287" s="90"/>
      <c r="Q287" s="90"/>
      <c r="R287" s="90"/>
      <c r="S287" s="90"/>
      <c r="T287" s="90"/>
      <c r="U287" s="90"/>
      <c r="V287" s="90"/>
      <c r="W287" s="90"/>
      <c r="X287" s="90"/>
      <c r="Y287" s="90"/>
      <c r="Z287" s="90"/>
      <c r="AA287" s="90"/>
      <c r="AB287" s="90"/>
      <c r="AC287" s="90"/>
      <c r="AD287" s="90"/>
      <c r="AE287" s="90"/>
      <c r="AF287" s="90"/>
      <c r="AG287" s="90"/>
      <c r="AH287" s="90"/>
      <c r="AI287" s="90"/>
      <c r="AJ287" s="90"/>
      <c r="AK287" s="90"/>
      <c r="AL287" s="90"/>
      <c r="AM287" s="90"/>
      <c r="AN287" s="90"/>
      <c r="AO287" s="90"/>
      <c r="AP287" s="90"/>
      <c r="AQ287" s="90"/>
      <c r="AR287" s="90"/>
      <c r="AS287" s="90"/>
      <c r="AT287" s="90"/>
      <c r="AU287" s="90"/>
      <c r="AV287" s="90"/>
      <c r="AW287" s="90"/>
      <c r="AX287" s="90"/>
    </row>
    <row r="288" s="91" customFormat="true" ht="15.75" hidden="false" customHeight="false" outlineLevel="0" collapsed="false">
      <c r="A288" s="90"/>
      <c r="B288" s="90"/>
      <c r="C288" s="90"/>
      <c r="D288" s="90"/>
      <c r="E288" s="89"/>
      <c r="F288" s="90"/>
      <c r="G288" s="90"/>
      <c r="H288" s="90"/>
      <c r="I288" s="90"/>
      <c r="J288" s="90"/>
      <c r="K288" s="90"/>
      <c r="L288" s="90"/>
      <c r="M288" s="90"/>
      <c r="N288" s="90"/>
      <c r="O288" s="90"/>
      <c r="P288" s="90"/>
      <c r="Q288" s="90"/>
      <c r="R288" s="90"/>
      <c r="S288" s="90"/>
      <c r="T288" s="90"/>
      <c r="U288" s="90"/>
      <c r="V288" s="90"/>
      <c r="W288" s="90"/>
      <c r="X288" s="90"/>
      <c r="Y288" s="90"/>
      <c r="Z288" s="90"/>
      <c r="AA288" s="90"/>
      <c r="AB288" s="90"/>
      <c r="AC288" s="90"/>
      <c r="AD288" s="90"/>
      <c r="AE288" s="90"/>
      <c r="AF288" s="90"/>
      <c r="AG288" s="90"/>
      <c r="AH288" s="90"/>
      <c r="AI288" s="90"/>
      <c r="AJ288" s="90"/>
      <c r="AK288" s="90"/>
      <c r="AL288" s="90"/>
      <c r="AM288" s="90"/>
      <c r="AN288" s="90"/>
      <c r="AO288" s="90"/>
      <c r="AP288" s="90"/>
      <c r="AQ288" s="90"/>
      <c r="AR288" s="90"/>
      <c r="AS288" s="90"/>
      <c r="AT288" s="90"/>
      <c r="AU288" s="90"/>
      <c r="AV288" s="90"/>
      <c r="AW288" s="90"/>
      <c r="AX288" s="90"/>
    </row>
    <row r="289" s="91" customFormat="true" ht="15.75" hidden="false" customHeight="false" outlineLevel="0" collapsed="false">
      <c r="A289" s="90"/>
      <c r="B289" s="90"/>
      <c r="C289" s="90"/>
      <c r="D289" s="90"/>
      <c r="E289" s="89"/>
      <c r="F289" s="90"/>
      <c r="G289" s="90"/>
      <c r="H289" s="90"/>
      <c r="I289" s="90"/>
      <c r="J289" s="90"/>
      <c r="K289" s="90"/>
      <c r="L289" s="90"/>
      <c r="M289" s="90"/>
      <c r="N289" s="90"/>
      <c r="O289" s="90"/>
      <c r="P289" s="90"/>
      <c r="Q289" s="90"/>
      <c r="R289" s="90"/>
      <c r="S289" s="90"/>
      <c r="T289" s="90"/>
      <c r="U289" s="90"/>
      <c r="V289" s="90"/>
      <c r="W289" s="90"/>
      <c r="X289" s="90"/>
      <c r="Y289" s="90"/>
      <c r="Z289" s="90"/>
      <c r="AA289" s="90"/>
      <c r="AB289" s="90"/>
      <c r="AC289" s="90"/>
      <c r="AD289" s="90"/>
      <c r="AE289" s="90"/>
      <c r="AF289" s="90"/>
      <c r="AG289" s="90"/>
      <c r="AH289" s="90"/>
      <c r="AI289" s="90"/>
      <c r="AJ289" s="90"/>
      <c r="AK289" s="90"/>
      <c r="AL289" s="90"/>
      <c r="AM289" s="90"/>
      <c r="AN289" s="90"/>
      <c r="AO289" s="90"/>
      <c r="AP289" s="90"/>
      <c r="AQ289" s="90"/>
      <c r="AR289" s="90"/>
      <c r="AS289" s="90"/>
      <c r="AT289" s="90"/>
      <c r="AU289" s="90"/>
      <c r="AV289" s="90"/>
      <c r="AW289" s="90"/>
      <c r="AX289" s="90"/>
    </row>
    <row r="290" s="93" customFormat="true" ht="12.75" hidden="false" customHeight="false" outlineLevel="0" collapsed="false">
      <c r="A290" s="92"/>
      <c r="B290" s="92"/>
      <c r="C290" s="92"/>
      <c r="D290" s="92"/>
      <c r="E290" s="2"/>
      <c r="F290" s="92"/>
      <c r="G290" s="92"/>
      <c r="H290" s="92"/>
      <c r="I290" s="92"/>
      <c r="J290" s="92"/>
      <c r="K290" s="92"/>
      <c r="L290" s="92"/>
      <c r="M290" s="92"/>
      <c r="N290" s="92"/>
      <c r="O290" s="92"/>
      <c r="P290" s="92"/>
      <c r="Q290" s="92"/>
      <c r="R290" s="92"/>
      <c r="S290" s="92"/>
      <c r="T290" s="92"/>
      <c r="U290" s="92"/>
      <c r="V290" s="92"/>
      <c r="W290" s="92"/>
      <c r="X290" s="92"/>
      <c r="Y290" s="92"/>
      <c r="Z290" s="92"/>
      <c r="AA290" s="92"/>
      <c r="AB290" s="92"/>
      <c r="AC290" s="92"/>
      <c r="AD290" s="92"/>
      <c r="AE290" s="92"/>
      <c r="AF290" s="92"/>
      <c r="AG290" s="92"/>
      <c r="AH290" s="92"/>
      <c r="AI290" s="92"/>
      <c r="AJ290" s="92"/>
      <c r="AK290" s="92"/>
      <c r="AL290" s="92"/>
      <c r="AM290" s="92"/>
      <c r="AN290" s="92"/>
      <c r="AO290" s="92"/>
      <c r="AP290" s="92"/>
      <c r="AQ290" s="92"/>
      <c r="AR290" s="92"/>
      <c r="AS290" s="92"/>
      <c r="AT290" s="92"/>
      <c r="AU290" s="92"/>
      <c r="AV290" s="92"/>
      <c r="AW290" s="92"/>
      <c r="AX290" s="92"/>
    </row>
    <row r="291" s="93" customFormat="true" ht="12.75" hidden="false" customHeight="false" outlineLevel="0" collapsed="false">
      <c r="A291" s="92"/>
      <c r="B291" s="92"/>
      <c r="C291" s="92"/>
      <c r="D291" s="92"/>
      <c r="E291" s="2"/>
      <c r="F291" s="92"/>
      <c r="G291" s="92"/>
      <c r="H291" s="92"/>
      <c r="I291" s="92"/>
      <c r="J291" s="92"/>
      <c r="K291" s="92"/>
      <c r="L291" s="92"/>
      <c r="M291" s="92"/>
      <c r="N291" s="92"/>
      <c r="O291" s="92"/>
      <c r="P291" s="92"/>
      <c r="Q291" s="92"/>
      <c r="R291" s="92"/>
      <c r="S291" s="92"/>
      <c r="T291" s="92"/>
      <c r="U291" s="92"/>
      <c r="V291" s="92"/>
      <c r="W291" s="92"/>
      <c r="X291" s="92"/>
      <c r="Y291" s="92"/>
      <c r="Z291" s="92"/>
      <c r="AA291" s="92"/>
      <c r="AB291" s="92"/>
      <c r="AC291" s="92"/>
      <c r="AD291" s="92"/>
      <c r="AE291" s="92"/>
      <c r="AF291" s="92"/>
      <c r="AG291" s="92"/>
      <c r="AH291" s="92"/>
      <c r="AI291" s="92"/>
      <c r="AJ291" s="92"/>
      <c r="AK291" s="92"/>
      <c r="AL291" s="92"/>
      <c r="AM291" s="92"/>
      <c r="AN291" s="92"/>
      <c r="AO291" s="92"/>
      <c r="AP291" s="92"/>
      <c r="AQ291" s="92"/>
      <c r="AR291" s="92"/>
      <c r="AS291" s="92"/>
      <c r="AT291" s="92"/>
      <c r="AU291" s="92"/>
      <c r="AV291" s="92"/>
      <c r="AW291" s="92"/>
      <c r="AX291" s="92"/>
    </row>
    <row r="292" s="93" customFormat="true" ht="12.75" hidden="false" customHeight="false" outlineLevel="0" collapsed="false">
      <c r="A292" s="92"/>
      <c r="B292" s="92"/>
      <c r="C292" s="92"/>
      <c r="D292" s="92"/>
      <c r="E292" s="2"/>
      <c r="F292" s="92"/>
      <c r="G292" s="92"/>
      <c r="H292" s="92"/>
      <c r="I292" s="92"/>
      <c r="J292" s="92"/>
      <c r="K292" s="92"/>
      <c r="L292" s="92"/>
      <c r="M292" s="92"/>
      <c r="N292" s="92"/>
      <c r="O292" s="92"/>
      <c r="P292" s="92"/>
      <c r="Q292" s="92"/>
      <c r="R292" s="92"/>
      <c r="S292" s="92"/>
      <c r="T292" s="92"/>
      <c r="U292" s="92"/>
      <c r="V292" s="92"/>
      <c r="W292" s="92"/>
      <c r="X292" s="92"/>
      <c r="Y292" s="92"/>
      <c r="Z292" s="92"/>
      <c r="AA292" s="92"/>
      <c r="AB292" s="92"/>
      <c r="AC292" s="92"/>
      <c r="AD292" s="92"/>
      <c r="AE292" s="92"/>
      <c r="AF292" s="92"/>
      <c r="AG292" s="92"/>
      <c r="AH292" s="92"/>
      <c r="AI292" s="92"/>
      <c r="AJ292" s="92"/>
      <c r="AK292" s="92"/>
      <c r="AL292" s="92"/>
      <c r="AM292" s="92"/>
      <c r="AN292" s="92"/>
      <c r="AO292" s="92"/>
      <c r="AP292" s="92"/>
      <c r="AQ292" s="92"/>
      <c r="AR292" s="92"/>
      <c r="AS292" s="92"/>
      <c r="AT292" s="92"/>
      <c r="AU292" s="92"/>
      <c r="AV292" s="92"/>
      <c r="AW292" s="92"/>
      <c r="AX292" s="92"/>
    </row>
    <row r="293" s="93" customFormat="true" ht="12.75" hidden="false" customHeight="false" outlineLevel="0" collapsed="false">
      <c r="A293" s="92"/>
      <c r="B293" s="92"/>
      <c r="C293" s="92"/>
      <c r="D293" s="92"/>
      <c r="E293" s="2"/>
      <c r="F293" s="92"/>
      <c r="G293" s="92"/>
      <c r="H293" s="92"/>
      <c r="I293" s="92"/>
      <c r="J293" s="92"/>
      <c r="K293" s="92"/>
      <c r="L293" s="92"/>
      <c r="M293" s="92"/>
      <c r="N293" s="92"/>
      <c r="O293" s="92"/>
      <c r="P293" s="92"/>
      <c r="Q293" s="92"/>
      <c r="R293" s="92"/>
      <c r="S293" s="92"/>
      <c r="T293" s="92"/>
      <c r="U293" s="92"/>
      <c r="V293" s="92"/>
      <c r="W293" s="92"/>
      <c r="X293" s="92"/>
      <c r="Y293" s="92"/>
      <c r="Z293" s="92"/>
      <c r="AA293" s="92"/>
      <c r="AB293" s="92"/>
      <c r="AC293" s="92"/>
      <c r="AD293" s="92"/>
      <c r="AE293" s="92"/>
      <c r="AF293" s="92"/>
      <c r="AG293" s="92"/>
      <c r="AH293" s="92"/>
      <c r="AI293" s="92"/>
      <c r="AJ293" s="92"/>
      <c r="AK293" s="92"/>
      <c r="AL293" s="92"/>
      <c r="AM293" s="92"/>
      <c r="AN293" s="92"/>
      <c r="AO293" s="92"/>
      <c r="AP293" s="92"/>
      <c r="AQ293" s="92"/>
      <c r="AR293" s="92"/>
      <c r="AS293" s="92"/>
      <c r="AT293" s="92"/>
      <c r="AU293" s="92"/>
      <c r="AV293" s="92"/>
      <c r="AW293" s="92"/>
      <c r="AX293" s="92"/>
    </row>
    <row r="294" s="93" customFormat="true" ht="12.75" hidden="false" customHeight="false" outlineLevel="0" collapsed="false">
      <c r="A294" s="92"/>
      <c r="B294" s="92"/>
      <c r="C294" s="92"/>
      <c r="D294" s="92"/>
      <c r="E294" s="2"/>
      <c r="F294" s="92"/>
      <c r="G294" s="92"/>
      <c r="H294" s="92"/>
      <c r="I294" s="92"/>
      <c r="J294" s="92"/>
      <c r="K294" s="92"/>
      <c r="L294" s="92"/>
      <c r="M294" s="92"/>
      <c r="N294" s="92"/>
      <c r="O294" s="92"/>
      <c r="P294" s="92"/>
      <c r="Q294" s="92"/>
      <c r="R294" s="92"/>
      <c r="S294" s="92"/>
      <c r="T294" s="92"/>
      <c r="U294" s="92"/>
      <c r="V294" s="92"/>
      <c r="W294" s="92"/>
      <c r="X294" s="92"/>
      <c r="Y294" s="92"/>
      <c r="Z294" s="92"/>
      <c r="AA294" s="92"/>
      <c r="AB294" s="92"/>
      <c r="AC294" s="92"/>
      <c r="AD294" s="92"/>
      <c r="AE294" s="92"/>
      <c r="AF294" s="92"/>
      <c r="AG294" s="92"/>
      <c r="AH294" s="92"/>
      <c r="AI294" s="92"/>
      <c r="AJ294" s="92"/>
      <c r="AK294" s="92"/>
      <c r="AL294" s="92"/>
      <c r="AM294" s="92"/>
      <c r="AN294" s="92"/>
      <c r="AO294" s="92"/>
      <c r="AP294" s="92"/>
      <c r="AQ294" s="92"/>
      <c r="AR294" s="92"/>
      <c r="AS294" s="92"/>
      <c r="AT294" s="92"/>
      <c r="AU294" s="92"/>
      <c r="AV294" s="92"/>
      <c r="AW294" s="92"/>
      <c r="AX294" s="92"/>
    </row>
    <row r="295" s="93" customFormat="true" ht="12.75" hidden="false" customHeight="false" outlineLevel="0" collapsed="false">
      <c r="A295" s="92"/>
      <c r="B295" s="92"/>
      <c r="C295" s="92"/>
      <c r="D295" s="92"/>
      <c r="E295" s="2"/>
      <c r="F295" s="92"/>
      <c r="G295" s="92"/>
      <c r="H295" s="92"/>
      <c r="I295" s="92"/>
      <c r="J295" s="92"/>
      <c r="K295" s="92"/>
      <c r="L295" s="92"/>
      <c r="M295" s="92"/>
      <c r="N295" s="92"/>
      <c r="O295" s="92"/>
      <c r="P295" s="92"/>
      <c r="Q295" s="92"/>
      <c r="R295" s="92"/>
      <c r="S295" s="92"/>
      <c r="T295" s="92"/>
      <c r="U295" s="92"/>
      <c r="V295" s="92"/>
      <c r="W295" s="92"/>
      <c r="X295" s="92"/>
      <c r="Y295" s="92"/>
      <c r="Z295" s="92"/>
      <c r="AA295" s="92"/>
      <c r="AB295" s="92"/>
      <c r="AC295" s="92"/>
      <c r="AD295" s="92"/>
      <c r="AE295" s="92"/>
      <c r="AF295" s="92"/>
      <c r="AG295" s="92"/>
      <c r="AH295" s="92"/>
      <c r="AI295" s="92"/>
      <c r="AJ295" s="92"/>
      <c r="AK295" s="92"/>
      <c r="AL295" s="92"/>
      <c r="AM295" s="92"/>
      <c r="AN295" s="92"/>
      <c r="AO295" s="92"/>
      <c r="AP295" s="92"/>
      <c r="AQ295" s="92"/>
      <c r="AR295" s="92"/>
      <c r="AS295" s="92"/>
      <c r="AT295" s="92"/>
      <c r="AU295" s="92"/>
      <c r="AV295" s="92"/>
      <c r="AW295" s="92"/>
      <c r="AX295" s="92"/>
    </row>
    <row r="296" s="93" customFormat="true" ht="12.75" hidden="false" customHeight="false" outlineLevel="0" collapsed="false">
      <c r="A296" s="92"/>
      <c r="B296" s="92"/>
      <c r="C296" s="92"/>
      <c r="D296" s="92"/>
      <c r="E296" s="2"/>
      <c r="F296" s="92"/>
      <c r="G296" s="92"/>
      <c r="H296" s="92"/>
      <c r="I296" s="92"/>
      <c r="J296" s="92"/>
      <c r="K296" s="92"/>
      <c r="L296" s="92"/>
      <c r="M296" s="92"/>
      <c r="N296" s="92"/>
      <c r="O296" s="92"/>
      <c r="P296" s="92"/>
      <c r="Q296" s="92"/>
      <c r="R296" s="92"/>
      <c r="S296" s="92"/>
      <c r="T296" s="92"/>
      <c r="U296" s="92"/>
      <c r="V296" s="92"/>
      <c r="W296" s="92"/>
      <c r="X296" s="92"/>
      <c r="Y296" s="92"/>
      <c r="Z296" s="92"/>
      <c r="AA296" s="92"/>
      <c r="AB296" s="92"/>
      <c r="AC296" s="92"/>
      <c r="AD296" s="92"/>
      <c r="AE296" s="92"/>
      <c r="AF296" s="92"/>
      <c r="AG296" s="92"/>
      <c r="AH296" s="92"/>
      <c r="AI296" s="92"/>
      <c r="AJ296" s="92"/>
      <c r="AK296" s="92"/>
      <c r="AL296" s="92"/>
      <c r="AM296" s="92"/>
      <c r="AN296" s="92"/>
      <c r="AO296" s="92"/>
      <c r="AP296" s="92"/>
      <c r="AQ296" s="92"/>
      <c r="AR296" s="92"/>
      <c r="AS296" s="92"/>
      <c r="AT296" s="92"/>
      <c r="AU296" s="92"/>
      <c r="AV296" s="92"/>
      <c r="AW296" s="92"/>
      <c r="AX296" s="92"/>
    </row>
    <row r="297" s="93" customFormat="true" ht="12.75" hidden="false" customHeight="false" outlineLevel="0" collapsed="false">
      <c r="A297" s="92"/>
      <c r="B297" s="92"/>
      <c r="C297" s="92"/>
      <c r="D297" s="92"/>
      <c r="E297" s="2"/>
      <c r="F297" s="92"/>
      <c r="G297" s="92"/>
      <c r="H297" s="92"/>
      <c r="I297" s="92"/>
      <c r="J297" s="92"/>
      <c r="K297" s="92"/>
      <c r="L297" s="92"/>
      <c r="M297" s="92"/>
      <c r="N297" s="92"/>
      <c r="O297" s="92"/>
      <c r="P297" s="92"/>
      <c r="Q297" s="92"/>
      <c r="R297" s="92"/>
      <c r="S297" s="92"/>
      <c r="T297" s="92"/>
      <c r="U297" s="92"/>
      <c r="V297" s="92"/>
      <c r="W297" s="92"/>
      <c r="X297" s="92"/>
      <c r="Y297" s="92"/>
      <c r="Z297" s="92"/>
      <c r="AA297" s="92"/>
      <c r="AB297" s="92"/>
      <c r="AC297" s="92"/>
      <c r="AD297" s="92"/>
      <c r="AE297" s="92"/>
      <c r="AF297" s="92"/>
      <c r="AG297" s="92"/>
      <c r="AH297" s="92"/>
      <c r="AI297" s="92"/>
      <c r="AJ297" s="92"/>
      <c r="AK297" s="92"/>
      <c r="AL297" s="92"/>
      <c r="AM297" s="92"/>
      <c r="AN297" s="92"/>
      <c r="AO297" s="92"/>
      <c r="AP297" s="92"/>
      <c r="AQ297" s="92"/>
      <c r="AR297" s="92"/>
      <c r="AS297" s="92"/>
      <c r="AT297" s="92"/>
      <c r="AU297" s="92"/>
      <c r="AV297" s="92"/>
      <c r="AW297" s="92"/>
      <c r="AX297" s="92"/>
    </row>
    <row r="298" s="93" customFormat="true" ht="12.75" hidden="false" customHeight="false" outlineLevel="0" collapsed="false">
      <c r="A298" s="92"/>
      <c r="B298" s="92"/>
      <c r="C298" s="92"/>
      <c r="D298" s="92"/>
      <c r="E298" s="2"/>
      <c r="F298" s="92"/>
      <c r="G298" s="92"/>
      <c r="H298" s="92"/>
      <c r="I298" s="92"/>
      <c r="J298" s="92"/>
      <c r="K298" s="92"/>
      <c r="L298" s="92"/>
      <c r="M298" s="92"/>
      <c r="N298" s="92"/>
      <c r="O298" s="92"/>
      <c r="P298" s="92"/>
      <c r="Q298" s="92"/>
      <c r="R298" s="92"/>
      <c r="S298" s="92"/>
      <c r="T298" s="92"/>
      <c r="U298" s="92"/>
      <c r="V298" s="92"/>
      <c r="W298" s="92"/>
      <c r="X298" s="92"/>
      <c r="Y298" s="92"/>
      <c r="Z298" s="92"/>
      <c r="AA298" s="92"/>
      <c r="AB298" s="92"/>
      <c r="AC298" s="92"/>
      <c r="AD298" s="92"/>
      <c r="AE298" s="92"/>
      <c r="AF298" s="92"/>
      <c r="AG298" s="92"/>
      <c r="AH298" s="92"/>
      <c r="AI298" s="92"/>
      <c r="AJ298" s="92"/>
      <c r="AK298" s="92"/>
      <c r="AL298" s="92"/>
      <c r="AM298" s="92"/>
      <c r="AN298" s="92"/>
      <c r="AO298" s="92"/>
      <c r="AP298" s="92"/>
      <c r="AQ298" s="92"/>
      <c r="AR298" s="92"/>
      <c r="AS298" s="92"/>
      <c r="AT298" s="92"/>
      <c r="AU298" s="92"/>
      <c r="AV298" s="92"/>
      <c r="AW298" s="92"/>
      <c r="AX298" s="92"/>
    </row>
    <row r="299" s="93" customFormat="true" ht="12.75" hidden="false" customHeight="false" outlineLevel="0" collapsed="false">
      <c r="A299" s="92"/>
      <c r="B299" s="92"/>
      <c r="C299" s="92"/>
      <c r="D299" s="92"/>
      <c r="E299" s="2"/>
      <c r="F299" s="92"/>
      <c r="G299" s="92"/>
      <c r="H299" s="92"/>
      <c r="I299" s="92"/>
      <c r="J299" s="92"/>
      <c r="K299" s="92"/>
      <c r="L299" s="92"/>
      <c r="M299" s="92"/>
      <c r="N299" s="92"/>
      <c r="O299" s="92"/>
      <c r="P299" s="92"/>
      <c r="Q299" s="92"/>
      <c r="R299" s="92"/>
      <c r="S299" s="92"/>
      <c r="T299" s="92"/>
      <c r="U299" s="92"/>
      <c r="V299" s="92"/>
      <c r="W299" s="92"/>
      <c r="X299" s="92"/>
      <c r="Y299" s="92"/>
      <c r="Z299" s="92"/>
      <c r="AA299" s="92"/>
      <c r="AB299" s="92"/>
      <c r="AC299" s="92"/>
      <c r="AD299" s="92"/>
      <c r="AE299" s="92"/>
      <c r="AF299" s="92"/>
      <c r="AG299" s="92"/>
      <c r="AH299" s="92"/>
      <c r="AI299" s="92"/>
      <c r="AJ299" s="92"/>
      <c r="AK299" s="92"/>
      <c r="AL299" s="92"/>
      <c r="AM299" s="92"/>
      <c r="AN299" s="92"/>
      <c r="AO299" s="92"/>
      <c r="AP299" s="92"/>
      <c r="AQ299" s="92"/>
      <c r="AR299" s="92"/>
      <c r="AS299" s="92"/>
      <c r="AT299" s="92"/>
      <c r="AU299" s="92"/>
      <c r="AV299" s="92"/>
      <c r="AW299" s="92"/>
      <c r="AX299" s="92"/>
    </row>
  </sheetData>
  <mergeCells count="35">
    <mergeCell ref="F1:M1"/>
    <mergeCell ref="N1:V1"/>
    <mergeCell ref="W1:Y1"/>
    <mergeCell ref="Z1:AB1"/>
    <mergeCell ref="AC1:AI1"/>
    <mergeCell ref="AJ1:AM1"/>
    <mergeCell ref="AN1:AT1"/>
    <mergeCell ref="AU1:AW1"/>
    <mergeCell ref="AX1:BC1"/>
    <mergeCell ref="A2:E2"/>
    <mergeCell ref="F2:M2"/>
    <mergeCell ref="N2:T2"/>
    <mergeCell ref="U2:V2"/>
    <mergeCell ref="W2:AM2"/>
    <mergeCell ref="AN2:AT2"/>
    <mergeCell ref="AU2:AW2"/>
    <mergeCell ref="AX2:BC2"/>
    <mergeCell ref="BD2:BD4"/>
    <mergeCell ref="A3:A4"/>
    <mergeCell ref="B3:B4"/>
    <mergeCell ref="C3:C4"/>
    <mergeCell ref="D3:D4"/>
    <mergeCell ref="E3:E4"/>
    <mergeCell ref="F3:M3"/>
    <mergeCell ref="N3:T3"/>
    <mergeCell ref="U3:V3"/>
    <mergeCell ref="W3:Y3"/>
    <mergeCell ref="Z3:AB3"/>
    <mergeCell ref="AC3:AI3"/>
    <mergeCell ref="AJ3:AM3"/>
    <mergeCell ref="AN3:AT3"/>
    <mergeCell ref="AU3:AW3"/>
    <mergeCell ref="AX3:AZ3"/>
    <mergeCell ref="BA3:BC3"/>
    <mergeCell ref="BD5:BD30"/>
  </mergeCells>
  <dataValidations count="8">
    <dataValidation allowBlank="true" errorStyle="stop" operator="between" showDropDown="false" showErrorMessage="true" showInputMessage="true" sqref="D5:D30" type="list">
      <formula1>"MABE,MAG,"</formula1>
      <formula2>0</formula2>
    </dataValidation>
    <dataValidation allowBlank="true" errorStyle="stop" operator="between" showDropDown="false" showErrorMessage="true" showInputMessage="true" sqref="B5:B27" type="list">
      <formula1>"1,2,3,4,5,6"</formula1>
      <formula2>0</formula2>
    </dataValidation>
    <dataValidation allowBlank="true" errorStyle="stop" operator="between" showDropDown="false" showErrorMessage="true" showInputMessage="true" sqref="A5:A30" type="list">
      <formula1>"SRN,LC,SSY"</formula1>
      <formula2>0</formula2>
    </dataValidation>
    <dataValidation allowBlank="true" errorStyle="stop" operator="between" showDropDown="false" showErrorMessage="true" showInputMessage="true" sqref="N5:S30" type="list">
      <formula1>"0,1"</formula1>
      <formula2>0</formula2>
    </dataValidation>
    <dataValidation allowBlank="true" errorStyle="stop" operator="between" showDropDown="false" showErrorMessage="true" showInputMessage="true" sqref="U5:U30" type="list">
      <formula1>"1,2,3,4,5"</formula1>
      <formula2>0</formula2>
    </dataValidation>
    <dataValidation allowBlank="true" errorStyle="stop" operator="between" showDropDown="false" showErrorMessage="true" showInputMessage="true" sqref="Z5:AA30 AC5:AH30" type="list">
      <formula1>"0,1"</formula1>
      <formula2>0</formula2>
    </dataValidation>
    <dataValidation allowBlank="true" errorStyle="stop" operator="between" showDropDown="false" showErrorMessage="true" showInputMessage="true" sqref="F5:F28 K6:K30" type="list">
      <formula1>"1,2,3,4,5,6,7,8,9,10"</formula1>
      <formula2>0</formula2>
    </dataValidation>
    <dataValidation allowBlank="true" errorStyle="stop" operator="between" showDropDown="false" showErrorMessage="true" showInputMessage="true" sqref="H5:H30 W5:X30 AJ5:AL30 AU5:AV30" type="list">
      <formula1>"1,0"</formula1>
      <formula2>0</formula2>
    </dataValidation>
  </dataValidations>
  <hyperlinks>
    <hyperlink ref="F2" location="'Org_CAPS '!A1" display="Utilizar Hoja Org_CAPS"/>
    <hyperlink ref="N2" location="Entrevista_CAPS!A1" display="Hoja &quot;Entrevista_CAPS&quot;"/>
    <hyperlink ref="U2" location="Gestión_CAPS!A1" display="Hoja Gestión_ CAPS "/>
    <hyperlink ref="W2" location="Entrevista_CAPS!A1" display="Hoja &quot; Entrevista_CAPS&quot;"/>
    <hyperlink ref="AU2" location="IR.1.1.20Género!A1" display="IR.1.1.20Género!A1"/>
    <hyperlink ref="AX2" location="Ind.Sostenib.!A1" display="Ind.Sostenib.!A1"/>
  </hyperlinks>
  <printOptions headings="false" gridLines="false" gridLinesSet="true" horizontalCentered="false" verticalCentered="false"/>
  <pageMargins left="0.118055555555556" right="0.315277777777778" top="0.747916666666667" bottom="0.551388888888889" header="0.511811023622047" footer="0.511811023622047"/>
  <pageSetup paperSize="1" scale="6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8677"/>
    <pageSetUpPr fitToPage="false"/>
  </sheetPr>
  <dimension ref="A1:AW19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E12" activeCellId="0" sqref="E12"/>
    </sheetView>
  </sheetViews>
  <sheetFormatPr defaultColWidth="11.43359375" defaultRowHeight="16.5" customHeight="false" zeroHeight="false" outlineLevelRow="0" outlineLevelCol="0"/>
  <cols>
    <col collapsed="false" customWidth="true" hidden="false" outlineLevel="0" max="1" min="1" style="94" width="9.14"/>
    <col collapsed="false" customWidth="true" hidden="false" outlineLevel="0" max="2" min="2" style="95" width="28.57"/>
    <col collapsed="false" customWidth="true" hidden="false" outlineLevel="0" max="3" min="3" style="96" width="15.85"/>
    <col collapsed="false" customWidth="true" hidden="false" outlineLevel="0" max="4" min="4" style="96" width="15.71"/>
    <col collapsed="false" customWidth="true" hidden="false" outlineLevel="0" max="5" min="5" style="96" width="25.85"/>
    <col collapsed="false" customWidth="true" hidden="false" outlineLevel="0" max="6" min="6" style="96" width="13.86"/>
    <col collapsed="false" customWidth="true" hidden="false" outlineLevel="0" max="7" min="7" style="97" width="6.85"/>
    <col collapsed="false" customWidth="true" hidden="false" outlineLevel="0" max="8" min="8" style="96" width="18.29"/>
    <col collapsed="false" customWidth="true" hidden="false" outlineLevel="0" max="9" min="9" style="96" width="17.15"/>
    <col collapsed="false" customWidth="true" hidden="false" outlineLevel="0" max="10" min="10" style="96" width="17.71"/>
    <col collapsed="false" customWidth="true" hidden="false" outlineLevel="0" max="11" min="11" style="96" width="18.86"/>
    <col collapsed="false" customWidth="true" hidden="false" outlineLevel="0" max="12" min="12" style="94" width="17.15"/>
    <col collapsed="false" customWidth="true" hidden="false" outlineLevel="0" max="13" min="13" style="94" width="16"/>
    <col collapsed="false" customWidth="true" hidden="false" outlineLevel="0" max="14" min="14" style="94" width="15.29"/>
    <col collapsed="false" customWidth="true" hidden="false" outlineLevel="0" max="15" min="15" style="98" width="6.71"/>
    <col collapsed="false" customWidth="true" hidden="false" outlineLevel="0" max="16" min="16" style="94" width="14"/>
    <col collapsed="false" customWidth="true" hidden="false" outlineLevel="0" max="17" min="17" style="98" width="10"/>
    <col collapsed="false" customWidth="true" hidden="false" outlineLevel="0" max="18" min="18" style="99" width="16.43"/>
    <col collapsed="false" customWidth="true" hidden="false" outlineLevel="0" max="19" min="19" style="94" width="5.86"/>
    <col collapsed="false" customWidth="true" hidden="false" outlineLevel="0" max="20" min="20" style="100" width="15.85"/>
    <col collapsed="false" customWidth="true" hidden="false" outlineLevel="0" max="21" min="21" style="100" width="16.14"/>
    <col collapsed="false" customWidth="true" hidden="false" outlineLevel="0" max="22" min="22" style="100" width="24"/>
    <col collapsed="false" customWidth="true" hidden="false" outlineLevel="0" max="23" min="23" style="94" width="13.86"/>
    <col collapsed="false" customWidth="true" hidden="false" outlineLevel="0" max="24" min="24" style="94" width="14.86"/>
    <col collapsed="false" customWidth="true" hidden="false" outlineLevel="0" max="25" min="25" style="94" width="15.85"/>
    <col collapsed="false" customWidth="true" hidden="false" outlineLevel="0" max="26" min="26" style="94" width="16.14"/>
    <col collapsed="false" customWidth="true" hidden="false" outlineLevel="0" max="27" min="27" style="94" width="14.42"/>
    <col collapsed="false" customWidth="true" hidden="false" outlineLevel="0" max="28" min="28" style="94" width="16.14"/>
    <col collapsed="false" customWidth="true" hidden="false" outlineLevel="0" max="29" min="29" style="94" width="7.86"/>
    <col collapsed="false" customWidth="false" hidden="false" outlineLevel="0" max="31" min="30" style="94" width="11.43"/>
    <col collapsed="false" customWidth="true" hidden="false" outlineLevel="0" max="32" min="32" style="94" width="11.29"/>
    <col collapsed="false" customWidth="false" hidden="false" outlineLevel="0" max="36" min="33" style="94" width="11.43"/>
    <col collapsed="false" customWidth="true" hidden="false" outlineLevel="0" max="37" min="37" style="94" width="4.14"/>
    <col collapsed="false" customWidth="true" hidden="false" outlineLevel="0" max="38" min="38" style="94" width="16.14"/>
    <col collapsed="false" customWidth="true" hidden="false" outlineLevel="0" max="39" min="39" style="94" width="6"/>
    <col collapsed="false" customWidth="true" hidden="false" outlineLevel="0" max="40" min="40" style="94" width="14.86"/>
    <col collapsed="false" customWidth="true" hidden="false" outlineLevel="0" max="41" min="41" style="94" width="7.16"/>
    <col collapsed="false" customWidth="false" hidden="false" outlineLevel="0" max="16384" min="42" style="94" width="11.43"/>
  </cols>
  <sheetData>
    <row r="1" customFormat="false" ht="21.75" hidden="false" customHeight="true" outlineLevel="0" collapsed="false">
      <c r="C1" s="101"/>
      <c r="D1" s="101"/>
      <c r="E1" s="101"/>
      <c r="F1" s="101"/>
      <c r="G1" s="101"/>
      <c r="H1" s="101"/>
      <c r="I1" s="101"/>
      <c r="J1" s="101"/>
      <c r="K1" s="101"/>
      <c r="L1" s="101"/>
      <c r="M1" s="101"/>
      <c r="N1" s="101"/>
      <c r="O1" s="101"/>
      <c r="P1" s="101"/>
      <c r="Q1" s="101"/>
      <c r="R1" s="101"/>
    </row>
    <row r="2" s="102" customFormat="true" ht="22.5" hidden="false" customHeight="true" outlineLevel="0" collapsed="false">
      <c r="B2" s="103"/>
      <c r="C2" s="104" t="s">
        <v>112</v>
      </c>
      <c r="D2" s="104"/>
      <c r="E2" s="104"/>
      <c r="F2" s="104"/>
      <c r="G2" s="104"/>
      <c r="H2" s="104"/>
      <c r="I2" s="104"/>
      <c r="J2" s="104"/>
      <c r="K2" s="104"/>
      <c r="L2" s="104"/>
      <c r="M2" s="104"/>
      <c r="N2" s="104"/>
      <c r="O2" s="104"/>
      <c r="P2" s="104"/>
      <c r="Q2" s="104"/>
      <c r="R2" s="104"/>
      <c r="S2" s="104"/>
      <c r="T2" s="100"/>
    </row>
    <row r="3" s="110" customFormat="true" ht="22.5" hidden="false" customHeight="true" outlineLevel="0" collapsed="false">
      <c r="A3" s="105" t="s">
        <v>17</v>
      </c>
      <c r="B3" s="106" t="s">
        <v>113</v>
      </c>
      <c r="C3" s="107" t="s">
        <v>114</v>
      </c>
      <c r="D3" s="107"/>
      <c r="E3" s="107"/>
      <c r="F3" s="107"/>
      <c r="G3" s="107"/>
      <c r="H3" s="107" t="s">
        <v>115</v>
      </c>
      <c r="I3" s="107"/>
      <c r="J3" s="107"/>
      <c r="K3" s="107"/>
      <c r="L3" s="107"/>
      <c r="M3" s="107"/>
      <c r="N3" s="107"/>
      <c r="O3" s="107"/>
      <c r="P3" s="107" t="s">
        <v>116</v>
      </c>
      <c r="Q3" s="107"/>
      <c r="R3" s="107" t="s">
        <v>117</v>
      </c>
      <c r="S3" s="107"/>
      <c r="T3" s="108"/>
      <c r="U3" s="109"/>
    </row>
    <row r="4" s="110" customFormat="true" ht="27.75" hidden="false" customHeight="true" outlineLevel="0" collapsed="false">
      <c r="A4" s="105"/>
      <c r="B4" s="106"/>
      <c r="C4" s="111" t="s">
        <v>118</v>
      </c>
      <c r="D4" s="111" t="s">
        <v>119</v>
      </c>
      <c r="E4" s="111" t="s">
        <v>120</v>
      </c>
      <c r="F4" s="111" t="s">
        <v>121</v>
      </c>
      <c r="G4" s="112" t="s">
        <v>64</v>
      </c>
      <c r="H4" s="111" t="s">
        <v>122</v>
      </c>
      <c r="I4" s="111" t="s">
        <v>123</v>
      </c>
      <c r="J4" s="111" t="s">
        <v>124</v>
      </c>
      <c r="K4" s="111" t="s">
        <v>125</v>
      </c>
      <c r="L4" s="111" t="s">
        <v>126</v>
      </c>
      <c r="M4" s="111" t="s">
        <v>127</v>
      </c>
      <c r="N4" s="111" t="s">
        <v>128</v>
      </c>
      <c r="O4" s="112" t="s">
        <v>65</v>
      </c>
      <c r="P4" s="111" t="s">
        <v>129</v>
      </c>
      <c r="Q4" s="112" t="s">
        <v>66</v>
      </c>
      <c r="R4" s="111" t="s">
        <v>130</v>
      </c>
      <c r="S4" s="113" t="s">
        <v>67</v>
      </c>
      <c r="T4" s="114" t="s">
        <v>131</v>
      </c>
      <c r="U4" s="114" t="s">
        <v>132</v>
      </c>
    </row>
    <row r="5" s="116" customFormat="true" ht="114.75" hidden="false" customHeight="true" outlineLevel="0" collapsed="false">
      <c r="A5" s="105"/>
      <c r="B5" s="106"/>
      <c r="C5" s="115" t="s">
        <v>133</v>
      </c>
      <c r="D5" s="115" t="s">
        <v>134</v>
      </c>
      <c r="E5" s="115" t="s">
        <v>135</v>
      </c>
      <c r="F5" s="115" t="s">
        <v>136</v>
      </c>
      <c r="G5" s="112"/>
      <c r="H5" s="115" t="s">
        <v>137</v>
      </c>
      <c r="I5" s="115" t="s">
        <v>138</v>
      </c>
      <c r="J5" s="115" t="s">
        <v>139</v>
      </c>
      <c r="K5" s="115" t="s">
        <v>140</v>
      </c>
      <c r="L5" s="115" t="s">
        <v>141</v>
      </c>
      <c r="M5" s="115" t="s">
        <v>142</v>
      </c>
      <c r="N5" s="115" t="s">
        <v>143</v>
      </c>
      <c r="O5" s="112"/>
      <c r="P5" s="115" t="s">
        <v>144</v>
      </c>
      <c r="Q5" s="112"/>
      <c r="R5" s="115" t="s">
        <v>145</v>
      </c>
      <c r="S5" s="113"/>
      <c r="T5" s="114"/>
      <c r="U5" s="114"/>
    </row>
    <row r="6" customFormat="false" ht="31.5" hidden="false" customHeight="true" outlineLevel="0" collapsed="false">
      <c r="A6" s="117" t="s">
        <v>73</v>
      </c>
      <c r="B6" s="118" t="s">
        <v>146</v>
      </c>
      <c r="C6" s="119" t="n">
        <v>1</v>
      </c>
      <c r="D6" s="119" t="n">
        <v>1</v>
      </c>
      <c r="E6" s="119" t="n">
        <v>0</v>
      </c>
      <c r="F6" s="119" t="n">
        <v>0</v>
      </c>
      <c r="G6" s="120" t="n">
        <f aca="false">+SUM(C6:F6)</f>
        <v>2</v>
      </c>
      <c r="H6" s="121" t="n">
        <v>1</v>
      </c>
      <c r="I6" s="121" t="n">
        <v>1</v>
      </c>
      <c r="J6" s="121" t="n">
        <v>1</v>
      </c>
      <c r="K6" s="121" t="n">
        <v>1</v>
      </c>
      <c r="L6" s="121" t="n">
        <v>0</v>
      </c>
      <c r="M6" s="121" t="n">
        <v>1</v>
      </c>
      <c r="N6" s="121" t="n">
        <v>1</v>
      </c>
      <c r="O6" s="120" t="n">
        <f aca="false">+SUM(H6:N6)</f>
        <v>6</v>
      </c>
      <c r="P6" s="121" t="n">
        <v>0</v>
      </c>
      <c r="Q6" s="120" t="n">
        <f aca="false">+P6</f>
        <v>0</v>
      </c>
      <c r="R6" s="122" t="n">
        <v>0</v>
      </c>
      <c r="S6" s="123" t="n">
        <f aca="false">+R6</f>
        <v>0</v>
      </c>
      <c r="T6" s="124" t="s">
        <v>147</v>
      </c>
      <c r="U6" s="125" t="n">
        <v>40952</v>
      </c>
    </row>
    <row r="7" customFormat="false" ht="31.5" hidden="false" customHeight="true" outlineLevel="0" collapsed="false">
      <c r="A7" s="117" t="s">
        <v>73</v>
      </c>
      <c r="B7" s="118" t="s">
        <v>78</v>
      </c>
      <c r="C7" s="119" t="n">
        <v>0</v>
      </c>
      <c r="D7" s="119" t="n">
        <v>0</v>
      </c>
      <c r="E7" s="119" t="n">
        <v>1</v>
      </c>
      <c r="F7" s="119" t="n">
        <v>0</v>
      </c>
      <c r="G7" s="120" t="n">
        <f aca="false">+SUM(C7:F7)</f>
        <v>1</v>
      </c>
      <c r="H7" s="121" t="n">
        <v>0</v>
      </c>
      <c r="I7" s="121" t="n">
        <v>0</v>
      </c>
      <c r="J7" s="121" t="n">
        <v>1</v>
      </c>
      <c r="K7" s="121" t="n">
        <v>0</v>
      </c>
      <c r="L7" s="121" t="n">
        <v>1</v>
      </c>
      <c r="M7" s="121" t="n">
        <v>0</v>
      </c>
      <c r="N7" s="121" t="n">
        <v>1</v>
      </c>
      <c r="O7" s="120" t="n">
        <f aca="false">+SUM(H7:N7)</f>
        <v>3</v>
      </c>
      <c r="P7" s="121" t="n">
        <v>0</v>
      </c>
      <c r="Q7" s="120" t="n">
        <f aca="false">+P7</f>
        <v>0</v>
      </c>
      <c r="R7" s="126" t="n">
        <v>0</v>
      </c>
      <c r="S7" s="123" t="n">
        <f aca="false">+R7</f>
        <v>0</v>
      </c>
      <c r="T7" s="121" t="s">
        <v>147</v>
      </c>
      <c r="U7" s="125" t="n">
        <v>40953</v>
      </c>
    </row>
    <row r="8" customFormat="false" ht="31.5" hidden="false" customHeight="true" outlineLevel="0" collapsed="false">
      <c r="A8" s="117" t="s">
        <v>73</v>
      </c>
      <c r="B8" s="118" t="s">
        <v>81</v>
      </c>
      <c r="C8" s="119"/>
      <c r="D8" s="119"/>
      <c r="E8" s="119"/>
      <c r="F8" s="119"/>
      <c r="G8" s="120" t="n">
        <f aca="false">+SUM(C8:F8)</f>
        <v>0</v>
      </c>
      <c r="H8" s="121"/>
      <c r="I8" s="121"/>
      <c r="J8" s="121"/>
      <c r="K8" s="121"/>
      <c r="L8" s="121"/>
      <c r="M8" s="121"/>
      <c r="N8" s="121"/>
      <c r="O8" s="120" t="n">
        <f aca="false">+SUM(H8:N8)</f>
        <v>0</v>
      </c>
      <c r="P8" s="121"/>
      <c r="Q8" s="120" t="n">
        <f aca="false">+P8</f>
        <v>0</v>
      </c>
      <c r="R8" s="122"/>
      <c r="S8" s="123" t="n">
        <f aca="false">+R8</f>
        <v>0</v>
      </c>
      <c r="T8" s="121"/>
      <c r="U8" s="121"/>
    </row>
    <row r="9" customFormat="false" ht="31.5" hidden="false" customHeight="true" outlineLevel="0" collapsed="false">
      <c r="A9" s="117" t="s">
        <v>73</v>
      </c>
      <c r="B9" s="118" t="s">
        <v>83</v>
      </c>
      <c r="C9" s="119"/>
      <c r="D9" s="119"/>
      <c r="E9" s="119"/>
      <c r="F9" s="119"/>
      <c r="G9" s="120" t="n">
        <f aca="false">+SUM(C9:F9)</f>
        <v>0</v>
      </c>
      <c r="H9" s="121"/>
      <c r="I9" s="121"/>
      <c r="J9" s="121"/>
      <c r="K9" s="121"/>
      <c r="L9" s="121"/>
      <c r="M9" s="121"/>
      <c r="N9" s="121"/>
      <c r="O9" s="120" t="n">
        <f aca="false">+SUM(H9:N9)</f>
        <v>0</v>
      </c>
      <c r="P9" s="121"/>
      <c r="Q9" s="120" t="n">
        <f aca="false">+P9</f>
        <v>0</v>
      </c>
      <c r="R9" s="122"/>
      <c r="S9" s="123" t="n">
        <f aca="false">+R9</f>
        <v>0</v>
      </c>
      <c r="T9" s="121"/>
      <c r="U9" s="121"/>
    </row>
    <row r="10" customFormat="false" ht="31.5" hidden="false" customHeight="true" outlineLevel="0" collapsed="false">
      <c r="A10" s="117" t="s">
        <v>73</v>
      </c>
      <c r="B10" s="118" t="s">
        <v>84</v>
      </c>
      <c r="C10" s="119"/>
      <c r="D10" s="119"/>
      <c r="E10" s="119"/>
      <c r="F10" s="119"/>
      <c r="G10" s="120" t="n">
        <f aca="false">+SUM(C10:F10)</f>
        <v>0</v>
      </c>
      <c r="H10" s="121"/>
      <c r="I10" s="121"/>
      <c r="J10" s="121"/>
      <c r="K10" s="121"/>
      <c r="L10" s="121"/>
      <c r="M10" s="121"/>
      <c r="N10" s="121"/>
      <c r="O10" s="120" t="n">
        <f aca="false">+SUM(H10:N10)</f>
        <v>0</v>
      </c>
      <c r="P10" s="121"/>
      <c r="Q10" s="120" t="n">
        <f aca="false">+P10</f>
        <v>0</v>
      </c>
      <c r="R10" s="122"/>
      <c r="S10" s="123" t="n">
        <f aca="false">+R10</f>
        <v>0</v>
      </c>
      <c r="T10" s="121"/>
      <c r="U10" s="121"/>
    </row>
    <row r="11" customFormat="false" ht="31.5" hidden="false" customHeight="true" outlineLevel="0" collapsed="false">
      <c r="A11" s="117" t="s">
        <v>73</v>
      </c>
      <c r="B11" s="118" t="s">
        <v>85</v>
      </c>
      <c r="C11" s="119"/>
      <c r="D11" s="119"/>
      <c r="E11" s="119"/>
      <c r="F11" s="119"/>
      <c r="G11" s="120" t="n">
        <f aca="false">+SUM(C11:F11)</f>
        <v>0</v>
      </c>
      <c r="H11" s="121"/>
      <c r="I11" s="121"/>
      <c r="J11" s="121"/>
      <c r="K11" s="121"/>
      <c r="L11" s="121"/>
      <c r="M11" s="121"/>
      <c r="N11" s="121"/>
      <c r="O11" s="120" t="n">
        <f aca="false">+SUM(H11:N11)</f>
        <v>0</v>
      </c>
      <c r="P11" s="121"/>
      <c r="Q11" s="120" t="n">
        <f aca="false">+P11</f>
        <v>0</v>
      </c>
      <c r="R11" s="122"/>
      <c r="S11" s="123" t="n">
        <f aca="false">+R11</f>
        <v>0</v>
      </c>
      <c r="T11" s="127"/>
      <c r="U11" s="127"/>
    </row>
    <row r="12" customFormat="false" ht="31.5" hidden="false" customHeight="true" outlineLevel="0" collapsed="false">
      <c r="A12" s="117" t="s">
        <v>73</v>
      </c>
      <c r="B12" s="118" t="s">
        <v>86</v>
      </c>
      <c r="C12" s="119"/>
      <c r="D12" s="119"/>
      <c r="E12" s="119"/>
      <c r="F12" s="119"/>
      <c r="G12" s="120" t="n">
        <f aca="false">+SUM(C12:F12)</f>
        <v>0</v>
      </c>
      <c r="H12" s="121"/>
      <c r="I12" s="121"/>
      <c r="J12" s="121"/>
      <c r="K12" s="121"/>
      <c r="L12" s="121"/>
      <c r="M12" s="121"/>
      <c r="N12" s="121"/>
      <c r="O12" s="120" t="n">
        <f aca="false">+SUM(H12:N12)</f>
        <v>0</v>
      </c>
      <c r="P12" s="121"/>
      <c r="Q12" s="120" t="n">
        <f aca="false">+P12</f>
        <v>0</v>
      </c>
      <c r="R12" s="122"/>
      <c r="S12" s="123" t="n">
        <f aca="false">+R12</f>
        <v>0</v>
      </c>
      <c r="T12" s="127"/>
      <c r="U12" s="127"/>
    </row>
    <row r="13" customFormat="false" ht="31.5" hidden="false" customHeight="true" outlineLevel="0" collapsed="false">
      <c r="A13" s="117" t="s">
        <v>73</v>
      </c>
      <c r="B13" s="118" t="s">
        <v>87</v>
      </c>
      <c r="C13" s="119"/>
      <c r="D13" s="119"/>
      <c r="E13" s="119"/>
      <c r="F13" s="119"/>
      <c r="G13" s="120" t="n">
        <f aca="false">+SUM(C13:F13)</f>
        <v>0</v>
      </c>
      <c r="H13" s="121"/>
      <c r="I13" s="121"/>
      <c r="J13" s="121"/>
      <c r="K13" s="121"/>
      <c r="L13" s="121"/>
      <c r="M13" s="121"/>
      <c r="N13" s="121"/>
      <c r="O13" s="120" t="n">
        <f aca="false">+SUM(H13:N13)</f>
        <v>0</v>
      </c>
      <c r="P13" s="121"/>
      <c r="Q13" s="120" t="n">
        <f aca="false">+P13</f>
        <v>0</v>
      </c>
      <c r="R13" s="122"/>
      <c r="S13" s="123" t="n">
        <f aca="false">+R13</f>
        <v>0</v>
      </c>
      <c r="T13" s="127"/>
      <c r="U13" s="127"/>
    </row>
    <row r="14" customFormat="false" ht="31.5" hidden="false" customHeight="true" outlineLevel="0" collapsed="false">
      <c r="A14" s="117" t="s">
        <v>73</v>
      </c>
      <c r="B14" s="118" t="s">
        <v>88</v>
      </c>
      <c r="C14" s="119"/>
      <c r="D14" s="119"/>
      <c r="E14" s="119"/>
      <c r="F14" s="119"/>
      <c r="G14" s="120" t="n">
        <f aca="false">+SUM(C14:F14)</f>
        <v>0</v>
      </c>
      <c r="H14" s="121"/>
      <c r="I14" s="121"/>
      <c r="J14" s="121"/>
      <c r="K14" s="121"/>
      <c r="L14" s="121"/>
      <c r="M14" s="121"/>
      <c r="N14" s="121"/>
      <c r="O14" s="120" t="n">
        <f aca="false">+SUM(H14:N14)</f>
        <v>0</v>
      </c>
      <c r="P14" s="121"/>
      <c r="Q14" s="120" t="n">
        <f aca="false">+P14</f>
        <v>0</v>
      </c>
      <c r="R14" s="122"/>
      <c r="S14" s="123" t="n">
        <f aca="false">+R14</f>
        <v>0</v>
      </c>
      <c r="T14" s="127"/>
      <c r="U14" s="127"/>
    </row>
    <row r="15" customFormat="false" ht="31.5" hidden="false" customHeight="true" outlineLevel="0" collapsed="false">
      <c r="A15" s="117" t="s">
        <v>90</v>
      </c>
      <c r="B15" s="118" t="s">
        <v>91</v>
      </c>
      <c r="C15" s="119"/>
      <c r="D15" s="119"/>
      <c r="E15" s="119"/>
      <c r="F15" s="119"/>
      <c r="G15" s="120" t="n">
        <f aca="false">+SUM(C15:F15)</f>
        <v>0</v>
      </c>
      <c r="H15" s="121"/>
      <c r="I15" s="121"/>
      <c r="J15" s="121"/>
      <c r="K15" s="121"/>
      <c r="L15" s="121"/>
      <c r="M15" s="121"/>
      <c r="N15" s="121"/>
      <c r="O15" s="120" t="n">
        <f aca="false">+SUM(H15:N15)</f>
        <v>0</v>
      </c>
      <c r="P15" s="121"/>
      <c r="Q15" s="120" t="n">
        <f aca="false">+P15</f>
        <v>0</v>
      </c>
      <c r="R15" s="122"/>
      <c r="S15" s="123" t="n">
        <f aca="false">+R15</f>
        <v>0</v>
      </c>
      <c r="T15" s="127"/>
      <c r="U15" s="127"/>
    </row>
    <row r="16" customFormat="false" ht="31.5" hidden="false" customHeight="true" outlineLevel="0" collapsed="false">
      <c r="A16" s="117" t="s">
        <v>90</v>
      </c>
      <c r="B16" s="118" t="s">
        <v>93</v>
      </c>
      <c r="C16" s="119"/>
      <c r="D16" s="119"/>
      <c r="E16" s="119"/>
      <c r="F16" s="119"/>
      <c r="G16" s="120" t="n">
        <f aca="false">+SUM(C16:F16)</f>
        <v>0</v>
      </c>
      <c r="H16" s="121"/>
      <c r="I16" s="121"/>
      <c r="J16" s="121"/>
      <c r="K16" s="121"/>
      <c r="L16" s="121"/>
      <c r="M16" s="121"/>
      <c r="N16" s="121"/>
      <c r="O16" s="120" t="n">
        <f aca="false">+SUM(H16:N16)</f>
        <v>0</v>
      </c>
      <c r="P16" s="121"/>
      <c r="Q16" s="120" t="n">
        <f aca="false">+P16</f>
        <v>0</v>
      </c>
      <c r="R16" s="122"/>
      <c r="S16" s="123" t="n">
        <f aca="false">+R16</f>
        <v>0</v>
      </c>
      <c r="T16" s="127"/>
      <c r="U16" s="127"/>
    </row>
    <row r="17" s="136" customFormat="true" ht="31.5" hidden="false" customHeight="true" outlineLevel="0" collapsed="false">
      <c r="A17" s="128" t="s">
        <v>90</v>
      </c>
      <c r="B17" s="129" t="s">
        <v>94</v>
      </c>
      <c r="C17" s="130" t="n">
        <v>0</v>
      </c>
      <c r="D17" s="130" t="n">
        <v>1</v>
      </c>
      <c r="E17" s="130" t="n">
        <v>1</v>
      </c>
      <c r="F17" s="130" t="n">
        <v>1</v>
      </c>
      <c r="G17" s="131" t="n">
        <f aca="false">+SUM(C17:F17)</f>
        <v>3</v>
      </c>
      <c r="H17" s="132" t="n">
        <v>1</v>
      </c>
      <c r="I17" s="132" t="n">
        <v>0</v>
      </c>
      <c r="J17" s="132" t="n">
        <v>1</v>
      </c>
      <c r="K17" s="132" t="n">
        <v>1</v>
      </c>
      <c r="L17" s="132" t="n">
        <v>1</v>
      </c>
      <c r="M17" s="132" t="n">
        <v>0</v>
      </c>
      <c r="N17" s="132" t="n">
        <v>1</v>
      </c>
      <c r="O17" s="131" t="n">
        <f aca="false">+SUM(H17:N17)</f>
        <v>5</v>
      </c>
      <c r="P17" s="132" t="n">
        <v>1</v>
      </c>
      <c r="Q17" s="131" t="n">
        <f aca="false">+P17</f>
        <v>1</v>
      </c>
      <c r="R17" s="133" t="n">
        <v>0</v>
      </c>
      <c r="S17" s="133" t="n">
        <f aca="false">+R17</f>
        <v>0</v>
      </c>
      <c r="T17" s="134" t="s">
        <v>148</v>
      </c>
      <c r="U17" s="135" t="n">
        <v>40955</v>
      </c>
    </row>
    <row r="18" s="136" customFormat="true" ht="31.5" hidden="false" customHeight="true" outlineLevel="0" collapsed="false">
      <c r="A18" s="128" t="s">
        <v>90</v>
      </c>
      <c r="B18" s="129" t="s">
        <v>95</v>
      </c>
      <c r="C18" s="130" t="n">
        <v>0</v>
      </c>
      <c r="D18" s="130" t="n">
        <v>1</v>
      </c>
      <c r="E18" s="130" t="n">
        <v>1</v>
      </c>
      <c r="F18" s="130" t="n">
        <v>1</v>
      </c>
      <c r="G18" s="131" t="n">
        <f aca="false">+SUM(C18:F18)</f>
        <v>3</v>
      </c>
      <c r="H18" s="132" t="n">
        <v>0</v>
      </c>
      <c r="I18" s="132" t="n">
        <v>1</v>
      </c>
      <c r="J18" s="132" t="n">
        <v>1</v>
      </c>
      <c r="K18" s="132" t="n">
        <v>1</v>
      </c>
      <c r="L18" s="132" t="n">
        <v>0</v>
      </c>
      <c r="M18" s="132" t="n">
        <v>0</v>
      </c>
      <c r="N18" s="132" t="n">
        <v>1</v>
      </c>
      <c r="O18" s="131" t="n">
        <f aca="false">+SUM(H18:N18)</f>
        <v>4</v>
      </c>
      <c r="P18" s="132" t="n">
        <v>1</v>
      </c>
      <c r="Q18" s="131" t="n">
        <f aca="false">+P18</f>
        <v>1</v>
      </c>
      <c r="R18" s="133" t="n">
        <v>0</v>
      </c>
      <c r="S18" s="133" t="n">
        <f aca="false">+R18</f>
        <v>0</v>
      </c>
      <c r="T18" s="134" t="s">
        <v>148</v>
      </c>
      <c r="U18" s="137" t="n">
        <v>40959</v>
      </c>
      <c r="V18" s="138"/>
    </row>
    <row r="19" customFormat="false" ht="31.5" hidden="false" customHeight="true" outlineLevel="0" collapsed="false">
      <c r="A19" s="117" t="s">
        <v>90</v>
      </c>
      <c r="B19" s="118" t="s">
        <v>96</v>
      </c>
      <c r="C19" s="119"/>
      <c r="D19" s="119"/>
      <c r="E19" s="119"/>
      <c r="F19" s="119"/>
      <c r="G19" s="120" t="n">
        <f aca="false">+SUM(C19:F19)</f>
        <v>0</v>
      </c>
      <c r="H19" s="121"/>
      <c r="I19" s="121"/>
      <c r="J19" s="121"/>
      <c r="K19" s="121"/>
      <c r="L19" s="121"/>
      <c r="M19" s="121"/>
      <c r="N19" s="121"/>
      <c r="O19" s="120" t="n">
        <f aca="false">+SUM(H19:N19)</f>
        <v>0</v>
      </c>
      <c r="P19" s="121"/>
      <c r="Q19" s="120" t="n">
        <f aca="false">+P19</f>
        <v>0</v>
      </c>
      <c r="R19" s="122"/>
      <c r="S19" s="123" t="n">
        <f aca="false">+R19</f>
        <v>0</v>
      </c>
      <c r="T19" s="127"/>
      <c r="U19" s="127"/>
    </row>
    <row r="20" customFormat="false" ht="31.5" hidden="false" customHeight="true" outlineLevel="0" collapsed="false">
      <c r="A20" s="117" t="s">
        <v>90</v>
      </c>
      <c r="B20" s="118" t="s">
        <v>97</v>
      </c>
      <c r="C20" s="119"/>
      <c r="D20" s="119"/>
      <c r="E20" s="119"/>
      <c r="F20" s="119"/>
      <c r="G20" s="120" t="n">
        <f aca="false">+SUM(C20:F20)</f>
        <v>0</v>
      </c>
      <c r="H20" s="121"/>
      <c r="I20" s="121"/>
      <c r="J20" s="121"/>
      <c r="K20" s="121"/>
      <c r="L20" s="121"/>
      <c r="M20" s="121"/>
      <c r="N20" s="121"/>
      <c r="O20" s="120" t="n">
        <f aca="false">+SUM(H20:N20)</f>
        <v>0</v>
      </c>
      <c r="P20" s="121"/>
      <c r="Q20" s="120" t="n">
        <f aca="false">+P20</f>
        <v>0</v>
      </c>
      <c r="R20" s="122"/>
      <c r="S20" s="123" t="n">
        <f aca="false">+R20</f>
        <v>0</v>
      </c>
      <c r="T20" s="127"/>
      <c r="U20" s="127"/>
    </row>
    <row r="21" s="102" customFormat="true" ht="31.5" hidden="false" customHeight="true" outlineLevel="0" collapsed="false">
      <c r="A21" s="117" t="s">
        <v>90</v>
      </c>
      <c r="B21" s="139" t="s">
        <v>98</v>
      </c>
      <c r="C21" s="140"/>
      <c r="D21" s="140"/>
      <c r="E21" s="140"/>
      <c r="F21" s="140"/>
      <c r="G21" s="120" t="n">
        <f aca="false">+SUM(C21:F21)</f>
        <v>0</v>
      </c>
      <c r="H21" s="140"/>
      <c r="I21" s="140"/>
      <c r="J21" s="140"/>
      <c r="K21" s="140"/>
      <c r="L21" s="140"/>
      <c r="M21" s="140"/>
      <c r="N21" s="140"/>
      <c r="O21" s="120" t="n">
        <f aca="false">+SUM(H21:N21)</f>
        <v>0</v>
      </c>
      <c r="P21" s="140"/>
      <c r="Q21" s="120" t="n">
        <f aca="false">+P21</f>
        <v>0</v>
      </c>
      <c r="R21" s="140"/>
      <c r="S21" s="123" t="n">
        <f aca="false">+R21</f>
        <v>0</v>
      </c>
      <c r="T21" s="141"/>
      <c r="U21" s="142"/>
    </row>
    <row r="22" customFormat="false" ht="31.5" hidden="false" customHeight="true" outlineLevel="0" collapsed="false">
      <c r="A22" s="117" t="s">
        <v>99</v>
      </c>
      <c r="B22" s="139" t="s">
        <v>100</v>
      </c>
      <c r="C22" s="119"/>
      <c r="D22" s="119"/>
      <c r="E22" s="119"/>
      <c r="F22" s="119"/>
      <c r="G22" s="120" t="n">
        <f aca="false">+SUM(C22:F22)</f>
        <v>0</v>
      </c>
      <c r="H22" s="121"/>
      <c r="I22" s="121"/>
      <c r="J22" s="121"/>
      <c r="K22" s="121"/>
      <c r="L22" s="121"/>
      <c r="M22" s="121"/>
      <c r="N22" s="121"/>
      <c r="O22" s="120" t="n">
        <f aca="false">+SUM(H22:N22)</f>
        <v>0</v>
      </c>
      <c r="P22" s="121"/>
      <c r="Q22" s="120" t="n">
        <f aca="false">+P22</f>
        <v>0</v>
      </c>
      <c r="R22" s="122"/>
      <c r="S22" s="123" t="n">
        <f aca="false">+R22</f>
        <v>0</v>
      </c>
      <c r="T22" s="127"/>
      <c r="U22" s="127"/>
    </row>
    <row r="23" customFormat="false" ht="31.5" hidden="false" customHeight="true" outlineLevel="0" collapsed="false">
      <c r="A23" s="117" t="s">
        <v>99</v>
      </c>
      <c r="B23" s="139" t="s">
        <v>101</v>
      </c>
      <c r="C23" s="126"/>
      <c r="D23" s="126"/>
      <c r="E23" s="126"/>
      <c r="F23" s="126"/>
      <c r="G23" s="120" t="n">
        <f aca="false">+SUM(C23:F23)</f>
        <v>0</v>
      </c>
      <c r="H23" s="121"/>
      <c r="I23" s="121"/>
      <c r="J23" s="121"/>
      <c r="K23" s="121"/>
      <c r="L23" s="121"/>
      <c r="M23" s="121"/>
      <c r="N23" s="121"/>
      <c r="O23" s="120" t="n">
        <f aca="false">+SUM(H23:N23)</f>
        <v>0</v>
      </c>
      <c r="P23" s="121"/>
      <c r="Q23" s="120" t="n">
        <f aca="false">+P23</f>
        <v>0</v>
      </c>
      <c r="R23" s="122"/>
      <c r="S23" s="123" t="n">
        <f aca="false">+R23</f>
        <v>0</v>
      </c>
      <c r="T23" s="127"/>
      <c r="U23" s="127"/>
    </row>
    <row r="24" customFormat="false" ht="31.5" hidden="false" customHeight="true" outlineLevel="0" collapsed="false">
      <c r="A24" s="117" t="s">
        <v>99</v>
      </c>
      <c r="B24" s="139" t="s">
        <v>103</v>
      </c>
      <c r="C24" s="126"/>
      <c r="D24" s="126"/>
      <c r="E24" s="126"/>
      <c r="F24" s="126"/>
      <c r="G24" s="120" t="n">
        <f aca="false">+SUM(C24:F24)</f>
        <v>0</v>
      </c>
      <c r="H24" s="121"/>
      <c r="I24" s="121"/>
      <c r="J24" s="121"/>
      <c r="K24" s="121"/>
      <c r="L24" s="121"/>
      <c r="M24" s="121"/>
      <c r="N24" s="121"/>
      <c r="O24" s="120" t="n">
        <f aca="false">+SUM(H24:N24)</f>
        <v>0</v>
      </c>
      <c r="P24" s="121"/>
      <c r="Q24" s="120" t="n">
        <f aca="false">+P24</f>
        <v>0</v>
      </c>
      <c r="R24" s="122"/>
      <c r="S24" s="123" t="n">
        <f aca="false">+R24</f>
        <v>0</v>
      </c>
      <c r="T24" s="127"/>
      <c r="U24" s="127"/>
    </row>
    <row r="25" customFormat="false" ht="31.5" hidden="false" customHeight="true" outlineLevel="0" collapsed="false">
      <c r="A25" s="117" t="s">
        <v>99</v>
      </c>
      <c r="B25" s="139" t="s">
        <v>104</v>
      </c>
      <c r="C25" s="126"/>
      <c r="D25" s="126"/>
      <c r="E25" s="126"/>
      <c r="F25" s="126"/>
      <c r="G25" s="120" t="n">
        <f aca="false">+SUM(C25:F25)</f>
        <v>0</v>
      </c>
      <c r="H25" s="121"/>
      <c r="I25" s="121"/>
      <c r="J25" s="121"/>
      <c r="K25" s="121"/>
      <c r="L25" s="121"/>
      <c r="M25" s="121"/>
      <c r="N25" s="121"/>
      <c r="O25" s="120" t="n">
        <f aca="false">+SUM(H25:N25)</f>
        <v>0</v>
      </c>
      <c r="P25" s="121"/>
      <c r="Q25" s="120" t="n">
        <f aca="false">+P25</f>
        <v>0</v>
      </c>
      <c r="R25" s="122"/>
      <c r="S25" s="123" t="n">
        <f aca="false">+R25</f>
        <v>0</v>
      </c>
      <c r="T25" s="127"/>
      <c r="U25" s="127"/>
    </row>
    <row r="26" customFormat="false" ht="31.5" hidden="false" customHeight="true" outlineLevel="0" collapsed="false">
      <c r="A26" s="117" t="s">
        <v>99</v>
      </c>
      <c r="B26" s="139" t="s">
        <v>105</v>
      </c>
      <c r="C26" s="126"/>
      <c r="D26" s="126"/>
      <c r="E26" s="126"/>
      <c r="F26" s="126"/>
      <c r="G26" s="120" t="n">
        <f aca="false">+SUM(C26:F26)</f>
        <v>0</v>
      </c>
      <c r="H26" s="121"/>
      <c r="I26" s="121"/>
      <c r="J26" s="121"/>
      <c r="K26" s="121"/>
      <c r="L26" s="121"/>
      <c r="M26" s="121"/>
      <c r="N26" s="121"/>
      <c r="O26" s="120" t="n">
        <f aca="false">+SUM(H26:N26)</f>
        <v>0</v>
      </c>
      <c r="P26" s="121"/>
      <c r="Q26" s="120" t="n">
        <f aca="false">+P26</f>
        <v>0</v>
      </c>
      <c r="R26" s="122"/>
      <c r="S26" s="123" t="n">
        <f aca="false">+R26</f>
        <v>0</v>
      </c>
      <c r="T26" s="127"/>
      <c r="U26" s="127"/>
    </row>
    <row r="27" customFormat="false" ht="31.5" hidden="false" customHeight="true" outlineLevel="0" collapsed="false">
      <c r="A27" s="117" t="s">
        <v>99</v>
      </c>
      <c r="B27" s="139" t="s">
        <v>106</v>
      </c>
      <c r="C27" s="126"/>
      <c r="D27" s="126"/>
      <c r="E27" s="126"/>
      <c r="F27" s="126"/>
      <c r="G27" s="120" t="n">
        <f aca="false">+SUM(C27:F27)</f>
        <v>0</v>
      </c>
      <c r="H27" s="121"/>
      <c r="I27" s="121"/>
      <c r="J27" s="121"/>
      <c r="K27" s="121"/>
      <c r="L27" s="121"/>
      <c r="M27" s="121"/>
      <c r="N27" s="121"/>
      <c r="O27" s="120" t="n">
        <f aca="false">+SUM(H27:N27)</f>
        <v>0</v>
      </c>
      <c r="P27" s="121"/>
      <c r="Q27" s="120" t="n">
        <f aca="false">+P27</f>
        <v>0</v>
      </c>
      <c r="R27" s="122"/>
      <c r="S27" s="123" t="n">
        <f aca="false">+R27</f>
        <v>0</v>
      </c>
      <c r="T27" s="127"/>
      <c r="U27" s="127"/>
    </row>
    <row r="28" customFormat="false" ht="31.5" hidden="false" customHeight="true" outlineLevel="0" collapsed="false">
      <c r="A28" s="117" t="s">
        <v>99</v>
      </c>
      <c r="B28" s="139" t="s">
        <v>108</v>
      </c>
      <c r="C28" s="126"/>
      <c r="D28" s="126"/>
      <c r="E28" s="126"/>
      <c r="F28" s="126"/>
      <c r="G28" s="120" t="n">
        <f aca="false">+SUM(C28:F28)</f>
        <v>0</v>
      </c>
      <c r="H28" s="121"/>
      <c r="I28" s="121"/>
      <c r="J28" s="121"/>
      <c r="K28" s="121"/>
      <c r="L28" s="121"/>
      <c r="M28" s="121"/>
      <c r="N28" s="121"/>
      <c r="O28" s="120" t="n">
        <f aca="false">+SUM(H28:N28)</f>
        <v>0</v>
      </c>
      <c r="P28" s="121"/>
      <c r="Q28" s="120" t="n">
        <f aca="false">+P28</f>
        <v>0</v>
      </c>
      <c r="R28" s="122"/>
      <c r="S28" s="123" t="n">
        <f aca="false">+R28</f>
        <v>0</v>
      </c>
      <c r="T28" s="127"/>
      <c r="U28" s="127"/>
    </row>
    <row r="29" customFormat="false" ht="31.5" hidden="false" customHeight="true" outlineLevel="0" collapsed="false">
      <c r="A29" s="117" t="s">
        <v>99</v>
      </c>
      <c r="B29" s="139" t="s">
        <v>109</v>
      </c>
      <c r="C29" s="126"/>
      <c r="D29" s="126"/>
      <c r="E29" s="126"/>
      <c r="F29" s="126"/>
      <c r="G29" s="120" t="n">
        <f aca="false">+SUM(C29:F29)</f>
        <v>0</v>
      </c>
      <c r="H29" s="121"/>
      <c r="I29" s="121"/>
      <c r="J29" s="121"/>
      <c r="K29" s="121"/>
      <c r="L29" s="121"/>
      <c r="M29" s="121"/>
      <c r="N29" s="121"/>
      <c r="O29" s="120" t="n">
        <f aca="false">+SUM(H29:N29)</f>
        <v>0</v>
      </c>
      <c r="P29" s="121"/>
      <c r="Q29" s="120" t="n">
        <f aca="false">+P29</f>
        <v>0</v>
      </c>
      <c r="R29" s="122"/>
      <c r="S29" s="123" t="n">
        <f aca="false">+R29</f>
        <v>0</v>
      </c>
      <c r="T29" s="127"/>
      <c r="U29" s="127"/>
    </row>
    <row r="30" customFormat="false" ht="31.5" hidden="false" customHeight="true" outlineLevel="0" collapsed="false">
      <c r="A30" s="117" t="s">
        <v>99</v>
      </c>
      <c r="B30" s="139" t="s">
        <v>110</v>
      </c>
      <c r="C30" s="126"/>
      <c r="D30" s="126"/>
      <c r="E30" s="126"/>
      <c r="F30" s="126"/>
      <c r="G30" s="120" t="n">
        <f aca="false">+SUM(C30:F30)</f>
        <v>0</v>
      </c>
      <c r="H30" s="121"/>
      <c r="I30" s="121"/>
      <c r="J30" s="121"/>
      <c r="K30" s="121"/>
      <c r="L30" s="121"/>
      <c r="M30" s="121"/>
      <c r="N30" s="121"/>
      <c r="O30" s="120" t="n">
        <f aca="false">+SUM(H30:N30)</f>
        <v>0</v>
      </c>
      <c r="P30" s="121"/>
      <c r="Q30" s="120" t="n">
        <f aca="false">+P30</f>
        <v>0</v>
      </c>
      <c r="R30" s="122"/>
      <c r="S30" s="123" t="n">
        <f aca="false">+R30</f>
        <v>0</v>
      </c>
      <c r="T30" s="127"/>
      <c r="U30" s="127"/>
    </row>
    <row r="31" customFormat="false" ht="31.5" hidden="false" customHeight="true" outlineLevel="0" collapsed="false">
      <c r="A31" s="117" t="s">
        <v>99</v>
      </c>
      <c r="B31" s="139" t="s">
        <v>111</v>
      </c>
      <c r="C31" s="126"/>
      <c r="D31" s="126"/>
      <c r="E31" s="126"/>
      <c r="F31" s="126"/>
      <c r="G31" s="120" t="n">
        <f aca="false">+SUM(C31:F31)</f>
        <v>0</v>
      </c>
      <c r="H31" s="121"/>
      <c r="I31" s="121"/>
      <c r="J31" s="121"/>
      <c r="K31" s="121"/>
      <c r="L31" s="121"/>
      <c r="M31" s="121"/>
      <c r="N31" s="121"/>
      <c r="O31" s="120" t="n">
        <f aca="false">+SUM(H31:N31)</f>
        <v>0</v>
      </c>
      <c r="P31" s="121"/>
      <c r="Q31" s="120" t="n">
        <f aca="false">+P31</f>
        <v>0</v>
      </c>
      <c r="R31" s="122"/>
      <c r="S31" s="123" t="n">
        <f aca="false">+R31</f>
        <v>0</v>
      </c>
      <c r="T31" s="127"/>
      <c r="U31" s="127"/>
    </row>
    <row r="32" s="143" customFormat="true" ht="31.5" hidden="false" customHeight="true" outlineLevel="0" collapsed="false">
      <c r="B32" s="144"/>
      <c r="C32" s="94"/>
      <c r="D32" s="94"/>
      <c r="E32" s="94"/>
      <c r="F32" s="99"/>
      <c r="G32" s="97"/>
      <c r="H32" s="99"/>
      <c r="I32" s="99"/>
      <c r="J32" s="99"/>
      <c r="K32" s="99"/>
      <c r="N32" s="94"/>
      <c r="O32" s="98"/>
      <c r="P32" s="94"/>
      <c r="Q32" s="98"/>
      <c r="R32" s="99"/>
      <c r="S32" s="94"/>
      <c r="T32" s="100"/>
    </row>
    <row r="33" s="94" customFormat="true" ht="22.5" hidden="false" customHeight="true" outlineLevel="0" collapsed="false">
      <c r="A33" s="145"/>
      <c r="B33" s="146"/>
      <c r="C33" s="145"/>
      <c r="D33" s="145"/>
      <c r="E33" s="145"/>
      <c r="F33" s="145"/>
      <c r="G33" s="145"/>
      <c r="H33" s="145"/>
      <c r="I33" s="145"/>
      <c r="J33" s="145"/>
      <c r="K33" s="145"/>
      <c r="L33" s="145"/>
      <c r="M33" s="145"/>
      <c r="N33" s="145"/>
      <c r="O33" s="145"/>
      <c r="P33" s="145"/>
      <c r="Q33" s="145"/>
      <c r="R33" s="145"/>
      <c r="S33" s="145"/>
      <c r="T33" s="145"/>
    </row>
    <row r="34" customFormat="false" ht="22.5" hidden="false" customHeight="true" outlineLevel="0" collapsed="false">
      <c r="A34" s="145"/>
      <c r="B34" s="146"/>
      <c r="C34" s="145"/>
      <c r="D34" s="145"/>
      <c r="E34" s="145"/>
      <c r="F34" s="145"/>
      <c r="G34" s="145"/>
      <c r="H34" s="145"/>
      <c r="I34" s="145"/>
      <c r="J34" s="145"/>
      <c r="K34" s="145"/>
      <c r="L34" s="145"/>
      <c r="M34" s="145"/>
      <c r="N34" s="145"/>
      <c r="O34" s="145"/>
      <c r="P34" s="145"/>
      <c r="Q34" s="145"/>
      <c r="R34" s="145"/>
      <c r="S34" s="145"/>
      <c r="T34" s="145"/>
    </row>
    <row r="35" customFormat="false" ht="22.5" hidden="false" customHeight="true" outlineLevel="0" collapsed="false">
      <c r="A35" s="145"/>
      <c r="B35" s="146"/>
      <c r="C35" s="145"/>
      <c r="D35" s="145"/>
      <c r="E35" s="145"/>
      <c r="F35" s="145"/>
      <c r="G35" s="145"/>
      <c r="H35" s="145"/>
      <c r="I35" s="145"/>
      <c r="J35" s="145"/>
      <c r="K35" s="145"/>
      <c r="L35" s="145"/>
      <c r="M35" s="145"/>
      <c r="N35" s="145"/>
      <c r="O35" s="145"/>
      <c r="P35" s="145"/>
      <c r="Q35" s="145"/>
      <c r="R35" s="145"/>
      <c r="S35" s="145"/>
      <c r="T35" s="145"/>
    </row>
    <row r="36" customFormat="false" ht="22.5" hidden="false" customHeight="true" outlineLevel="0" collapsed="false">
      <c r="A36" s="145"/>
      <c r="B36" s="146"/>
      <c r="C36" s="145"/>
      <c r="D36" s="145"/>
      <c r="E36" s="145"/>
      <c r="F36" s="145"/>
      <c r="G36" s="145"/>
      <c r="H36" s="145"/>
      <c r="I36" s="145"/>
      <c r="J36" s="145"/>
      <c r="K36" s="145"/>
      <c r="L36" s="145"/>
      <c r="M36" s="145"/>
      <c r="N36" s="145"/>
      <c r="O36" s="145"/>
      <c r="P36" s="145"/>
      <c r="Q36" s="145"/>
      <c r="R36" s="145"/>
      <c r="S36" s="145"/>
      <c r="T36" s="145"/>
    </row>
    <row r="37" customFormat="false" ht="22.5" hidden="false" customHeight="true" outlineLevel="0" collapsed="false">
      <c r="A37" s="145"/>
      <c r="B37" s="146"/>
      <c r="C37" s="145"/>
      <c r="D37" s="145"/>
      <c r="E37" s="145"/>
      <c r="F37" s="145"/>
      <c r="G37" s="145"/>
      <c r="H37" s="145"/>
      <c r="I37" s="145"/>
      <c r="J37" s="145"/>
      <c r="K37" s="145"/>
      <c r="L37" s="145"/>
      <c r="M37" s="145"/>
      <c r="N37" s="145"/>
      <c r="O37" s="145"/>
      <c r="P37" s="145"/>
      <c r="Q37" s="145"/>
      <c r="R37" s="145"/>
      <c r="S37" s="145"/>
      <c r="T37" s="145"/>
    </row>
    <row r="38" customFormat="false" ht="22.5" hidden="false" customHeight="true" outlineLevel="0" collapsed="false">
      <c r="A38" s="145"/>
      <c r="B38" s="146"/>
      <c r="C38" s="145"/>
      <c r="D38" s="145"/>
      <c r="E38" s="145"/>
      <c r="F38" s="145"/>
      <c r="G38" s="145"/>
      <c r="H38" s="145"/>
      <c r="I38" s="145"/>
      <c r="J38" s="145"/>
      <c r="K38" s="145"/>
      <c r="L38" s="145"/>
      <c r="M38" s="145"/>
      <c r="N38" s="145"/>
      <c r="O38" s="145"/>
      <c r="P38" s="145"/>
      <c r="Q38" s="145"/>
      <c r="R38" s="145"/>
      <c r="S38" s="145"/>
      <c r="T38" s="145"/>
    </row>
    <row r="39" customFormat="false" ht="22.5" hidden="false" customHeight="true" outlineLevel="0" collapsed="false">
      <c r="A39" s="145"/>
      <c r="B39" s="146"/>
      <c r="C39" s="145"/>
      <c r="D39" s="145"/>
      <c r="E39" s="145"/>
      <c r="F39" s="145"/>
      <c r="G39" s="145"/>
      <c r="H39" s="145"/>
      <c r="I39" s="145"/>
      <c r="J39" s="145"/>
      <c r="K39" s="145"/>
      <c r="L39" s="145"/>
      <c r="M39" s="145"/>
      <c r="N39" s="145"/>
      <c r="O39" s="145"/>
      <c r="P39" s="145"/>
      <c r="Q39" s="145"/>
      <c r="R39" s="145"/>
      <c r="S39" s="145"/>
      <c r="T39" s="145"/>
    </row>
    <row r="40" customFormat="false" ht="22.5" hidden="false" customHeight="true" outlineLevel="0" collapsed="false">
      <c r="A40" s="145"/>
      <c r="B40" s="146"/>
      <c r="C40" s="145"/>
      <c r="D40" s="145"/>
      <c r="E40" s="145"/>
      <c r="F40" s="145"/>
      <c r="G40" s="145"/>
      <c r="H40" s="145"/>
      <c r="I40" s="145"/>
      <c r="J40" s="145"/>
      <c r="K40" s="145"/>
      <c r="L40" s="145"/>
      <c r="M40" s="145"/>
      <c r="N40" s="145"/>
      <c r="O40" s="145"/>
      <c r="P40" s="145"/>
      <c r="Q40" s="145"/>
      <c r="R40" s="145"/>
      <c r="S40" s="145"/>
      <c r="T40" s="145"/>
    </row>
    <row r="41" s="96" customFormat="true" ht="22.5" hidden="false" customHeight="true" outlineLevel="0" collapsed="false">
      <c r="A41" s="145"/>
      <c r="B41" s="146"/>
      <c r="C41" s="145"/>
      <c r="D41" s="145"/>
      <c r="E41" s="145"/>
      <c r="F41" s="145"/>
      <c r="G41" s="145"/>
      <c r="H41" s="145"/>
      <c r="I41" s="145"/>
      <c r="J41" s="145"/>
      <c r="K41" s="145"/>
      <c r="L41" s="145"/>
      <c r="M41" s="145"/>
      <c r="N41" s="145"/>
      <c r="O41" s="145"/>
      <c r="P41" s="145"/>
      <c r="Q41" s="145"/>
      <c r="R41" s="145"/>
      <c r="S41" s="145"/>
      <c r="T41" s="145"/>
      <c r="U41" s="100"/>
      <c r="V41" s="100"/>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94"/>
      <c r="AU41" s="94"/>
      <c r="AV41" s="94"/>
      <c r="AW41" s="94"/>
    </row>
    <row r="42" s="96" customFormat="true" ht="22.5" hidden="false" customHeight="true" outlineLevel="0" collapsed="false">
      <c r="A42" s="145"/>
      <c r="B42" s="146"/>
      <c r="C42" s="145"/>
      <c r="D42" s="145"/>
      <c r="E42" s="145"/>
      <c r="F42" s="145"/>
      <c r="G42" s="145"/>
      <c r="H42" s="145"/>
      <c r="I42" s="145"/>
      <c r="J42" s="145"/>
      <c r="K42" s="145"/>
      <c r="L42" s="145"/>
      <c r="M42" s="145"/>
      <c r="N42" s="145"/>
      <c r="O42" s="145"/>
      <c r="P42" s="145"/>
      <c r="Q42" s="145"/>
      <c r="R42" s="145"/>
      <c r="S42" s="145"/>
      <c r="T42" s="145"/>
      <c r="U42" s="100"/>
      <c r="V42" s="100"/>
      <c r="W42" s="94"/>
      <c r="X42" s="94"/>
      <c r="Y42" s="94"/>
      <c r="Z42" s="94"/>
      <c r="AA42" s="94"/>
      <c r="AB42" s="94"/>
      <c r="AC42" s="94"/>
      <c r="AD42" s="94"/>
      <c r="AE42" s="94"/>
      <c r="AF42" s="94"/>
      <c r="AG42" s="94"/>
      <c r="AH42" s="94"/>
      <c r="AI42" s="94"/>
      <c r="AJ42" s="94"/>
      <c r="AK42" s="94"/>
      <c r="AL42" s="94"/>
      <c r="AM42" s="94"/>
      <c r="AN42" s="94"/>
      <c r="AO42" s="94"/>
      <c r="AP42" s="94"/>
      <c r="AQ42" s="94"/>
      <c r="AR42" s="94"/>
      <c r="AS42" s="94"/>
      <c r="AT42" s="94"/>
      <c r="AU42" s="94"/>
      <c r="AV42" s="94"/>
      <c r="AW42" s="94"/>
    </row>
    <row r="43" customFormat="false" ht="22.5" hidden="false" customHeight="true" outlineLevel="0" collapsed="false">
      <c r="A43" s="145"/>
      <c r="B43" s="146"/>
      <c r="C43" s="145"/>
      <c r="D43" s="145"/>
      <c r="E43" s="145"/>
      <c r="F43" s="145"/>
      <c r="G43" s="145"/>
      <c r="H43" s="145"/>
      <c r="I43" s="145"/>
      <c r="J43" s="145"/>
      <c r="K43" s="145"/>
      <c r="L43" s="145"/>
      <c r="M43" s="145"/>
      <c r="N43" s="145"/>
      <c r="O43" s="145"/>
      <c r="P43" s="145"/>
      <c r="Q43" s="145"/>
      <c r="R43" s="145"/>
      <c r="S43" s="145"/>
      <c r="T43" s="145"/>
    </row>
    <row r="44" customFormat="false" ht="22.5" hidden="false" customHeight="true" outlineLevel="0" collapsed="false">
      <c r="A44" s="145"/>
      <c r="B44" s="146"/>
      <c r="C44" s="145"/>
      <c r="D44" s="145"/>
      <c r="E44" s="145"/>
      <c r="F44" s="145"/>
      <c r="G44" s="145"/>
      <c r="H44" s="145"/>
      <c r="I44" s="145"/>
      <c r="J44" s="145"/>
      <c r="K44" s="145"/>
      <c r="L44" s="145"/>
      <c r="M44" s="145"/>
      <c r="N44" s="145"/>
      <c r="O44" s="145"/>
      <c r="P44" s="145"/>
      <c r="Q44" s="145"/>
      <c r="R44" s="145"/>
      <c r="S44" s="145"/>
      <c r="T44" s="145"/>
    </row>
    <row r="45" customFormat="false" ht="22.5" hidden="false" customHeight="true" outlineLevel="0" collapsed="false">
      <c r="A45" s="145"/>
      <c r="B45" s="146"/>
      <c r="C45" s="145"/>
      <c r="D45" s="145"/>
      <c r="E45" s="145"/>
      <c r="F45" s="145"/>
      <c r="G45" s="145"/>
      <c r="H45" s="145"/>
      <c r="I45" s="145"/>
      <c r="J45" s="145"/>
      <c r="K45" s="145"/>
      <c r="L45" s="145"/>
      <c r="M45" s="145"/>
      <c r="N45" s="145"/>
      <c r="O45" s="145"/>
      <c r="P45" s="145"/>
      <c r="Q45" s="145"/>
      <c r="R45" s="145"/>
      <c r="S45" s="145"/>
      <c r="T45" s="145"/>
    </row>
    <row r="46" customFormat="false" ht="22.5" hidden="false" customHeight="true" outlineLevel="0" collapsed="false">
      <c r="A46" s="145"/>
      <c r="B46" s="146"/>
      <c r="C46" s="145"/>
      <c r="D46" s="145"/>
      <c r="E46" s="145"/>
      <c r="F46" s="145"/>
      <c r="G46" s="145"/>
      <c r="H46" s="145"/>
      <c r="I46" s="145"/>
      <c r="J46" s="145"/>
      <c r="K46" s="145"/>
      <c r="L46" s="145"/>
      <c r="M46" s="145"/>
      <c r="N46" s="145"/>
      <c r="O46" s="145"/>
      <c r="P46" s="145"/>
      <c r="Q46" s="145"/>
      <c r="R46" s="145"/>
      <c r="S46" s="145"/>
      <c r="T46" s="145"/>
    </row>
    <row r="47" customFormat="false" ht="22.5" hidden="false" customHeight="true" outlineLevel="0" collapsed="false">
      <c r="A47" s="145"/>
      <c r="B47" s="146"/>
      <c r="C47" s="145"/>
      <c r="D47" s="145"/>
      <c r="E47" s="145"/>
      <c r="F47" s="145"/>
      <c r="G47" s="145"/>
      <c r="H47" s="145"/>
      <c r="I47" s="145"/>
      <c r="J47" s="145"/>
      <c r="K47" s="145"/>
      <c r="L47" s="145"/>
      <c r="M47" s="145"/>
      <c r="N47" s="145"/>
      <c r="O47" s="145"/>
      <c r="P47" s="145"/>
      <c r="Q47" s="145"/>
      <c r="R47" s="145"/>
      <c r="S47" s="145"/>
      <c r="T47" s="145"/>
    </row>
    <row r="48" customFormat="false" ht="22.5" hidden="false" customHeight="true" outlineLevel="0" collapsed="false">
      <c r="A48" s="145"/>
      <c r="B48" s="146"/>
      <c r="C48" s="145"/>
      <c r="D48" s="145"/>
      <c r="E48" s="145"/>
      <c r="F48" s="145"/>
      <c r="G48" s="145"/>
      <c r="H48" s="145"/>
      <c r="I48" s="145"/>
      <c r="J48" s="145"/>
      <c r="K48" s="145"/>
      <c r="L48" s="145"/>
      <c r="M48" s="145"/>
      <c r="N48" s="145"/>
      <c r="O48" s="145"/>
      <c r="P48" s="145"/>
      <c r="Q48" s="145"/>
      <c r="R48" s="145"/>
      <c r="S48" s="145"/>
      <c r="T48" s="145"/>
    </row>
    <row r="49" customFormat="false" ht="22.5" hidden="false" customHeight="true" outlineLevel="0" collapsed="false">
      <c r="A49" s="145"/>
      <c r="B49" s="146"/>
      <c r="C49" s="145"/>
      <c r="D49" s="145"/>
      <c r="E49" s="145"/>
      <c r="F49" s="145"/>
      <c r="G49" s="145"/>
      <c r="H49" s="145"/>
      <c r="I49" s="145"/>
      <c r="J49" s="145"/>
      <c r="K49" s="145"/>
      <c r="L49" s="145"/>
      <c r="M49" s="145"/>
      <c r="N49" s="145"/>
      <c r="O49" s="145"/>
      <c r="P49" s="145"/>
      <c r="Q49" s="145"/>
      <c r="R49" s="145"/>
      <c r="S49" s="145"/>
      <c r="T49" s="145"/>
    </row>
    <row r="50" customFormat="false" ht="22.5" hidden="false" customHeight="true" outlineLevel="0" collapsed="false">
      <c r="A50" s="145"/>
      <c r="B50" s="146"/>
      <c r="C50" s="145"/>
      <c r="D50" s="145"/>
      <c r="E50" s="145"/>
      <c r="F50" s="145"/>
      <c r="G50" s="145"/>
      <c r="H50" s="145"/>
      <c r="I50" s="145"/>
      <c r="J50" s="145"/>
      <c r="K50" s="145"/>
      <c r="L50" s="145"/>
      <c r="M50" s="145"/>
      <c r="N50" s="145"/>
      <c r="O50" s="145"/>
      <c r="P50" s="145"/>
      <c r="Q50" s="145"/>
      <c r="R50" s="145"/>
      <c r="S50" s="145"/>
      <c r="T50" s="145"/>
    </row>
    <row r="51" customFormat="false" ht="22.5" hidden="false" customHeight="true" outlineLevel="0" collapsed="false">
      <c r="A51" s="145"/>
      <c r="B51" s="146"/>
      <c r="C51" s="145"/>
      <c r="D51" s="145"/>
      <c r="E51" s="145"/>
      <c r="F51" s="145"/>
      <c r="G51" s="145"/>
      <c r="H51" s="145"/>
      <c r="I51" s="145"/>
      <c r="J51" s="145"/>
      <c r="K51" s="145"/>
      <c r="L51" s="145"/>
      <c r="M51" s="145"/>
      <c r="N51" s="145"/>
      <c r="O51" s="145"/>
      <c r="P51" s="145"/>
      <c r="Q51" s="145"/>
      <c r="R51" s="145"/>
      <c r="S51" s="145"/>
      <c r="T51" s="145"/>
    </row>
    <row r="52" customFormat="false" ht="22.5" hidden="false" customHeight="true" outlineLevel="0" collapsed="false">
      <c r="A52" s="145"/>
      <c r="B52" s="146"/>
      <c r="C52" s="145"/>
      <c r="D52" s="145"/>
      <c r="E52" s="145"/>
      <c r="F52" s="145"/>
      <c r="G52" s="145"/>
      <c r="H52" s="145"/>
      <c r="I52" s="145"/>
      <c r="J52" s="145"/>
      <c r="K52" s="145"/>
      <c r="L52" s="145"/>
      <c r="M52" s="145"/>
      <c r="N52" s="145"/>
      <c r="O52" s="145"/>
      <c r="P52" s="145"/>
      <c r="Q52" s="145"/>
      <c r="R52" s="145"/>
      <c r="S52" s="145"/>
      <c r="T52" s="145"/>
    </row>
    <row r="53" customFormat="false" ht="22.5" hidden="false" customHeight="true" outlineLevel="0" collapsed="false">
      <c r="A53" s="145"/>
      <c r="B53" s="146"/>
      <c r="C53" s="145"/>
      <c r="D53" s="145"/>
      <c r="E53" s="145"/>
      <c r="F53" s="145"/>
      <c r="G53" s="145"/>
      <c r="H53" s="145"/>
      <c r="I53" s="145"/>
      <c r="J53" s="145"/>
      <c r="K53" s="145"/>
      <c r="L53" s="145"/>
      <c r="M53" s="145"/>
      <c r="N53" s="145"/>
      <c r="O53" s="145"/>
      <c r="P53" s="145"/>
      <c r="Q53" s="145"/>
      <c r="R53" s="145"/>
      <c r="S53" s="145"/>
      <c r="T53" s="145"/>
    </row>
    <row r="54" customFormat="false" ht="22.5" hidden="false" customHeight="true" outlineLevel="0" collapsed="false">
      <c r="A54" s="145"/>
      <c r="B54" s="146"/>
      <c r="C54" s="145"/>
      <c r="D54" s="145"/>
      <c r="E54" s="145"/>
      <c r="F54" s="145"/>
      <c r="G54" s="145"/>
      <c r="H54" s="145"/>
      <c r="I54" s="145"/>
      <c r="J54" s="145"/>
      <c r="K54" s="145"/>
      <c r="L54" s="145"/>
      <c r="M54" s="145"/>
      <c r="N54" s="145"/>
      <c r="O54" s="145"/>
      <c r="P54" s="145"/>
      <c r="Q54" s="145"/>
      <c r="R54" s="145"/>
      <c r="S54" s="145"/>
      <c r="T54" s="145"/>
    </row>
    <row r="55" customFormat="false" ht="22.5" hidden="false" customHeight="true" outlineLevel="0" collapsed="false">
      <c r="A55" s="145"/>
      <c r="B55" s="146"/>
      <c r="C55" s="145"/>
      <c r="D55" s="145"/>
      <c r="E55" s="145"/>
      <c r="F55" s="145"/>
      <c r="G55" s="145"/>
      <c r="H55" s="145"/>
      <c r="I55" s="145"/>
      <c r="J55" s="145"/>
      <c r="K55" s="145"/>
      <c r="L55" s="145"/>
      <c r="M55" s="145"/>
      <c r="N55" s="145"/>
      <c r="O55" s="145"/>
      <c r="P55" s="145"/>
      <c r="Q55" s="145"/>
      <c r="R55" s="145"/>
      <c r="S55" s="145"/>
      <c r="T55" s="145"/>
    </row>
    <row r="56" customFormat="false" ht="22.5" hidden="false" customHeight="true" outlineLevel="0" collapsed="false">
      <c r="A56" s="145"/>
      <c r="B56" s="146"/>
      <c r="C56" s="145"/>
      <c r="D56" s="145"/>
      <c r="E56" s="145"/>
      <c r="F56" s="145"/>
      <c r="G56" s="145"/>
      <c r="H56" s="145"/>
      <c r="I56" s="145"/>
      <c r="J56" s="145"/>
      <c r="K56" s="145"/>
      <c r="L56" s="145"/>
      <c r="M56" s="145"/>
      <c r="N56" s="145"/>
      <c r="O56" s="145"/>
      <c r="P56" s="145"/>
      <c r="Q56" s="145"/>
      <c r="R56" s="145"/>
      <c r="S56" s="145"/>
      <c r="T56" s="145"/>
    </row>
    <row r="57" customFormat="false" ht="22.5" hidden="false" customHeight="true" outlineLevel="0" collapsed="false">
      <c r="A57" s="145"/>
      <c r="B57" s="146"/>
      <c r="C57" s="145"/>
      <c r="D57" s="145"/>
      <c r="E57" s="145"/>
      <c r="F57" s="145"/>
      <c r="G57" s="145"/>
      <c r="H57" s="145"/>
      <c r="I57" s="145"/>
      <c r="J57" s="145"/>
      <c r="K57" s="145"/>
      <c r="L57" s="145"/>
      <c r="M57" s="145"/>
      <c r="N57" s="145"/>
      <c r="O57" s="145"/>
      <c r="P57" s="145"/>
      <c r="Q57" s="145"/>
      <c r="R57" s="145"/>
      <c r="S57" s="145"/>
      <c r="T57" s="145"/>
    </row>
    <row r="58" customFormat="false" ht="22.5" hidden="false" customHeight="true" outlineLevel="0" collapsed="false">
      <c r="A58" s="145"/>
      <c r="B58" s="146"/>
      <c r="C58" s="145"/>
      <c r="D58" s="145"/>
      <c r="E58" s="145"/>
      <c r="F58" s="145"/>
      <c r="G58" s="145"/>
      <c r="H58" s="145"/>
      <c r="I58" s="145"/>
      <c r="J58" s="145"/>
      <c r="K58" s="145"/>
      <c r="L58" s="145"/>
      <c r="M58" s="145"/>
      <c r="N58" s="145"/>
      <c r="O58" s="145"/>
      <c r="P58" s="145"/>
      <c r="Q58" s="145"/>
      <c r="R58" s="145"/>
      <c r="S58" s="145"/>
      <c r="T58" s="145"/>
    </row>
    <row r="59" customFormat="false" ht="22.5" hidden="false" customHeight="true" outlineLevel="0" collapsed="false">
      <c r="A59" s="145"/>
      <c r="B59" s="146"/>
      <c r="C59" s="145"/>
      <c r="D59" s="145"/>
      <c r="E59" s="145"/>
      <c r="F59" s="145"/>
      <c r="G59" s="145"/>
      <c r="H59" s="145"/>
      <c r="I59" s="145"/>
      <c r="J59" s="145"/>
      <c r="K59" s="145"/>
      <c r="L59" s="145"/>
      <c r="M59" s="145"/>
      <c r="N59" s="145"/>
      <c r="O59" s="145"/>
      <c r="P59" s="145"/>
      <c r="Q59" s="145"/>
      <c r="R59" s="145"/>
      <c r="S59" s="145"/>
      <c r="T59" s="145"/>
    </row>
    <row r="60" customFormat="false" ht="22.5" hidden="false" customHeight="true" outlineLevel="0" collapsed="false">
      <c r="A60" s="145"/>
      <c r="B60" s="146"/>
      <c r="C60" s="145"/>
      <c r="D60" s="145"/>
      <c r="E60" s="145"/>
      <c r="F60" s="145"/>
      <c r="G60" s="145"/>
      <c r="H60" s="145"/>
      <c r="I60" s="145"/>
      <c r="J60" s="145"/>
      <c r="K60" s="145"/>
      <c r="L60" s="145"/>
      <c r="M60" s="145"/>
      <c r="N60" s="145"/>
      <c r="O60" s="145"/>
      <c r="P60" s="145"/>
      <c r="Q60" s="145"/>
      <c r="R60" s="145"/>
      <c r="S60" s="145"/>
      <c r="T60" s="145"/>
    </row>
    <row r="61" customFormat="false" ht="22.5" hidden="false" customHeight="true" outlineLevel="0" collapsed="false">
      <c r="A61" s="145"/>
      <c r="B61" s="146"/>
      <c r="C61" s="145"/>
      <c r="D61" s="145"/>
      <c r="E61" s="145"/>
      <c r="F61" s="145"/>
      <c r="G61" s="145"/>
      <c r="H61" s="145"/>
      <c r="I61" s="145"/>
      <c r="J61" s="145"/>
      <c r="K61" s="145"/>
      <c r="L61" s="145"/>
      <c r="M61" s="145"/>
      <c r="N61" s="145"/>
      <c r="O61" s="145"/>
      <c r="P61" s="145"/>
      <c r="Q61" s="145"/>
      <c r="R61" s="145"/>
      <c r="S61" s="145"/>
      <c r="T61" s="145"/>
    </row>
    <row r="62" customFormat="false" ht="22.5" hidden="false" customHeight="true" outlineLevel="0" collapsed="false">
      <c r="A62" s="145"/>
      <c r="B62" s="146"/>
      <c r="C62" s="145"/>
      <c r="D62" s="145"/>
      <c r="E62" s="145"/>
      <c r="F62" s="145"/>
      <c r="G62" s="145"/>
      <c r="H62" s="145"/>
      <c r="I62" s="145"/>
      <c r="J62" s="145"/>
      <c r="K62" s="145"/>
      <c r="L62" s="145"/>
      <c r="M62" s="145"/>
      <c r="N62" s="145"/>
      <c r="O62" s="145"/>
      <c r="P62" s="145"/>
      <c r="Q62" s="145"/>
      <c r="R62" s="145"/>
      <c r="S62" s="145"/>
      <c r="T62" s="145"/>
    </row>
    <row r="63" customFormat="false" ht="22.5" hidden="false" customHeight="true" outlineLevel="0" collapsed="false">
      <c r="A63" s="145"/>
      <c r="B63" s="146"/>
      <c r="C63" s="145"/>
      <c r="D63" s="145"/>
      <c r="E63" s="145"/>
      <c r="F63" s="145"/>
      <c r="G63" s="145"/>
      <c r="H63" s="145"/>
      <c r="I63" s="145"/>
      <c r="J63" s="145"/>
      <c r="K63" s="145"/>
      <c r="L63" s="145"/>
      <c r="M63" s="145"/>
      <c r="N63" s="145"/>
      <c r="O63" s="145"/>
      <c r="P63" s="145"/>
      <c r="Q63" s="145"/>
      <c r="R63" s="145"/>
      <c r="S63" s="145"/>
      <c r="T63" s="145"/>
    </row>
    <row r="64" s="148" customFormat="true" ht="22.5" hidden="false" customHeight="true" outlineLevel="0" collapsed="false">
      <c r="A64" s="145"/>
      <c r="B64" s="146"/>
      <c r="C64" s="145"/>
      <c r="D64" s="145"/>
      <c r="E64" s="145"/>
      <c r="F64" s="145"/>
      <c r="G64" s="145"/>
      <c r="H64" s="145"/>
      <c r="I64" s="145"/>
      <c r="J64" s="145"/>
      <c r="K64" s="145"/>
      <c r="L64" s="145"/>
      <c r="M64" s="145"/>
      <c r="N64" s="145"/>
      <c r="O64" s="145"/>
      <c r="P64" s="145"/>
      <c r="Q64" s="145"/>
      <c r="R64" s="145"/>
      <c r="S64" s="145"/>
      <c r="T64" s="145"/>
      <c r="U64" s="147"/>
      <c r="V64" s="147"/>
    </row>
    <row r="65" customFormat="false" ht="22.5" hidden="false" customHeight="true" outlineLevel="0" collapsed="false">
      <c r="A65" s="145"/>
      <c r="B65" s="146"/>
      <c r="C65" s="145"/>
      <c r="D65" s="145"/>
      <c r="E65" s="145"/>
      <c r="F65" s="145"/>
      <c r="G65" s="145"/>
      <c r="H65" s="145"/>
      <c r="I65" s="145"/>
      <c r="J65" s="145"/>
      <c r="K65" s="145"/>
      <c r="L65" s="145"/>
      <c r="M65" s="145"/>
      <c r="N65" s="145"/>
      <c r="O65" s="145"/>
      <c r="P65" s="145"/>
      <c r="Q65" s="145"/>
      <c r="R65" s="145"/>
      <c r="S65" s="145"/>
      <c r="T65" s="145"/>
    </row>
    <row r="66" customFormat="false" ht="22.5" hidden="false" customHeight="true" outlineLevel="0" collapsed="false">
      <c r="A66" s="145"/>
      <c r="B66" s="146"/>
      <c r="C66" s="145"/>
      <c r="D66" s="145"/>
      <c r="E66" s="145"/>
      <c r="F66" s="145"/>
      <c r="G66" s="145"/>
      <c r="H66" s="145"/>
      <c r="I66" s="145"/>
      <c r="J66" s="145"/>
      <c r="K66" s="145"/>
      <c r="L66" s="145"/>
      <c r="M66" s="145"/>
      <c r="N66" s="145"/>
      <c r="O66" s="145"/>
      <c r="P66" s="145"/>
      <c r="Q66" s="145"/>
      <c r="R66" s="145"/>
      <c r="S66" s="145"/>
      <c r="T66" s="145"/>
    </row>
    <row r="67" customFormat="false" ht="22.5" hidden="false" customHeight="true" outlineLevel="0" collapsed="false">
      <c r="A67" s="145"/>
      <c r="B67" s="146"/>
      <c r="C67" s="145"/>
      <c r="D67" s="145"/>
      <c r="E67" s="145"/>
      <c r="F67" s="145"/>
      <c r="G67" s="145"/>
      <c r="H67" s="145"/>
      <c r="I67" s="145"/>
      <c r="J67" s="145"/>
      <c r="K67" s="145"/>
      <c r="L67" s="145"/>
      <c r="M67" s="145"/>
      <c r="N67" s="145"/>
      <c r="O67" s="145"/>
      <c r="P67" s="145"/>
      <c r="Q67" s="145"/>
      <c r="R67" s="145"/>
      <c r="S67" s="145"/>
      <c r="T67" s="145"/>
    </row>
    <row r="68" customFormat="false" ht="22.5" hidden="false" customHeight="true" outlineLevel="0" collapsed="false">
      <c r="A68" s="145"/>
      <c r="B68" s="146"/>
      <c r="C68" s="145"/>
      <c r="D68" s="145"/>
      <c r="E68" s="145"/>
      <c r="F68" s="145"/>
      <c r="G68" s="145"/>
      <c r="H68" s="145"/>
      <c r="I68" s="145"/>
      <c r="J68" s="145"/>
      <c r="K68" s="145"/>
      <c r="L68" s="145"/>
      <c r="M68" s="145"/>
      <c r="N68" s="145"/>
      <c r="O68" s="145"/>
      <c r="P68" s="145"/>
      <c r="Q68" s="145"/>
      <c r="R68" s="145"/>
      <c r="S68" s="145"/>
      <c r="T68" s="145"/>
    </row>
    <row r="69" customFormat="false" ht="22.5" hidden="false" customHeight="true" outlineLevel="0" collapsed="false">
      <c r="A69" s="145"/>
      <c r="B69" s="146"/>
      <c r="C69" s="145"/>
      <c r="D69" s="145"/>
      <c r="E69" s="145"/>
      <c r="F69" s="145"/>
      <c r="G69" s="145"/>
      <c r="H69" s="145"/>
      <c r="I69" s="145"/>
      <c r="J69" s="145"/>
      <c r="K69" s="145"/>
      <c r="L69" s="145"/>
      <c r="M69" s="145"/>
      <c r="N69" s="145"/>
      <c r="O69" s="145"/>
      <c r="P69" s="145"/>
      <c r="Q69" s="145"/>
      <c r="R69" s="145"/>
      <c r="S69" s="145"/>
      <c r="T69" s="145"/>
    </row>
    <row r="70" customFormat="false" ht="22.5" hidden="false" customHeight="true" outlineLevel="0" collapsed="false">
      <c r="A70" s="145"/>
      <c r="B70" s="146"/>
      <c r="C70" s="145"/>
      <c r="D70" s="145"/>
      <c r="E70" s="145"/>
      <c r="F70" s="145"/>
      <c r="G70" s="145"/>
      <c r="H70" s="145"/>
      <c r="I70" s="145"/>
      <c r="J70" s="145"/>
      <c r="K70" s="145"/>
      <c r="L70" s="145"/>
      <c r="M70" s="145"/>
      <c r="N70" s="145"/>
      <c r="O70" s="145"/>
      <c r="P70" s="145"/>
      <c r="Q70" s="145"/>
      <c r="R70" s="145"/>
      <c r="S70" s="145"/>
      <c r="T70" s="145"/>
    </row>
    <row r="71" customFormat="false" ht="22.5" hidden="false" customHeight="true" outlineLevel="0" collapsed="false">
      <c r="A71" s="145"/>
      <c r="B71" s="146"/>
      <c r="C71" s="145"/>
      <c r="D71" s="145"/>
      <c r="E71" s="145"/>
      <c r="F71" s="145"/>
      <c r="G71" s="145"/>
      <c r="H71" s="145"/>
      <c r="I71" s="145"/>
      <c r="J71" s="145"/>
      <c r="K71" s="145"/>
      <c r="L71" s="145"/>
      <c r="M71" s="145"/>
      <c r="N71" s="145"/>
      <c r="O71" s="145"/>
      <c r="P71" s="145"/>
      <c r="Q71" s="145"/>
      <c r="R71" s="145"/>
      <c r="S71" s="145"/>
      <c r="T71" s="145"/>
    </row>
    <row r="72" customFormat="false" ht="22.5" hidden="false" customHeight="true" outlineLevel="0" collapsed="false">
      <c r="A72" s="145"/>
      <c r="B72" s="146"/>
      <c r="C72" s="145"/>
      <c r="D72" s="145"/>
      <c r="E72" s="145"/>
      <c r="F72" s="145"/>
      <c r="G72" s="145"/>
      <c r="H72" s="145"/>
      <c r="I72" s="145"/>
      <c r="J72" s="145"/>
      <c r="K72" s="145"/>
      <c r="L72" s="145"/>
      <c r="M72" s="145"/>
      <c r="N72" s="145"/>
      <c r="O72" s="145"/>
      <c r="P72" s="145"/>
      <c r="Q72" s="145"/>
      <c r="R72" s="145"/>
      <c r="S72" s="145"/>
      <c r="T72" s="145"/>
    </row>
    <row r="73" customFormat="false" ht="22.5" hidden="false" customHeight="true" outlineLevel="0" collapsed="false">
      <c r="A73" s="145"/>
      <c r="B73" s="146"/>
      <c r="C73" s="145"/>
      <c r="D73" s="145"/>
      <c r="E73" s="145"/>
      <c r="F73" s="145"/>
      <c r="G73" s="145"/>
      <c r="H73" s="145"/>
      <c r="I73" s="145"/>
      <c r="J73" s="145"/>
      <c r="K73" s="145"/>
      <c r="L73" s="145"/>
      <c r="M73" s="145"/>
      <c r="N73" s="145"/>
      <c r="O73" s="145"/>
      <c r="P73" s="145"/>
      <c r="Q73" s="145"/>
      <c r="R73" s="145"/>
      <c r="S73" s="145"/>
      <c r="T73" s="145"/>
    </row>
    <row r="74" customFormat="false" ht="22.5" hidden="false" customHeight="true" outlineLevel="0" collapsed="false">
      <c r="A74" s="145"/>
      <c r="B74" s="146"/>
      <c r="C74" s="145"/>
      <c r="D74" s="145"/>
      <c r="E74" s="145"/>
      <c r="F74" s="145"/>
      <c r="G74" s="145"/>
      <c r="H74" s="145"/>
      <c r="I74" s="145"/>
      <c r="J74" s="145"/>
      <c r="K74" s="145"/>
      <c r="L74" s="145"/>
      <c r="M74" s="145"/>
      <c r="N74" s="145"/>
      <c r="O74" s="145"/>
      <c r="P74" s="145"/>
      <c r="Q74" s="145"/>
      <c r="R74" s="145"/>
      <c r="S74" s="145"/>
      <c r="T74" s="145"/>
    </row>
    <row r="75" customFormat="false" ht="22.5" hidden="false" customHeight="true" outlineLevel="0" collapsed="false">
      <c r="A75" s="145"/>
      <c r="B75" s="146"/>
      <c r="C75" s="145"/>
      <c r="D75" s="145"/>
      <c r="E75" s="145"/>
      <c r="F75" s="145"/>
      <c r="G75" s="145"/>
      <c r="H75" s="145"/>
      <c r="I75" s="145"/>
      <c r="J75" s="145"/>
      <c r="K75" s="145"/>
      <c r="L75" s="145"/>
      <c r="M75" s="145"/>
      <c r="N75" s="145"/>
      <c r="O75" s="145"/>
      <c r="P75" s="145"/>
      <c r="Q75" s="145"/>
      <c r="R75" s="145"/>
      <c r="S75" s="145"/>
      <c r="T75" s="145"/>
    </row>
    <row r="76" customFormat="false" ht="22.5" hidden="false" customHeight="true" outlineLevel="0" collapsed="false">
      <c r="A76" s="145"/>
      <c r="B76" s="146"/>
      <c r="C76" s="145"/>
      <c r="D76" s="145"/>
      <c r="E76" s="145"/>
      <c r="F76" s="145"/>
      <c r="G76" s="145"/>
      <c r="H76" s="145"/>
      <c r="I76" s="145"/>
      <c r="J76" s="145"/>
      <c r="K76" s="145"/>
      <c r="L76" s="145"/>
      <c r="M76" s="145"/>
      <c r="N76" s="145"/>
      <c r="O76" s="145"/>
      <c r="P76" s="145"/>
      <c r="Q76" s="145"/>
      <c r="R76" s="145"/>
      <c r="S76" s="145"/>
      <c r="T76" s="145"/>
    </row>
    <row r="77" customFormat="false" ht="22.5" hidden="false" customHeight="true" outlineLevel="0" collapsed="false">
      <c r="A77" s="145"/>
      <c r="B77" s="146"/>
      <c r="C77" s="145"/>
      <c r="D77" s="145"/>
      <c r="E77" s="145"/>
      <c r="F77" s="145"/>
      <c r="G77" s="145"/>
      <c r="H77" s="145"/>
      <c r="I77" s="145"/>
      <c r="J77" s="145"/>
      <c r="K77" s="145"/>
      <c r="L77" s="145"/>
      <c r="M77" s="145"/>
      <c r="N77" s="145"/>
      <c r="O77" s="145"/>
      <c r="P77" s="145"/>
      <c r="Q77" s="145"/>
      <c r="R77" s="145"/>
      <c r="S77" s="145"/>
      <c r="T77" s="145"/>
    </row>
    <row r="78" customFormat="false" ht="22.5" hidden="false" customHeight="true" outlineLevel="0" collapsed="false">
      <c r="A78" s="145"/>
      <c r="B78" s="146"/>
      <c r="C78" s="145"/>
      <c r="D78" s="145"/>
      <c r="E78" s="145"/>
      <c r="F78" s="145"/>
      <c r="G78" s="145"/>
      <c r="H78" s="145"/>
      <c r="I78" s="145"/>
      <c r="J78" s="145"/>
      <c r="K78" s="145"/>
      <c r="L78" s="145"/>
      <c r="M78" s="145"/>
      <c r="N78" s="145"/>
      <c r="O78" s="145"/>
      <c r="P78" s="145"/>
      <c r="Q78" s="145"/>
      <c r="R78" s="145"/>
      <c r="S78" s="145"/>
      <c r="T78" s="145"/>
    </row>
    <row r="79" customFormat="false" ht="22.5" hidden="false" customHeight="true" outlineLevel="0" collapsed="false">
      <c r="A79" s="145"/>
      <c r="B79" s="146"/>
      <c r="C79" s="145"/>
      <c r="D79" s="145"/>
      <c r="E79" s="145"/>
      <c r="F79" s="145"/>
      <c r="G79" s="145"/>
      <c r="H79" s="145"/>
      <c r="I79" s="145"/>
      <c r="J79" s="145"/>
      <c r="K79" s="145"/>
      <c r="L79" s="145"/>
      <c r="M79" s="145"/>
      <c r="N79" s="145"/>
      <c r="O79" s="145"/>
      <c r="P79" s="145"/>
      <c r="Q79" s="145"/>
      <c r="R79" s="145"/>
      <c r="S79" s="145"/>
      <c r="T79" s="145"/>
    </row>
    <row r="80" customFormat="false" ht="22.5" hidden="false" customHeight="true" outlineLevel="0" collapsed="false">
      <c r="A80" s="145"/>
      <c r="B80" s="146"/>
      <c r="C80" s="145"/>
      <c r="D80" s="145"/>
      <c r="E80" s="145"/>
      <c r="F80" s="145"/>
      <c r="G80" s="145"/>
      <c r="H80" s="145"/>
      <c r="I80" s="145"/>
      <c r="J80" s="145"/>
      <c r="K80" s="145"/>
      <c r="L80" s="145"/>
      <c r="M80" s="145"/>
      <c r="N80" s="145"/>
      <c r="O80" s="145"/>
      <c r="P80" s="145"/>
      <c r="Q80" s="145"/>
      <c r="R80" s="145"/>
      <c r="S80" s="145"/>
      <c r="T80" s="145"/>
    </row>
    <row r="81" customFormat="false" ht="22.5" hidden="false" customHeight="true" outlineLevel="0" collapsed="false">
      <c r="A81" s="145"/>
      <c r="B81" s="146"/>
      <c r="C81" s="145"/>
      <c r="D81" s="145"/>
      <c r="E81" s="145"/>
      <c r="F81" s="145"/>
      <c r="G81" s="145"/>
      <c r="H81" s="145"/>
      <c r="I81" s="145"/>
      <c r="J81" s="145"/>
      <c r="K81" s="145"/>
      <c r="L81" s="145"/>
      <c r="M81" s="145"/>
      <c r="N81" s="145"/>
      <c r="O81" s="145"/>
      <c r="P81" s="145"/>
      <c r="Q81" s="145"/>
      <c r="R81" s="145"/>
      <c r="S81" s="145"/>
      <c r="T81" s="145"/>
    </row>
    <row r="82" customFormat="false" ht="22.5" hidden="false" customHeight="true" outlineLevel="0" collapsed="false">
      <c r="A82" s="145"/>
      <c r="B82" s="146"/>
      <c r="C82" s="145"/>
      <c r="D82" s="145"/>
      <c r="E82" s="145"/>
      <c r="F82" s="145"/>
      <c r="G82" s="145"/>
      <c r="H82" s="145"/>
      <c r="I82" s="145"/>
      <c r="J82" s="145"/>
      <c r="K82" s="145"/>
      <c r="L82" s="145"/>
      <c r="M82" s="145"/>
      <c r="N82" s="145"/>
      <c r="O82" s="145"/>
      <c r="P82" s="145"/>
      <c r="Q82" s="145"/>
      <c r="R82" s="145"/>
      <c r="S82" s="145"/>
      <c r="T82" s="145"/>
    </row>
    <row r="83" customFormat="false" ht="22.5" hidden="false" customHeight="true" outlineLevel="0" collapsed="false">
      <c r="A83" s="145"/>
      <c r="B83" s="146"/>
      <c r="C83" s="145"/>
      <c r="D83" s="145"/>
      <c r="E83" s="145"/>
      <c r="F83" s="145"/>
      <c r="G83" s="145"/>
      <c r="H83" s="145"/>
      <c r="I83" s="145"/>
      <c r="J83" s="145"/>
      <c r="K83" s="145"/>
      <c r="L83" s="145"/>
      <c r="M83" s="145"/>
      <c r="N83" s="145"/>
      <c r="O83" s="145"/>
      <c r="P83" s="145"/>
      <c r="Q83" s="145"/>
      <c r="R83" s="145"/>
      <c r="S83" s="145"/>
      <c r="T83" s="145"/>
    </row>
    <row r="84" customFormat="false" ht="22.5" hidden="false" customHeight="true" outlineLevel="0" collapsed="false">
      <c r="A84" s="145"/>
      <c r="B84" s="146"/>
      <c r="C84" s="145"/>
      <c r="D84" s="145"/>
      <c r="E84" s="145"/>
      <c r="F84" s="145"/>
      <c r="G84" s="145"/>
      <c r="H84" s="145"/>
      <c r="I84" s="145"/>
      <c r="J84" s="145"/>
      <c r="K84" s="145"/>
      <c r="L84" s="145"/>
      <c r="M84" s="145"/>
      <c r="N84" s="145"/>
      <c r="O84" s="145"/>
      <c r="P84" s="145"/>
      <c r="Q84" s="145"/>
      <c r="R84" s="145"/>
      <c r="S84" s="145"/>
      <c r="T84" s="145"/>
    </row>
    <row r="85" customFormat="false" ht="22.5" hidden="false" customHeight="true" outlineLevel="0" collapsed="false">
      <c r="A85" s="145"/>
      <c r="B85" s="146"/>
      <c r="C85" s="145"/>
      <c r="D85" s="145"/>
      <c r="E85" s="145"/>
      <c r="F85" s="145"/>
      <c r="G85" s="145"/>
      <c r="H85" s="145"/>
      <c r="I85" s="145"/>
      <c r="J85" s="145"/>
      <c r="K85" s="145"/>
      <c r="L85" s="145"/>
      <c r="M85" s="145"/>
      <c r="N85" s="145"/>
      <c r="O85" s="145"/>
      <c r="P85" s="145"/>
      <c r="Q85" s="145"/>
      <c r="R85" s="145"/>
      <c r="S85" s="145"/>
      <c r="T85" s="145"/>
    </row>
    <row r="86" customFormat="false" ht="22.5" hidden="false" customHeight="true" outlineLevel="0" collapsed="false">
      <c r="A86" s="145"/>
      <c r="B86" s="146"/>
      <c r="C86" s="145"/>
      <c r="D86" s="145"/>
      <c r="E86" s="145"/>
      <c r="F86" s="145"/>
      <c r="G86" s="145"/>
      <c r="H86" s="145"/>
      <c r="I86" s="145"/>
      <c r="J86" s="145"/>
      <c r="K86" s="145"/>
      <c r="L86" s="145"/>
      <c r="M86" s="145"/>
      <c r="N86" s="145"/>
      <c r="O86" s="145"/>
      <c r="P86" s="145"/>
      <c r="Q86" s="145"/>
      <c r="R86" s="145"/>
      <c r="S86" s="145"/>
      <c r="T86" s="145"/>
    </row>
    <row r="87" customFormat="false" ht="22.5" hidden="false" customHeight="true" outlineLevel="0" collapsed="false">
      <c r="A87" s="145"/>
      <c r="B87" s="146"/>
      <c r="C87" s="145"/>
      <c r="D87" s="145"/>
      <c r="E87" s="145"/>
      <c r="F87" s="145"/>
      <c r="G87" s="145"/>
      <c r="H87" s="145"/>
      <c r="I87" s="145"/>
      <c r="J87" s="145"/>
      <c r="K87" s="145"/>
      <c r="L87" s="145"/>
      <c r="M87" s="145"/>
      <c r="N87" s="145"/>
      <c r="O87" s="145"/>
      <c r="P87" s="145"/>
      <c r="Q87" s="145"/>
      <c r="R87" s="145"/>
      <c r="S87" s="145"/>
      <c r="T87" s="145"/>
    </row>
    <row r="88" customFormat="false" ht="22.5" hidden="false" customHeight="true" outlineLevel="0" collapsed="false">
      <c r="A88" s="145"/>
      <c r="B88" s="146"/>
      <c r="C88" s="145"/>
      <c r="D88" s="145"/>
      <c r="E88" s="145"/>
      <c r="F88" s="145"/>
      <c r="G88" s="145"/>
      <c r="H88" s="145"/>
      <c r="I88" s="145"/>
      <c r="J88" s="145"/>
      <c r="K88" s="145"/>
      <c r="L88" s="145"/>
      <c r="M88" s="145"/>
      <c r="N88" s="145"/>
      <c r="O88" s="145"/>
      <c r="P88" s="145"/>
      <c r="Q88" s="145"/>
      <c r="R88" s="145"/>
      <c r="S88" s="145"/>
      <c r="T88" s="145"/>
    </row>
    <row r="89" customFormat="false" ht="22.5" hidden="false" customHeight="true" outlineLevel="0" collapsed="false">
      <c r="A89" s="145"/>
      <c r="B89" s="146"/>
      <c r="C89" s="145"/>
      <c r="D89" s="145"/>
      <c r="E89" s="145"/>
      <c r="F89" s="145"/>
      <c r="G89" s="145"/>
      <c r="H89" s="145"/>
      <c r="I89" s="145"/>
      <c r="J89" s="145"/>
      <c r="K89" s="145"/>
      <c r="L89" s="145"/>
      <c r="M89" s="145"/>
      <c r="N89" s="145"/>
      <c r="O89" s="145"/>
      <c r="P89" s="145"/>
      <c r="Q89" s="145"/>
      <c r="R89" s="145"/>
      <c r="S89" s="145"/>
      <c r="T89" s="145"/>
    </row>
    <row r="90" customFormat="false" ht="22.5" hidden="false" customHeight="true" outlineLevel="0" collapsed="false">
      <c r="A90" s="145"/>
      <c r="B90" s="146"/>
      <c r="C90" s="145"/>
      <c r="D90" s="145"/>
      <c r="E90" s="145"/>
      <c r="F90" s="145"/>
      <c r="G90" s="145"/>
      <c r="H90" s="145"/>
      <c r="I90" s="145"/>
      <c r="J90" s="145"/>
      <c r="K90" s="145"/>
      <c r="L90" s="145"/>
      <c r="M90" s="145"/>
      <c r="N90" s="145"/>
      <c r="O90" s="145"/>
      <c r="P90" s="145"/>
      <c r="Q90" s="145"/>
      <c r="R90" s="145"/>
      <c r="S90" s="145"/>
      <c r="T90" s="145"/>
    </row>
    <row r="91" customFormat="false" ht="22.5" hidden="false" customHeight="true" outlineLevel="0" collapsed="false">
      <c r="A91" s="145"/>
      <c r="B91" s="146"/>
      <c r="C91" s="145"/>
      <c r="D91" s="145"/>
      <c r="E91" s="145"/>
      <c r="F91" s="145"/>
      <c r="G91" s="145"/>
      <c r="H91" s="145"/>
      <c r="I91" s="145"/>
      <c r="J91" s="145"/>
      <c r="K91" s="145"/>
      <c r="L91" s="145"/>
      <c r="M91" s="145"/>
      <c r="N91" s="145"/>
      <c r="O91" s="145"/>
      <c r="P91" s="145"/>
      <c r="Q91" s="145"/>
      <c r="R91" s="145"/>
      <c r="S91" s="145"/>
      <c r="T91" s="145"/>
    </row>
    <row r="92" customFormat="false" ht="22.5" hidden="false" customHeight="true" outlineLevel="0" collapsed="false">
      <c r="A92" s="145"/>
      <c r="B92" s="146"/>
      <c r="C92" s="145"/>
      <c r="D92" s="145"/>
      <c r="E92" s="145"/>
      <c r="F92" s="145"/>
      <c r="G92" s="145"/>
      <c r="H92" s="145"/>
      <c r="I92" s="145"/>
      <c r="J92" s="145"/>
      <c r="K92" s="145"/>
      <c r="L92" s="145"/>
      <c r="M92" s="145"/>
      <c r="N92" s="145"/>
      <c r="O92" s="145"/>
      <c r="P92" s="145"/>
      <c r="Q92" s="145"/>
      <c r="R92" s="145"/>
      <c r="S92" s="145"/>
      <c r="T92" s="145"/>
    </row>
    <row r="93" customFormat="false" ht="22.5" hidden="false" customHeight="true" outlineLevel="0" collapsed="false">
      <c r="A93" s="145"/>
      <c r="B93" s="146"/>
      <c r="C93" s="145"/>
      <c r="D93" s="145"/>
      <c r="E93" s="145"/>
      <c r="F93" s="145"/>
      <c r="G93" s="145"/>
      <c r="H93" s="145"/>
      <c r="I93" s="145"/>
      <c r="J93" s="145"/>
      <c r="K93" s="145"/>
      <c r="L93" s="145"/>
      <c r="M93" s="145"/>
      <c r="N93" s="145"/>
      <c r="O93" s="145"/>
      <c r="P93" s="145"/>
      <c r="Q93" s="145"/>
      <c r="R93" s="145"/>
      <c r="S93" s="145"/>
      <c r="T93" s="145"/>
    </row>
    <row r="94" customFormat="false" ht="22.5" hidden="false" customHeight="true" outlineLevel="0" collapsed="false">
      <c r="A94" s="145"/>
      <c r="B94" s="146"/>
      <c r="C94" s="145"/>
      <c r="D94" s="145"/>
      <c r="E94" s="145"/>
      <c r="F94" s="145"/>
      <c r="G94" s="145"/>
      <c r="H94" s="145"/>
      <c r="I94" s="145"/>
      <c r="J94" s="145"/>
      <c r="K94" s="145"/>
      <c r="L94" s="145"/>
      <c r="M94" s="145"/>
      <c r="N94" s="145"/>
      <c r="O94" s="145"/>
      <c r="P94" s="145"/>
      <c r="Q94" s="145"/>
      <c r="R94" s="145"/>
      <c r="S94" s="145"/>
      <c r="T94" s="145"/>
    </row>
    <row r="95" customFormat="false" ht="22.5" hidden="false" customHeight="true" outlineLevel="0" collapsed="false">
      <c r="A95" s="145"/>
      <c r="B95" s="146"/>
      <c r="C95" s="145"/>
      <c r="D95" s="145"/>
      <c r="E95" s="145"/>
      <c r="F95" s="145"/>
      <c r="G95" s="145"/>
      <c r="H95" s="145"/>
      <c r="I95" s="145"/>
      <c r="J95" s="145"/>
      <c r="K95" s="145"/>
      <c r="L95" s="145"/>
      <c r="M95" s="145"/>
      <c r="N95" s="145"/>
      <c r="O95" s="145"/>
      <c r="P95" s="145"/>
      <c r="Q95" s="145"/>
      <c r="R95" s="145"/>
      <c r="S95" s="145"/>
      <c r="T95" s="145"/>
    </row>
    <row r="96" customFormat="false" ht="22.5" hidden="false" customHeight="true" outlineLevel="0" collapsed="false">
      <c r="A96" s="145"/>
      <c r="B96" s="146"/>
      <c r="C96" s="145"/>
      <c r="D96" s="145"/>
      <c r="E96" s="145"/>
      <c r="F96" s="145"/>
      <c r="G96" s="145"/>
      <c r="H96" s="145"/>
      <c r="I96" s="145"/>
      <c r="J96" s="145"/>
      <c r="K96" s="145"/>
      <c r="L96" s="145"/>
      <c r="M96" s="145"/>
      <c r="N96" s="145"/>
      <c r="O96" s="145"/>
      <c r="P96" s="145"/>
      <c r="Q96" s="145"/>
      <c r="R96" s="145"/>
      <c r="S96" s="145"/>
      <c r="T96" s="145"/>
    </row>
    <row r="97" customFormat="false" ht="22.5" hidden="false" customHeight="true" outlineLevel="0" collapsed="false">
      <c r="A97" s="145"/>
      <c r="B97" s="146"/>
      <c r="C97" s="145"/>
      <c r="D97" s="145"/>
      <c r="E97" s="145"/>
      <c r="F97" s="145"/>
      <c r="G97" s="145"/>
      <c r="H97" s="145"/>
      <c r="I97" s="145"/>
      <c r="J97" s="145"/>
      <c r="K97" s="145"/>
      <c r="L97" s="145"/>
      <c r="M97" s="145"/>
      <c r="N97" s="145"/>
      <c r="O97" s="145"/>
      <c r="P97" s="145"/>
      <c r="Q97" s="145"/>
      <c r="R97" s="145"/>
      <c r="S97" s="145"/>
      <c r="T97" s="145"/>
    </row>
    <row r="98" customFormat="false" ht="22.5" hidden="false" customHeight="true" outlineLevel="0" collapsed="false">
      <c r="A98" s="145"/>
      <c r="B98" s="146"/>
      <c r="C98" s="145"/>
      <c r="D98" s="145"/>
      <c r="E98" s="145"/>
      <c r="F98" s="145"/>
      <c r="G98" s="145"/>
      <c r="H98" s="145"/>
      <c r="I98" s="145"/>
      <c r="J98" s="145"/>
      <c r="K98" s="145"/>
      <c r="L98" s="145"/>
      <c r="M98" s="145"/>
      <c r="N98" s="145"/>
      <c r="O98" s="145"/>
      <c r="P98" s="145"/>
      <c r="Q98" s="145"/>
      <c r="R98" s="145"/>
      <c r="S98" s="145"/>
      <c r="T98" s="145"/>
    </row>
    <row r="99" customFormat="false" ht="22.5" hidden="false" customHeight="true" outlineLevel="0" collapsed="false">
      <c r="A99" s="145"/>
      <c r="B99" s="146"/>
      <c r="C99" s="145"/>
      <c r="D99" s="145"/>
      <c r="E99" s="145"/>
      <c r="F99" s="145"/>
      <c r="G99" s="145"/>
      <c r="H99" s="145"/>
      <c r="I99" s="145"/>
      <c r="J99" s="145"/>
      <c r="K99" s="145"/>
      <c r="L99" s="145"/>
      <c r="M99" s="145"/>
      <c r="N99" s="145"/>
      <c r="O99" s="145"/>
      <c r="P99" s="145"/>
      <c r="Q99" s="145"/>
      <c r="R99" s="145"/>
      <c r="S99" s="145"/>
      <c r="T99" s="145"/>
    </row>
    <row r="100" customFormat="false" ht="22.5" hidden="false" customHeight="true" outlineLevel="0" collapsed="false">
      <c r="A100" s="145"/>
      <c r="B100" s="146"/>
      <c r="C100" s="145"/>
      <c r="D100" s="145"/>
      <c r="E100" s="145"/>
      <c r="F100" s="145"/>
      <c r="G100" s="145"/>
      <c r="H100" s="145"/>
      <c r="I100" s="145"/>
      <c r="J100" s="145"/>
      <c r="K100" s="145"/>
      <c r="L100" s="145"/>
      <c r="M100" s="145"/>
      <c r="N100" s="145"/>
      <c r="O100" s="145"/>
      <c r="P100" s="145"/>
      <c r="Q100" s="145"/>
      <c r="R100" s="145"/>
      <c r="S100" s="145"/>
      <c r="T100" s="145"/>
    </row>
    <row r="101" customFormat="false" ht="22.5" hidden="false" customHeight="true" outlineLevel="0" collapsed="false">
      <c r="A101" s="145"/>
      <c r="B101" s="146"/>
      <c r="C101" s="145"/>
      <c r="D101" s="145"/>
      <c r="E101" s="145"/>
      <c r="F101" s="145"/>
      <c r="G101" s="145"/>
      <c r="H101" s="145"/>
      <c r="I101" s="145"/>
      <c r="J101" s="145"/>
      <c r="K101" s="145"/>
      <c r="L101" s="145"/>
      <c r="M101" s="145"/>
      <c r="N101" s="145"/>
      <c r="O101" s="145"/>
      <c r="P101" s="145"/>
      <c r="Q101" s="145"/>
      <c r="R101" s="145"/>
      <c r="S101" s="145"/>
      <c r="T101" s="145"/>
    </row>
    <row r="102" customFormat="false" ht="22.5" hidden="false" customHeight="true" outlineLevel="0" collapsed="false">
      <c r="A102" s="145"/>
      <c r="B102" s="146"/>
      <c r="C102" s="145"/>
      <c r="D102" s="145"/>
      <c r="E102" s="145"/>
      <c r="F102" s="145"/>
      <c r="G102" s="145"/>
      <c r="H102" s="145"/>
      <c r="I102" s="145"/>
      <c r="J102" s="145"/>
      <c r="K102" s="145"/>
      <c r="L102" s="145"/>
      <c r="M102" s="145"/>
      <c r="N102" s="145"/>
      <c r="O102" s="145"/>
      <c r="P102" s="145"/>
      <c r="Q102" s="145"/>
      <c r="R102" s="145"/>
      <c r="S102" s="145"/>
      <c r="T102" s="145"/>
    </row>
    <row r="103" customFormat="false" ht="22.5" hidden="false" customHeight="true" outlineLevel="0" collapsed="false">
      <c r="A103" s="145"/>
      <c r="B103" s="146"/>
      <c r="C103" s="145"/>
      <c r="D103" s="145"/>
      <c r="E103" s="145"/>
      <c r="F103" s="145"/>
      <c r="G103" s="145"/>
      <c r="H103" s="145"/>
      <c r="I103" s="145"/>
      <c r="J103" s="145"/>
      <c r="K103" s="145"/>
      <c r="L103" s="145"/>
      <c r="M103" s="145"/>
      <c r="N103" s="145"/>
      <c r="O103" s="145"/>
      <c r="P103" s="145"/>
      <c r="Q103" s="145"/>
      <c r="R103" s="145"/>
      <c r="S103" s="145"/>
      <c r="T103" s="145"/>
    </row>
    <row r="104" customFormat="false" ht="22.5" hidden="false" customHeight="true" outlineLevel="0" collapsed="false">
      <c r="A104" s="145"/>
      <c r="B104" s="146"/>
      <c r="C104" s="145"/>
      <c r="D104" s="145"/>
      <c r="E104" s="145"/>
      <c r="F104" s="145"/>
      <c r="G104" s="145"/>
      <c r="H104" s="145"/>
      <c r="I104" s="145"/>
      <c r="J104" s="145"/>
      <c r="K104" s="145"/>
      <c r="L104" s="145"/>
      <c r="M104" s="145"/>
      <c r="N104" s="145"/>
      <c r="O104" s="145"/>
      <c r="P104" s="145"/>
      <c r="Q104" s="145"/>
      <c r="R104" s="145"/>
      <c r="S104" s="145"/>
      <c r="T104" s="145"/>
    </row>
    <row r="105" customFormat="false" ht="22.5" hidden="false" customHeight="true" outlineLevel="0" collapsed="false">
      <c r="A105" s="145"/>
      <c r="B105" s="146"/>
      <c r="C105" s="145"/>
      <c r="D105" s="145"/>
      <c r="E105" s="145"/>
      <c r="F105" s="145"/>
      <c r="G105" s="145"/>
      <c r="H105" s="145"/>
      <c r="I105" s="145"/>
      <c r="J105" s="145"/>
      <c r="K105" s="145"/>
      <c r="L105" s="145"/>
      <c r="M105" s="145"/>
      <c r="N105" s="145"/>
      <c r="O105" s="145"/>
      <c r="P105" s="145"/>
      <c r="Q105" s="145"/>
      <c r="R105" s="145"/>
      <c r="S105" s="145"/>
      <c r="T105" s="145"/>
    </row>
    <row r="106" customFormat="false" ht="22.5" hidden="false" customHeight="true" outlineLevel="0" collapsed="false">
      <c r="A106" s="145"/>
      <c r="B106" s="146"/>
      <c r="C106" s="145"/>
      <c r="D106" s="145"/>
      <c r="E106" s="145"/>
      <c r="F106" s="145"/>
      <c r="G106" s="145"/>
      <c r="H106" s="145"/>
      <c r="I106" s="145"/>
      <c r="J106" s="145"/>
      <c r="K106" s="145"/>
      <c r="L106" s="145"/>
      <c r="M106" s="145"/>
      <c r="N106" s="145"/>
      <c r="O106" s="145"/>
      <c r="P106" s="145"/>
      <c r="Q106" s="145"/>
      <c r="R106" s="145"/>
      <c r="S106" s="145"/>
      <c r="T106" s="145"/>
    </row>
    <row r="107" customFormat="false" ht="22.5" hidden="false" customHeight="true" outlineLevel="0" collapsed="false">
      <c r="A107" s="145"/>
      <c r="B107" s="146"/>
      <c r="C107" s="145"/>
      <c r="D107" s="145"/>
      <c r="E107" s="145"/>
      <c r="F107" s="145"/>
      <c r="G107" s="145"/>
      <c r="H107" s="145"/>
      <c r="I107" s="145"/>
      <c r="J107" s="145"/>
      <c r="K107" s="145"/>
      <c r="L107" s="145"/>
      <c r="M107" s="145"/>
      <c r="N107" s="145"/>
      <c r="O107" s="145"/>
      <c r="P107" s="145"/>
      <c r="Q107" s="145"/>
      <c r="R107" s="145"/>
      <c r="S107" s="145"/>
      <c r="T107" s="145"/>
    </row>
    <row r="108" customFormat="false" ht="22.5" hidden="false" customHeight="true" outlineLevel="0" collapsed="false">
      <c r="A108" s="145"/>
      <c r="B108" s="146"/>
      <c r="C108" s="145"/>
      <c r="D108" s="145"/>
      <c r="E108" s="145"/>
      <c r="F108" s="145"/>
      <c r="G108" s="145"/>
      <c r="H108" s="145"/>
      <c r="I108" s="145"/>
      <c r="J108" s="145"/>
      <c r="K108" s="145"/>
      <c r="L108" s="145"/>
      <c r="M108" s="145"/>
      <c r="N108" s="145"/>
      <c r="O108" s="145"/>
      <c r="P108" s="145"/>
      <c r="Q108" s="145"/>
      <c r="R108" s="145"/>
      <c r="S108" s="145"/>
      <c r="T108" s="145"/>
    </row>
    <row r="109" customFormat="false" ht="22.5" hidden="false" customHeight="true" outlineLevel="0" collapsed="false">
      <c r="A109" s="145"/>
      <c r="B109" s="146"/>
      <c r="C109" s="145"/>
      <c r="D109" s="145"/>
      <c r="E109" s="145"/>
      <c r="F109" s="145"/>
      <c r="G109" s="145"/>
      <c r="H109" s="145"/>
      <c r="I109" s="145"/>
      <c r="J109" s="145"/>
      <c r="K109" s="145"/>
      <c r="L109" s="145"/>
      <c r="M109" s="145"/>
      <c r="N109" s="145"/>
      <c r="O109" s="145"/>
      <c r="P109" s="145"/>
      <c r="Q109" s="145"/>
      <c r="R109" s="145"/>
      <c r="S109" s="145"/>
      <c r="T109" s="145"/>
    </row>
    <row r="110" customFormat="false" ht="22.5" hidden="false" customHeight="true" outlineLevel="0" collapsed="false">
      <c r="A110" s="145"/>
      <c r="B110" s="146"/>
      <c r="C110" s="145"/>
      <c r="D110" s="145"/>
      <c r="E110" s="145"/>
      <c r="F110" s="145"/>
      <c r="G110" s="145"/>
      <c r="H110" s="145"/>
      <c r="I110" s="145"/>
      <c r="J110" s="145"/>
      <c r="K110" s="145"/>
      <c r="L110" s="145"/>
      <c r="M110" s="145"/>
      <c r="N110" s="145"/>
      <c r="O110" s="145"/>
      <c r="P110" s="145"/>
      <c r="Q110" s="145"/>
      <c r="R110" s="145"/>
      <c r="S110" s="145"/>
      <c r="T110" s="145"/>
    </row>
    <row r="111" customFormat="false" ht="22.5" hidden="false" customHeight="true" outlineLevel="0" collapsed="false">
      <c r="A111" s="145"/>
      <c r="B111" s="146"/>
      <c r="C111" s="145"/>
      <c r="D111" s="145"/>
      <c r="E111" s="145"/>
      <c r="F111" s="145"/>
      <c r="G111" s="145"/>
      <c r="H111" s="145"/>
      <c r="I111" s="145"/>
      <c r="J111" s="145"/>
      <c r="K111" s="145"/>
      <c r="L111" s="145"/>
      <c r="M111" s="145"/>
      <c r="N111" s="145"/>
      <c r="O111" s="145"/>
      <c r="P111" s="145"/>
      <c r="Q111" s="145"/>
      <c r="R111" s="145"/>
      <c r="S111" s="145"/>
      <c r="T111" s="145"/>
    </row>
    <row r="112" customFormat="false" ht="22.5" hidden="false" customHeight="true" outlineLevel="0" collapsed="false">
      <c r="A112" s="145"/>
      <c r="B112" s="146"/>
      <c r="C112" s="145"/>
      <c r="D112" s="145"/>
      <c r="E112" s="145"/>
      <c r="F112" s="145"/>
      <c r="G112" s="145"/>
      <c r="H112" s="145"/>
      <c r="I112" s="145"/>
      <c r="J112" s="145"/>
      <c r="K112" s="145"/>
      <c r="L112" s="145"/>
      <c r="M112" s="145"/>
      <c r="N112" s="145"/>
      <c r="O112" s="145"/>
      <c r="P112" s="145"/>
      <c r="Q112" s="145"/>
      <c r="R112" s="145"/>
      <c r="S112" s="145"/>
      <c r="T112" s="145"/>
    </row>
    <row r="113" customFormat="false" ht="22.5" hidden="false" customHeight="true" outlineLevel="0" collapsed="false">
      <c r="A113" s="145"/>
      <c r="B113" s="146"/>
      <c r="C113" s="145"/>
      <c r="D113" s="145"/>
      <c r="E113" s="145"/>
      <c r="F113" s="145"/>
      <c r="G113" s="145"/>
      <c r="H113" s="145"/>
      <c r="I113" s="145"/>
      <c r="J113" s="145"/>
      <c r="K113" s="145"/>
      <c r="L113" s="145"/>
      <c r="M113" s="145"/>
      <c r="N113" s="145"/>
      <c r="O113" s="145"/>
      <c r="P113" s="145"/>
      <c r="Q113" s="145"/>
      <c r="R113" s="145"/>
      <c r="S113" s="145"/>
      <c r="T113" s="145"/>
    </row>
    <row r="114" customFormat="false" ht="22.5" hidden="false" customHeight="true" outlineLevel="0" collapsed="false">
      <c r="A114" s="145"/>
      <c r="B114" s="146"/>
      <c r="C114" s="145"/>
      <c r="D114" s="145"/>
      <c r="E114" s="145"/>
      <c r="F114" s="145"/>
      <c r="G114" s="145"/>
      <c r="H114" s="145"/>
      <c r="I114" s="145"/>
      <c r="J114" s="145"/>
      <c r="K114" s="145"/>
      <c r="L114" s="145"/>
      <c r="M114" s="145"/>
      <c r="N114" s="145"/>
      <c r="O114" s="145"/>
      <c r="P114" s="145"/>
      <c r="Q114" s="145"/>
      <c r="R114" s="145"/>
      <c r="S114" s="145"/>
      <c r="T114" s="145"/>
    </row>
    <row r="115" customFormat="false" ht="22.5" hidden="false" customHeight="true" outlineLevel="0" collapsed="false">
      <c r="A115" s="145"/>
      <c r="B115" s="146"/>
      <c r="C115" s="145"/>
      <c r="D115" s="145"/>
      <c r="E115" s="145"/>
      <c r="F115" s="145"/>
      <c r="G115" s="145"/>
      <c r="H115" s="145"/>
      <c r="I115" s="145"/>
      <c r="J115" s="145"/>
      <c r="K115" s="145"/>
      <c r="L115" s="145"/>
      <c r="M115" s="145"/>
      <c r="N115" s="145"/>
      <c r="O115" s="145"/>
      <c r="P115" s="145"/>
      <c r="Q115" s="145"/>
      <c r="R115" s="145"/>
      <c r="S115" s="145"/>
      <c r="T115" s="145"/>
    </row>
    <row r="116" customFormat="false" ht="22.5" hidden="false" customHeight="true" outlineLevel="0" collapsed="false">
      <c r="A116" s="145"/>
      <c r="B116" s="146"/>
      <c r="C116" s="145"/>
      <c r="D116" s="145"/>
      <c r="E116" s="145"/>
      <c r="F116" s="145"/>
      <c r="G116" s="145"/>
      <c r="H116" s="145"/>
      <c r="I116" s="145"/>
      <c r="J116" s="145"/>
      <c r="K116" s="145"/>
      <c r="L116" s="145"/>
      <c r="M116" s="145"/>
      <c r="N116" s="145"/>
      <c r="O116" s="145"/>
      <c r="P116" s="145"/>
      <c r="Q116" s="145"/>
      <c r="R116" s="145"/>
      <c r="S116" s="145"/>
      <c r="T116" s="145"/>
    </row>
    <row r="117" customFormat="false" ht="22.5" hidden="false" customHeight="true" outlineLevel="0" collapsed="false">
      <c r="A117" s="145"/>
      <c r="B117" s="146"/>
      <c r="C117" s="145"/>
      <c r="D117" s="145"/>
      <c r="E117" s="145"/>
      <c r="F117" s="145"/>
      <c r="G117" s="145"/>
      <c r="H117" s="145"/>
      <c r="I117" s="145"/>
      <c r="J117" s="145"/>
      <c r="K117" s="145"/>
      <c r="L117" s="145"/>
      <c r="M117" s="145"/>
      <c r="N117" s="145"/>
      <c r="O117" s="145"/>
      <c r="P117" s="145"/>
      <c r="Q117" s="145"/>
      <c r="R117" s="145"/>
      <c r="S117" s="145"/>
      <c r="T117" s="145"/>
    </row>
    <row r="118" customFormat="false" ht="22.5" hidden="false" customHeight="true" outlineLevel="0" collapsed="false">
      <c r="A118" s="145"/>
      <c r="B118" s="146"/>
      <c r="C118" s="145"/>
      <c r="D118" s="145"/>
      <c r="E118" s="145"/>
      <c r="F118" s="145"/>
      <c r="G118" s="145"/>
      <c r="H118" s="145"/>
      <c r="I118" s="145"/>
      <c r="J118" s="145"/>
      <c r="K118" s="145"/>
      <c r="L118" s="145"/>
      <c r="M118" s="145"/>
      <c r="N118" s="145"/>
      <c r="O118" s="145"/>
      <c r="P118" s="145"/>
      <c r="Q118" s="145"/>
      <c r="R118" s="145"/>
      <c r="S118" s="145"/>
      <c r="T118" s="145"/>
    </row>
    <row r="119" customFormat="false" ht="22.5" hidden="false" customHeight="true" outlineLevel="0" collapsed="false">
      <c r="A119" s="145"/>
      <c r="B119" s="146"/>
      <c r="C119" s="145"/>
      <c r="D119" s="145"/>
      <c r="E119" s="145"/>
      <c r="F119" s="145"/>
      <c r="G119" s="145"/>
      <c r="H119" s="145"/>
      <c r="I119" s="145"/>
      <c r="J119" s="145"/>
      <c r="K119" s="145"/>
      <c r="L119" s="145"/>
      <c r="M119" s="145"/>
      <c r="N119" s="145"/>
      <c r="O119" s="145"/>
      <c r="P119" s="145"/>
      <c r="Q119" s="145"/>
      <c r="R119" s="145"/>
      <c r="S119" s="145"/>
      <c r="T119" s="145"/>
    </row>
    <row r="120" customFormat="false" ht="22.5" hidden="false" customHeight="true" outlineLevel="0" collapsed="false">
      <c r="A120" s="145"/>
      <c r="B120" s="146"/>
      <c r="C120" s="145"/>
      <c r="D120" s="145"/>
      <c r="E120" s="145"/>
      <c r="F120" s="145"/>
      <c r="G120" s="145"/>
      <c r="H120" s="145"/>
      <c r="I120" s="145"/>
      <c r="J120" s="145"/>
      <c r="K120" s="145"/>
      <c r="L120" s="145"/>
      <c r="M120" s="145"/>
      <c r="N120" s="145"/>
      <c r="O120" s="145"/>
      <c r="P120" s="145"/>
      <c r="Q120" s="145"/>
      <c r="R120" s="145"/>
      <c r="S120" s="145"/>
      <c r="T120" s="145"/>
    </row>
    <row r="121" customFormat="false" ht="22.5" hidden="false" customHeight="true" outlineLevel="0" collapsed="false">
      <c r="A121" s="145"/>
      <c r="B121" s="146"/>
      <c r="C121" s="145"/>
      <c r="D121" s="145"/>
      <c r="E121" s="145"/>
      <c r="F121" s="145"/>
      <c r="G121" s="145"/>
      <c r="H121" s="145"/>
      <c r="I121" s="145"/>
      <c r="J121" s="145"/>
      <c r="K121" s="145"/>
      <c r="L121" s="145"/>
      <c r="M121" s="145"/>
      <c r="N121" s="145"/>
      <c r="O121" s="145"/>
      <c r="P121" s="145"/>
      <c r="Q121" s="145"/>
      <c r="R121" s="145"/>
      <c r="S121" s="145"/>
      <c r="T121" s="145"/>
    </row>
    <row r="122" customFormat="false" ht="22.5" hidden="false" customHeight="true" outlineLevel="0" collapsed="false">
      <c r="A122" s="145"/>
      <c r="B122" s="146"/>
      <c r="C122" s="145"/>
      <c r="D122" s="145"/>
      <c r="E122" s="145"/>
      <c r="F122" s="145"/>
      <c r="G122" s="145"/>
      <c r="H122" s="145"/>
      <c r="I122" s="145"/>
      <c r="J122" s="145"/>
      <c r="K122" s="145"/>
      <c r="L122" s="145"/>
      <c r="M122" s="145"/>
      <c r="N122" s="145"/>
      <c r="O122" s="145"/>
      <c r="P122" s="145"/>
      <c r="Q122" s="145"/>
      <c r="R122" s="145"/>
      <c r="S122" s="145"/>
      <c r="T122" s="145"/>
    </row>
    <row r="123" customFormat="false" ht="22.5" hidden="false" customHeight="true" outlineLevel="0" collapsed="false">
      <c r="A123" s="145"/>
      <c r="B123" s="146"/>
      <c r="C123" s="145"/>
      <c r="D123" s="145"/>
      <c r="E123" s="145"/>
      <c r="F123" s="145"/>
      <c r="G123" s="145"/>
      <c r="H123" s="145"/>
      <c r="I123" s="145"/>
      <c r="J123" s="145"/>
      <c r="K123" s="145"/>
      <c r="L123" s="145"/>
      <c r="M123" s="145"/>
      <c r="N123" s="145"/>
      <c r="O123" s="145"/>
      <c r="P123" s="145"/>
      <c r="Q123" s="145"/>
      <c r="R123" s="145"/>
      <c r="S123" s="145"/>
      <c r="T123" s="145"/>
    </row>
    <row r="124" customFormat="false" ht="22.5" hidden="false" customHeight="true" outlineLevel="0" collapsed="false">
      <c r="A124" s="145"/>
      <c r="B124" s="146"/>
      <c r="C124" s="145"/>
      <c r="D124" s="145"/>
      <c r="E124" s="145"/>
      <c r="F124" s="145"/>
      <c r="G124" s="145"/>
      <c r="H124" s="145"/>
      <c r="I124" s="145"/>
      <c r="J124" s="145"/>
      <c r="K124" s="145"/>
      <c r="L124" s="145"/>
      <c r="M124" s="145"/>
      <c r="N124" s="145"/>
      <c r="O124" s="145"/>
      <c r="P124" s="145"/>
      <c r="Q124" s="145"/>
      <c r="R124" s="145"/>
      <c r="S124" s="145"/>
      <c r="T124" s="145"/>
    </row>
    <row r="125" customFormat="false" ht="22.5" hidden="false" customHeight="true" outlineLevel="0" collapsed="false">
      <c r="A125" s="145"/>
      <c r="B125" s="146"/>
      <c r="C125" s="145"/>
      <c r="D125" s="145"/>
      <c r="E125" s="145"/>
      <c r="F125" s="145"/>
      <c r="G125" s="145"/>
      <c r="H125" s="145"/>
      <c r="I125" s="145"/>
      <c r="J125" s="145"/>
      <c r="K125" s="145"/>
      <c r="L125" s="145"/>
      <c r="M125" s="145"/>
      <c r="N125" s="145"/>
      <c r="O125" s="145"/>
      <c r="P125" s="145"/>
      <c r="Q125" s="145"/>
      <c r="R125" s="145"/>
      <c r="S125" s="145"/>
      <c r="T125" s="145"/>
    </row>
    <row r="126" customFormat="false" ht="22.5" hidden="false" customHeight="true" outlineLevel="0" collapsed="false">
      <c r="A126" s="145"/>
      <c r="B126" s="146"/>
      <c r="C126" s="145"/>
      <c r="D126" s="145"/>
      <c r="E126" s="145"/>
      <c r="F126" s="145"/>
      <c r="G126" s="145"/>
      <c r="H126" s="145"/>
      <c r="I126" s="145"/>
      <c r="J126" s="145"/>
      <c r="K126" s="145"/>
      <c r="L126" s="145"/>
      <c r="M126" s="145"/>
      <c r="N126" s="145"/>
      <c r="O126" s="145"/>
      <c r="P126" s="145"/>
      <c r="Q126" s="145"/>
      <c r="R126" s="145"/>
      <c r="S126" s="145"/>
      <c r="T126" s="145"/>
    </row>
    <row r="127" customFormat="false" ht="22.5" hidden="false" customHeight="true" outlineLevel="0" collapsed="false">
      <c r="A127" s="145"/>
      <c r="B127" s="146"/>
      <c r="C127" s="145"/>
      <c r="D127" s="145"/>
      <c r="E127" s="145"/>
      <c r="F127" s="145"/>
      <c r="G127" s="145"/>
      <c r="H127" s="145"/>
      <c r="I127" s="145"/>
      <c r="J127" s="145"/>
      <c r="K127" s="145"/>
      <c r="L127" s="145"/>
      <c r="M127" s="145"/>
      <c r="N127" s="145"/>
      <c r="O127" s="145"/>
      <c r="P127" s="145"/>
      <c r="Q127" s="145"/>
      <c r="R127" s="145"/>
      <c r="S127" s="145"/>
      <c r="T127" s="145"/>
    </row>
    <row r="128" customFormat="false" ht="22.5" hidden="false" customHeight="true" outlineLevel="0" collapsed="false">
      <c r="A128" s="145"/>
      <c r="B128" s="146"/>
      <c r="C128" s="145"/>
      <c r="D128" s="145"/>
      <c r="E128" s="145"/>
      <c r="F128" s="145"/>
      <c r="G128" s="145"/>
      <c r="H128" s="145"/>
      <c r="I128" s="145"/>
      <c r="J128" s="145"/>
      <c r="K128" s="145"/>
      <c r="L128" s="145"/>
      <c r="M128" s="145"/>
      <c r="N128" s="145"/>
      <c r="O128" s="145"/>
      <c r="P128" s="145"/>
      <c r="Q128" s="145"/>
      <c r="R128" s="145"/>
      <c r="S128" s="145"/>
      <c r="T128" s="145"/>
    </row>
    <row r="129" customFormat="false" ht="22.5" hidden="false" customHeight="true" outlineLevel="0" collapsed="false">
      <c r="A129" s="145"/>
      <c r="B129" s="146"/>
      <c r="C129" s="145"/>
      <c r="D129" s="145"/>
      <c r="E129" s="145"/>
      <c r="F129" s="145"/>
      <c r="G129" s="145"/>
      <c r="H129" s="145"/>
      <c r="I129" s="145"/>
      <c r="J129" s="145"/>
      <c r="K129" s="145"/>
      <c r="L129" s="145"/>
      <c r="M129" s="145"/>
      <c r="N129" s="145"/>
      <c r="O129" s="145"/>
      <c r="P129" s="145"/>
      <c r="Q129" s="145"/>
      <c r="R129" s="145"/>
      <c r="S129" s="145"/>
      <c r="T129" s="145"/>
    </row>
    <row r="130" customFormat="false" ht="22.5" hidden="false" customHeight="true" outlineLevel="0" collapsed="false">
      <c r="A130" s="145"/>
      <c r="B130" s="146"/>
      <c r="C130" s="145"/>
      <c r="D130" s="145"/>
      <c r="E130" s="145"/>
      <c r="F130" s="145"/>
      <c r="G130" s="145"/>
      <c r="H130" s="145"/>
      <c r="I130" s="145"/>
      <c r="J130" s="145"/>
      <c r="K130" s="145"/>
      <c r="L130" s="145"/>
      <c r="M130" s="145"/>
      <c r="N130" s="145"/>
      <c r="O130" s="145"/>
      <c r="P130" s="145"/>
      <c r="Q130" s="145"/>
      <c r="R130" s="145"/>
      <c r="S130" s="145"/>
      <c r="T130" s="145"/>
    </row>
    <row r="131" customFormat="false" ht="22.5" hidden="false" customHeight="true" outlineLevel="0" collapsed="false">
      <c r="A131" s="145"/>
      <c r="B131" s="146"/>
      <c r="C131" s="145"/>
      <c r="D131" s="145"/>
      <c r="E131" s="145"/>
      <c r="F131" s="145"/>
      <c r="G131" s="145"/>
      <c r="H131" s="145"/>
      <c r="I131" s="145"/>
      <c r="J131" s="145"/>
      <c r="K131" s="145"/>
      <c r="L131" s="145"/>
      <c r="M131" s="145"/>
      <c r="N131" s="145"/>
      <c r="O131" s="145"/>
      <c r="P131" s="145"/>
      <c r="Q131" s="145"/>
      <c r="R131" s="145"/>
      <c r="S131" s="145"/>
      <c r="T131" s="145"/>
    </row>
    <row r="132" customFormat="false" ht="22.5" hidden="false" customHeight="true" outlineLevel="0" collapsed="false">
      <c r="A132" s="145"/>
      <c r="B132" s="146"/>
      <c r="C132" s="145"/>
      <c r="D132" s="145"/>
      <c r="E132" s="145"/>
      <c r="F132" s="145"/>
      <c r="G132" s="145"/>
      <c r="H132" s="145"/>
      <c r="I132" s="145"/>
      <c r="J132" s="145"/>
      <c r="K132" s="145"/>
      <c r="L132" s="145"/>
      <c r="M132" s="145"/>
      <c r="N132" s="145"/>
      <c r="O132" s="145"/>
      <c r="P132" s="145"/>
      <c r="Q132" s="145"/>
      <c r="R132" s="145"/>
      <c r="S132" s="145"/>
      <c r="T132" s="145"/>
    </row>
    <row r="133" customFormat="false" ht="22.5" hidden="false" customHeight="true" outlineLevel="0" collapsed="false">
      <c r="A133" s="145"/>
      <c r="B133" s="146"/>
      <c r="C133" s="145"/>
      <c r="D133" s="145"/>
      <c r="E133" s="145"/>
      <c r="F133" s="145"/>
      <c r="G133" s="145"/>
      <c r="H133" s="145"/>
      <c r="I133" s="145"/>
      <c r="J133" s="145"/>
      <c r="K133" s="145"/>
      <c r="L133" s="145"/>
      <c r="M133" s="145"/>
      <c r="N133" s="145"/>
      <c r="O133" s="145"/>
      <c r="P133" s="145"/>
      <c r="Q133" s="145"/>
      <c r="R133" s="145"/>
      <c r="S133" s="145"/>
      <c r="T133" s="145"/>
    </row>
    <row r="134" customFormat="false" ht="22.5" hidden="false" customHeight="true" outlineLevel="0" collapsed="false">
      <c r="A134" s="145"/>
      <c r="B134" s="146"/>
      <c r="C134" s="145"/>
      <c r="D134" s="145"/>
      <c r="E134" s="145"/>
      <c r="F134" s="145"/>
      <c r="G134" s="145"/>
      <c r="H134" s="145"/>
      <c r="I134" s="145"/>
      <c r="J134" s="145"/>
      <c r="K134" s="145"/>
      <c r="L134" s="145"/>
      <c r="M134" s="145"/>
      <c r="N134" s="145"/>
      <c r="O134" s="145"/>
      <c r="P134" s="145"/>
      <c r="Q134" s="145"/>
      <c r="R134" s="145"/>
      <c r="S134" s="145"/>
      <c r="T134" s="145"/>
    </row>
    <row r="135" customFormat="false" ht="22.5" hidden="false" customHeight="true" outlineLevel="0" collapsed="false">
      <c r="A135" s="145"/>
      <c r="B135" s="146"/>
      <c r="C135" s="145"/>
      <c r="D135" s="145"/>
      <c r="E135" s="145"/>
      <c r="F135" s="145"/>
      <c r="G135" s="145"/>
      <c r="H135" s="145"/>
      <c r="I135" s="145"/>
      <c r="J135" s="145"/>
      <c r="K135" s="145"/>
      <c r="L135" s="145"/>
      <c r="M135" s="145"/>
      <c r="N135" s="145"/>
      <c r="O135" s="145"/>
      <c r="P135" s="145"/>
      <c r="Q135" s="145"/>
      <c r="R135" s="145"/>
      <c r="S135" s="145"/>
      <c r="T135" s="145"/>
    </row>
    <row r="136" customFormat="false" ht="22.5" hidden="false" customHeight="true" outlineLevel="0" collapsed="false">
      <c r="A136" s="145"/>
      <c r="B136" s="146"/>
      <c r="C136" s="145"/>
      <c r="D136" s="145"/>
      <c r="E136" s="145"/>
      <c r="F136" s="145"/>
      <c r="G136" s="145"/>
      <c r="H136" s="145"/>
      <c r="I136" s="145"/>
      <c r="J136" s="145"/>
      <c r="K136" s="145"/>
      <c r="L136" s="145"/>
      <c r="M136" s="145"/>
      <c r="N136" s="145"/>
      <c r="O136" s="145"/>
      <c r="P136" s="145"/>
      <c r="Q136" s="145"/>
      <c r="R136" s="145"/>
      <c r="S136" s="145"/>
      <c r="T136" s="145"/>
    </row>
    <row r="137" customFormat="false" ht="22.5" hidden="false" customHeight="true" outlineLevel="0" collapsed="false">
      <c r="A137" s="145"/>
      <c r="B137" s="146"/>
      <c r="C137" s="145"/>
      <c r="D137" s="145"/>
      <c r="E137" s="145"/>
      <c r="F137" s="145"/>
      <c r="G137" s="145"/>
      <c r="H137" s="145"/>
      <c r="I137" s="145"/>
      <c r="J137" s="145"/>
      <c r="K137" s="145"/>
      <c r="L137" s="145"/>
      <c r="M137" s="145"/>
      <c r="N137" s="145"/>
      <c r="O137" s="145"/>
      <c r="P137" s="145"/>
      <c r="Q137" s="145"/>
      <c r="R137" s="145"/>
      <c r="S137" s="145"/>
      <c r="T137" s="145"/>
    </row>
    <row r="138" customFormat="false" ht="22.5" hidden="false" customHeight="true" outlineLevel="0" collapsed="false">
      <c r="A138" s="145"/>
      <c r="B138" s="146"/>
      <c r="C138" s="145"/>
      <c r="D138" s="145"/>
      <c r="E138" s="145"/>
      <c r="F138" s="145"/>
      <c r="G138" s="145"/>
      <c r="H138" s="145"/>
      <c r="I138" s="145"/>
      <c r="J138" s="145"/>
      <c r="K138" s="145"/>
      <c r="L138" s="145"/>
      <c r="M138" s="145"/>
      <c r="N138" s="145"/>
      <c r="O138" s="145"/>
      <c r="P138" s="145"/>
      <c r="Q138" s="145"/>
      <c r="R138" s="145"/>
      <c r="S138" s="145"/>
      <c r="T138" s="145"/>
    </row>
    <row r="139" customFormat="false" ht="22.5" hidden="false" customHeight="true" outlineLevel="0" collapsed="false">
      <c r="A139" s="145"/>
      <c r="B139" s="146"/>
      <c r="C139" s="145"/>
      <c r="D139" s="145"/>
      <c r="E139" s="145"/>
      <c r="F139" s="145"/>
      <c r="G139" s="145"/>
      <c r="H139" s="145"/>
      <c r="I139" s="145"/>
      <c r="J139" s="145"/>
      <c r="K139" s="145"/>
      <c r="L139" s="145"/>
      <c r="M139" s="145"/>
      <c r="N139" s="145"/>
      <c r="O139" s="145"/>
      <c r="P139" s="145"/>
      <c r="Q139" s="145"/>
      <c r="R139" s="145"/>
      <c r="S139" s="145"/>
      <c r="T139" s="145"/>
    </row>
    <row r="140" customFormat="false" ht="22.5" hidden="false" customHeight="true" outlineLevel="0" collapsed="false">
      <c r="A140" s="145"/>
      <c r="B140" s="146"/>
      <c r="C140" s="145"/>
      <c r="D140" s="145"/>
      <c r="E140" s="145"/>
      <c r="F140" s="145"/>
      <c r="G140" s="145"/>
      <c r="H140" s="145"/>
      <c r="I140" s="145"/>
      <c r="J140" s="145"/>
      <c r="K140" s="145"/>
      <c r="L140" s="145"/>
      <c r="M140" s="145"/>
      <c r="N140" s="145"/>
      <c r="O140" s="145"/>
      <c r="P140" s="145"/>
      <c r="Q140" s="145"/>
      <c r="R140" s="145"/>
      <c r="S140" s="145"/>
      <c r="T140" s="145"/>
    </row>
    <row r="141" customFormat="false" ht="22.5" hidden="false" customHeight="true" outlineLevel="0" collapsed="false">
      <c r="A141" s="145"/>
      <c r="B141" s="146"/>
      <c r="C141" s="145"/>
      <c r="D141" s="145"/>
      <c r="E141" s="145"/>
      <c r="F141" s="145"/>
      <c r="G141" s="145"/>
      <c r="H141" s="145"/>
      <c r="I141" s="145"/>
      <c r="J141" s="145"/>
      <c r="K141" s="145"/>
      <c r="L141" s="145"/>
      <c r="M141" s="145"/>
      <c r="N141" s="145"/>
      <c r="O141" s="145"/>
      <c r="P141" s="145"/>
      <c r="Q141" s="145"/>
      <c r="R141" s="145"/>
      <c r="S141" s="145"/>
      <c r="T141" s="145"/>
    </row>
    <row r="142" customFormat="false" ht="22.5" hidden="false" customHeight="true" outlineLevel="0" collapsed="false">
      <c r="A142" s="100"/>
      <c r="B142" s="149"/>
      <c r="C142" s="100"/>
      <c r="D142" s="100"/>
      <c r="E142" s="100"/>
      <c r="F142" s="100"/>
      <c r="G142" s="100"/>
      <c r="H142" s="100"/>
      <c r="I142" s="100"/>
      <c r="J142" s="100"/>
      <c r="K142" s="100"/>
      <c r="L142" s="100"/>
      <c r="M142" s="100"/>
      <c r="N142" s="100"/>
      <c r="O142" s="100"/>
      <c r="P142" s="100"/>
      <c r="Q142" s="100"/>
      <c r="R142" s="150"/>
      <c r="S142" s="100"/>
    </row>
    <row r="143" customFormat="false" ht="22.5" hidden="false" customHeight="true" outlineLevel="0" collapsed="false">
      <c r="A143" s="100"/>
      <c r="B143" s="149"/>
      <c r="C143" s="100"/>
      <c r="D143" s="100"/>
      <c r="E143" s="100"/>
      <c r="F143" s="100"/>
      <c r="G143" s="100"/>
      <c r="H143" s="100"/>
      <c r="I143" s="100"/>
      <c r="J143" s="100"/>
      <c r="K143" s="100"/>
      <c r="L143" s="100"/>
      <c r="M143" s="100"/>
      <c r="N143" s="100"/>
      <c r="O143" s="100"/>
      <c r="P143" s="100"/>
      <c r="Q143" s="100"/>
      <c r="R143" s="150"/>
      <c r="S143" s="100"/>
    </row>
    <row r="144" customFormat="false" ht="22.5" hidden="false" customHeight="true" outlineLevel="0" collapsed="false">
      <c r="A144" s="100"/>
      <c r="B144" s="149"/>
      <c r="C144" s="100"/>
      <c r="D144" s="100"/>
      <c r="E144" s="100"/>
      <c r="F144" s="100"/>
      <c r="G144" s="100"/>
      <c r="H144" s="100"/>
      <c r="I144" s="100"/>
      <c r="J144" s="100"/>
      <c r="K144" s="100"/>
      <c r="L144" s="100"/>
      <c r="M144" s="100"/>
      <c r="N144" s="100"/>
      <c r="O144" s="100"/>
      <c r="P144" s="100"/>
      <c r="Q144" s="100"/>
      <c r="R144" s="150"/>
      <c r="S144" s="100"/>
    </row>
    <row r="145" s="100" customFormat="true" ht="22.5" hidden="false" customHeight="true" outlineLevel="0" collapsed="false">
      <c r="B145" s="149"/>
      <c r="R145" s="150"/>
    </row>
    <row r="146" s="100" customFormat="true" ht="22.5" hidden="false" customHeight="true" outlineLevel="0" collapsed="false">
      <c r="B146" s="149"/>
      <c r="R146" s="150"/>
    </row>
    <row r="147" s="100" customFormat="true" ht="22.5" hidden="false" customHeight="true" outlineLevel="0" collapsed="false">
      <c r="B147" s="149"/>
      <c r="R147" s="150"/>
    </row>
    <row r="148" s="100" customFormat="true" ht="22.5" hidden="false" customHeight="true" outlineLevel="0" collapsed="false">
      <c r="B148" s="149"/>
      <c r="R148" s="150"/>
    </row>
    <row r="149" s="100" customFormat="true" ht="22.5" hidden="false" customHeight="true" outlineLevel="0" collapsed="false">
      <c r="B149" s="149"/>
      <c r="R149" s="150"/>
    </row>
    <row r="150" s="100" customFormat="true" ht="22.5" hidden="false" customHeight="true" outlineLevel="0" collapsed="false">
      <c r="B150" s="149"/>
      <c r="R150" s="150"/>
    </row>
    <row r="151" s="100" customFormat="true" ht="22.5" hidden="false" customHeight="true" outlineLevel="0" collapsed="false">
      <c r="B151" s="149"/>
      <c r="R151" s="150"/>
    </row>
    <row r="152" s="100" customFormat="true" ht="22.5" hidden="false" customHeight="true" outlineLevel="0" collapsed="false">
      <c r="B152" s="149"/>
      <c r="R152" s="150"/>
    </row>
    <row r="153" s="100" customFormat="true" ht="22.5" hidden="false" customHeight="true" outlineLevel="0" collapsed="false">
      <c r="B153" s="149"/>
      <c r="R153" s="150"/>
    </row>
    <row r="154" s="100" customFormat="true" ht="22.5" hidden="false" customHeight="true" outlineLevel="0" collapsed="false">
      <c r="B154" s="149"/>
      <c r="R154" s="150"/>
    </row>
    <row r="155" s="100" customFormat="true" ht="15" hidden="false" customHeight="false" outlineLevel="0" collapsed="false">
      <c r="B155" s="149"/>
      <c r="R155" s="150"/>
    </row>
    <row r="156" s="100" customFormat="true" ht="15" hidden="false" customHeight="false" outlineLevel="0" collapsed="false">
      <c r="B156" s="149"/>
      <c r="R156" s="150"/>
    </row>
    <row r="157" s="100" customFormat="true" ht="15" hidden="false" customHeight="false" outlineLevel="0" collapsed="false">
      <c r="B157" s="149"/>
      <c r="R157" s="150"/>
    </row>
    <row r="158" s="100" customFormat="true" ht="15" hidden="false" customHeight="false" outlineLevel="0" collapsed="false">
      <c r="B158" s="149"/>
      <c r="R158" s="150"/>
    </row>
    <row r="159" s="100" customFormat="true" ht="15" hidden="false" customHeight="false" outlineLevel="0" collapsed="false">
      <c r="B159" s="149"/>
      <c r="R159" s="150"/>
    </row>
    <row r="160" s="100" customFormat="true" ht="15" hidden="false" customHeight="false" outlineLevel="0" collapsed="false">
      <c r="B160" s="149"/>
      <c r="R160" s="150"/>
    </row>
    <row r="161" s="100" customFormat="true" ht="15" hidden="false" customHeight="false" outlineLevel="0" collapsed="false">
      <c r="B161" s="149"/>
      <c r="R161" s="150"/>
    </row>
    <row r="162" s="100" customFormat="true" ht="15" hidden="false" customHeight="false" outlineLevel="0" collapsed="false">
      <c r="B162" s="149"/>
      <c r="R162" s="150"/>
    </row>
    <row r="163" s="100" customFormat="true" ht="15" hidden="false" customHeight="false" outlineLevel="0" collapsed="false">
      <c r="B163" s="149"/>
      <c r="R163" s="150"/>
    </row>
    <row r="164" s="100" customFormat="true" ht="15" hidden="false" customHeight="false" outlineLevel="0" collapsed="false">
      <c r="B164" s="149"/>
      <c r="R164" s="150"/>
    </row>
    <row r="165" s="100" customFormat="true" ht="15" hidden="false" customHeight="false" outlineLevel="0" collapsed="false">
      <c r="B165" s="149"/>
      <c r="R165" s="150"/>
    </row>
    <row r="166" s="100" customFormat="true" ht="15" hidden="false" customHeight="false" outlineLevel="0" collapsed="false">
      <c r="B166" s="149"/>
      <c r="R166" s="150"/>
    </row>
    <row r="167" s="100" customFormat="true" ht="15" hidden="false" customHeight="false" outlineLevel="0" collapsed="false">
      <c r="B167" s="149"/>
      <c r="R167" s="150"/>
    </row>
    <row r="168" s="100" customFormat="true" ht="15" hidden="false" customHeight="false" outlineLevel="0" collapsed="false">
      <c r="B168" s="149"/>
      <c r="R168" s="150"/>
    </row>
    <row r="169" s="100" customFormat="true" ht="15" hidden="false" customHeight="false" outlineLevel="0" collapsed="false">
      <c r="B169" s="149"/>
      <c r="R169" s="150"/>
    </row>
    <row r="170" s="100" customFormat="true" ht="15" hidden="false" customHeight="false" outlineLevel="0" collapsed="false">
      <c r="B170" s="149"/>
      <c r="R170" s="150"/>
    </row>
    <row r="171" s="100" customFormat="true" ht="15" hidden="false" customHeight="false" outlineLevel="0" collapsed="false">
      <c r="B171" s="149"/>
      <c r="R171" s="150"/>
    </row>
    <row r="172" s="100" customFormat="true" ht="15" hidden="false" customHeight="false" outlineLevel="0" collapsed="false">
      <c r="B172" s="149"/>
      <c r="R172" s="150"/>
    </row>
    <row r="173" s="100" customFormat="true" ht="15" hidden="false" customHeight="false" outlineLevel="0" collapsed="false">
      <c r="B173" s="149"/>
      <c r="R173" s="150"/>
    </row>
    <row r="174" s="100" customFormat="true" ht="15" hidden="false" customHeight="false" outlineLevel="0" collapsed="false">
      <c r="B174" s="149"/>
      <c r="R174" s="150"/>
    </row>
    <row r="175" s="100" customFormat="true" ht="15" hidden="false" customHeight="false" outlineLevel="0" collapsed="false">
      <c r="B175" s="149"/>
      <c r="R175" s="150"/>
    </row>
    <row r="176" s="100" customFormat="true" ht="15" hidden="false" customHeight="false" outlineLevel="0" collapsed="false">
      <c r="B176" s="149"/>
      <c r="R176" s="150"/>
    </row>
    <row r="177" s="100" customFormat="true" ht="15" hidden="false" customHeight="false" outlineLevel="0" collapsed="false">
      <c r="B177" s="149"/>
      <c r="R177" s="150"/>
    </row>
    <row r="178" s="100" customFormat="true" ht="15" hidden="false" customHeight="false" outlineLevel="0" collapsed="false">
      <c r="B178" s="149"/>
      <c r="R178" s="150"/>
    </row>
    <row r="179" s="100" customFormat="true" ht="15" hidden="false" customHeight="false" outlineLevel="0" collapsed="false">
      <c r="B179" s="149"/>
      <c r="R179" s="150"/>
    </row>
    <row r="180" s="100" customFormat="true" ht="15" hidden="false" customHeight="false" outlineLevel="0" collapsed="false">
      <c r="B180" s="149"/>
      <c r="R180" s="150"/>
    </row>
    <row r="181" s="100" customFormat="true" ht="15" hidden="false" customHeight="false" outlineLevel="0" collapsed="false">
      <c r="B181" s="149"/>
      <c r="R181" s="150"/>
    </row>
    <row r="182" s="100" customFormat="true" ht="15" hidden="false" customHeight="false" outlineLevel="0" collapsed="false">
      <c r="B182" s="149"/>
      <c r="R182" s="150"/>
    </row>
    <row r="183" s="100" customFormat="true" ht="15" hidden="false" customHeight="false" outlineLevel="0" collapsed="false">
      <c r="B183" s="149"/>
      <c r="R183" s="150"/>
    </row>
    <row r="184" s="100" customFormat="true" ht="15" hidden="false" customHeight="false" outlineLevel="0" collapsed="false">
      <c r="B184" s="149"/>
      <c r="R184" s="150"/>
    </row>
    <row r="185" s="100" customFormat="true" ht="15" hidden="false" customHeight="false" outlineLevel="0" collapsed="false">
      <c r="B185" s="149"/>
      <c r="R185" s="150"/>
    </row>
    <row r="186" s="100" customFormat="true" ht="15" hidden="false" customHeight="false" outlineLevel="0" collapsed="false">
      <c r="B186" s="149"/>
      <c r="R186" s="150"/>
    </row>
    <row r="187" customFormat="false" ht="16.5" hidden="false" customHeight="false" outlineLevel="0" collapsed="false">
      <c r="C187" s="121"/>
      <c r="D187" s="121"/>
      <c r="E187" s="121"/>
      <c r="F187" s="121"/>
      <c r="G187" s="121"/>
      <c r="H187" s="121"/>
      <c r="I187" s="121"/>
      <c r="J187" s="121"/>
      <c r="K187" s="121"/>
      <c r="L187" s="121"/>
      <c r="M187" s="121"/>
      <c r="N187" s="121"/>
      <c r="O187" s="121"/>
      <c r="P187" s="121"/>
      <c r="Q187" s="121"/>
      <c r="R187" s="122"/>
      <c r="S187" s="121"/>
      <c r="T187" s="121"/>
    </row>
    <row r="188" customFormat="false" ht="16.5" hidden="false" customHeight="false" outlineLevel="0" collapsed="false">
      <c r="C188" s="121"/>
      <c r="D188" s="121"/>
      <c r="E188" s="121"/>
      <c r="F188" s="121"/>
      <c r="G188" s="121"/>
      <c r="H188" s="121"/>
      <c r="I188" s="121"/>
      <c r="J188" s="121"/>
      <c r="K188" s="121"/>
      <c r="L188" s="121"/>
      <c r="M188" s="121"/>
      <c r="N188" s="121"/>
      <c r="O188" s="121"/>
      <c r="P188" s="121"/>
      <c r="Q188" s="121"/>
      <c r="R188" s="122"/>
      <c r="S188" s="121"/>
      <c r="T188" s="121"/>
    </row>
    <row r="189" customFormat="false" ht="16.5" hidden="false" customHeight="false" outlineLevel="0" collapsed="false">
      <c r="C189" s="121"/>
      <c r="D189" s="121"/>
      <c r="E189" s="121"/>
      <c r="F189" s="121"/>
      <c r="G189" s="121"/>
      <c r="H189" s="121"/>
      <c r="I189" s="121"/>
      <c r="J189" s="121"/>
      <c r="K189" s="121"/>
      <c r="L189" s="121"/>
      <c r="M189" s="121"/>
      <c r="N189" s="121"/>
      <c r="O189" s="121"/>
      <c r="P189" s="121"/>
      <c r="Q189" s="121"/>
      <c r="R189" s="122"/>
      <c r="S189" s="121"/>
      <c r="T189" s="121"/>
    </row>
    <row r="190" customFormat="false" ht="16.5" hidden="false" customHeight="false" outlineLevel="0" collapsed="false">
      <c r="C190" s="121"/>
      <c r="D190" s="121"/>
      <c r="E190" s="121"/>
      <c r="F190" s="121"/>
      <c r="G190" s="121"/>
      <c r="H190" s="121"/>
      <c r="I190" s="121"/>
      <c r="J190" s="121"/>
      <c r="K190" s="121"/>
      <c r="L190" s="121"/>
      <c r="M190" s="121"/>
      <c r="N190" s="121"/>
      <c r="O190" s="121"/>
      <c r="P190" s="121"/>
      <c r="Q190" s="121"/>
      <c r="R190" s="122"/>
      <c r="S190" s="121"/>
      <c r="T190" s="121"/>
    </row>
    <row r="191" customFormat="false" ht="16.5" hidden="false" customHeight="false" outlineLevel="0" collapsed="false">
      <c r="C191" s="121"/>
      <c r="D191" s="121"/>
      <c r="E191" s="121"/>
      <c r="F191" s="121"/>
      <c r="G191" s="121"/>
      <c r="H191" s="121"/>
      <c r="I191" s="121"/>
      <c r="J191" s="121"/>
      <c r="K191" s="121"/>
      <c r="L191" s="121"/>
      <c r="M191" s="121"/>
      <c r="N191" s="121"/>
      <c r="O191" s="121"/>
      <c r="P191" s="121"/>
      <c r="Q191" s="121"/>
      <c r="R191" s="122"/>
      <c r="S191" s="121"/>
      <c r="T191" s="121"/>
    </row>
  </sheetData>
  <mergeCells count="14">
    <mergeCell ref="C1:R1"/>
    <mergeCell ref="C2:S2"/>
    <mergeCell ref="A3:A5"/>
    <mergeCell ref="B3:B5"/>
    <mergeCell ref="C3:G3"/>
    <mergeCell ref="H3:O3"/>
    <mergeCell ref="P3:Q3"/>
    <mergeCell ref="R3:S3"/>
    <mergeCell ref="G4:G5"/>
    <mergeCell ref="O4:O5"/>
    <mergeCell ref="Q4:Q5"/>
    <mergeCell ref="S4:S5"/>
    <mergeCell ref="T4:T5"/>
    <mergeCell ref="U4:U5"/>
  </mergeCells>
  <dataValidations count="1">
    <dataValidation allowBlank="true" errorStyle="stop" operator="between" showDropDown="false" showErrorMessage="true" showInputMessage="true" sqref="A6:A31" type="list">
      <formula1>"SRN,LC,SSY"</formula1>
      <formula2>0</formula2>
    </dataValidation>
  </dataValidations>
  <printOptions headings="false" gridLines="false" gridLinesSet="true" horizontalCentered="false" verticalCentered="false"/>
  <pageMargins left="0.440277777777778" right="0.118055555555556" top="0.179861111111111" bottom="0.157638888888889" header="0.511811023622047" footer="0.511811023622047"/>
  <pageSetup paperSize="5" scale="44"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8677"/>
    <pageSetUpPr fitToPage="false"/>
  </sheetPr>
  <dimension ref="A1:AW207"/>
  <sheetViews>
    <sheetView showFormulas="false" showGridLines="false" showRowColHeaders="true" showZeros="true" rightToLeft="false" tabSelected="false" showOutlineSymbols="true" defaultGridColor="true" view="normal" topLeftCell="A4" colorId="64" zoomScale="90" zoomScaleNormal="90" zoomScalePageLayoutView="100" workbookViewId="0">
      <selection pane="topLeft" activeCell="J13" activeCellId="0" sqref="J13"/>
    </sheetView>
  </sheetViews>
  <sheetFormatPr defaultColWidth="11.43359375" defaultRowHeight="16.5" customHeight="false" zeroHeight="false" outlineLevelRow="0" outlineLevelCol="0"/>
  <cols>
    <col collapsed="false" customWidth="true" hidden="false" outlineLevel="0" max="1" min="1" style="151" width="9.14"/>
    <col collapsed="false" customWidth="true" hidden="false" outlineLevel="0" max="2" min="2" style="95" width="30.29"/>
    <col collapsed="false" customWidth="true" hidden="false" outlineLevel="0" max="3" min="3" style="96" width="15.85"/>
    <col collapsed="false" customWidth="true" hidden="false" outlineLevel="0" max="4" min="4" style="96" width="15.71"/>
    <col collapsed="false" customWidth="true" hidden="false" outlineLevel="0" max="5" min="5" style="96" width="19.14"/>
    <col collapsed="false" customWidth="true" hidden="false" outlineLevel="0" max="6" min="6" style="96" width="13.86"/>
    <col collapsed="false" customWidth="true" hidden="false" outlineLevel="0" max="7" min="7" style="97" width="15.42"/>
    <col collapsed="false" customWidth="true" hidden="false" outlineLevel="0" max="8" min="8" style="96" width="4.86"/>
    <col collapsed="false" customWidth="true" hidden="false" outlineLevel="0" max="9" min="9" style="96" width="17.15"/>
    <col collapsed="false" customWidth="true" hidden="false" outlineLevel="0" max="10" min="10" style="96" width="17.71"/>
    <col collapsed="false" customWidth="true" hidden="false" outlineLevel="0" max="11" min="11" style="96" width="18.86"/>
    <col collapsed="false" customWidth="true" hidden="false" outlineLevel="0" max="12" min="12" style="94" width="17.15"/>
    <col collapsed="false" customWidth="true" hidden="false" outlineLevel="0" max="13" min="13" style="94" width="16"/>
    <col collapsed="false" customWidth="true" hidden="false" outlineLevel="0" max="14" min="14" style="94" width="15.29"/>
    <col collapsed="false" customWidth="true" hidden="false" outlineLevel="0" max="15" min="15" style="98" width="11.85"/>
    <col collapsed="false" customWidth="true" hidden="false" outlineLevel="0" max="16" min="16" style="94" width="5.14"/>
    <col collapsed="false" customWidth="true" hidden="false" outlineLevel="0" max="17" min="17" style="98" width="20"/>
    <col collapsed="false" customWidth="true" hidden="false" outlineLevel="0" max="18" min="18" style="99" width="4.57"/>
    <col collapsed="false" customWidth="true" hidden="false" outlineLevel="0" max="19" min="19" style="94" width="20.42"/>
    <col collapsed="false" customWidth="true" hidden="false" outlineLevel="0" max="20" min="20" style="100" width="4.42"/>
    <col collapsed="false" customWidth="true" hidden="false" outlineLevel="0" max="21" min="21" style="100" width="20.85"/>
    <col collapsed="false" customWidth="true" hidden="false" outlineLevel="0" max="22" min="22" style="100" width="15"/>
    <col collapsed="false" customWidth="true" hidden="false" outlineLevel="0" max="23" min="23" style="94" width="13.86"/>
    <col collapsed="false" customWidth="true" hidden="false" outlineLevel="0" max="24" min="24" style="94" width="14.86"/>
    <col collapsed="false" customWidth="true" hidden="false" outlineLevel="0" max="25" min="25" style="94" width="15.85"/>
    <col collapsed="false" customWidth="true" hidden="false" outlineLevel="0" max="26" min="26" style="94" width="16.14"/>
    <col collapsed="false" customWidth="true" hidden="false" outlineLevel="0" max="27" min="27" style="94" width="14.42"/>
    <col collapsed="false" customWidth="true" hidden="false" outlineLevel="0" max="28" min="28" style="94" width="16.14"/>
    <col collapsed="false" customWidth="true" hidden="false" outlineLevel="0" max="29" min="29" style="94" width="7.86"/>
    <col collapsed="false" customWidth="false" hidden="false" outlineLevel="0" max="31" min="30" style="94" width="11.43"/>
    <col collapsed="false" customWidth="true" hidden="false" outlineLevel="0" max="32" min="32" style="94" width="11.29"/>
    <col collapsed="false" customWidth="false" hidden="false" outlineLevel="0" max="36" min="33" style="94" width="11.43"/>
    <col collapsed="false" customWidth="true" hidden="false" outlineLevel="0" max="37" min="37" style="94" width="4.14"/>
    <col collapsed="false" customWidth="true" hidden="false" outlineLevel="0" max="38" min="38" style="94" width="16.14"/>
    <col collapsed="false" customWidth="true" hidden="false" outlineLevel="0" max="39" min="39" style="94" width="6"/>
    <col collapsed="false" customWidth="true" hidden="false" outlineLevel="0" max="40" min="40" style="94" width="14.86"/>
    <col collapsed="false" customWidth="true" hidden="false" outlineLevel="0" max="41" min="41" style="94" width="7.16"/>
    <col collapsed="false" customWidth="false" hidden="false" outlineLevel="0" max="16384" min="42" style="94" width="11.43"/>
  </cols>
  <sheetData>
    <row r="1" s="143" customFormat="true" ht="15.75" hidden="false" customHeight="true" outlineLevel="0" collapsed="false">
      <c r="A1" s="152"/>
      <c r="B1" s="144"/>
      <c r="C1" s="94"/>
      <c r="D1" s="94"/>
      <c r="E1" s="94"/>
      <c r="F1" s="99"/>
      <c r="G1" s="97"/>
      <c r="H1" s="99"/>
      <c r="I1" s="99"/>
      <c r="J1" s="99"/>
      <c r="K1" s="99"/>
      <c r="N1" s="94"/>
      <c r="O1" s="98"/>
      <c r="P1" s="94"/>
      <c r="Q1" s="98"/>
      <c r="R1" s="99"/>
      <c r="S1" s="94"/>
      <c r="T1" s="100"/>
    </row>
    <row r="2" s="143" customFormat="true" ht="15.75" hidden="false" customHeight="true" outlineLevel="0" collapsed="false">
      <c r="A2" s="152"/>
      <c r="B2" s="144"/>
      <c r="C2" s="94"/>
      <c r="D2" s="94"/>
      <c r="E2" s="94"/>
      <c r="F2" s="99"/>
      <c r="G2" s="97"/>
      <c r="H2" s="99"/>
      <c r="I2" s="99"/>
      <c r="J2" s="99"/>
      <c r="K2" s="99"/>
      <c r="N2" s="94"/>
      <c r="O2" s="98"/>
      <c r="P2" s="94"/>
      <c r="Q2" s="98"/>
      <c r="R2" s="99"/>
      <c r="S2" s="94"/>
      <c r="T2" s="100"/>
    </row>
    <row r="3" s="143" customFormat="true" ht="15.75" hidden="false" customHeight="true" outlineLevel="0" collapsed="false">
      <c r="A3" s="152"/>
      <c r="B3" s="144"/>
      <c r="C3" s="94"/>
      <c r="D3" s="94"/>
      <c r="E3" s="94"/>
      <c r="F3" s="99"/>
      <c r="G3" s="97"/>
      <c r="H3" s="99"/>
      <c r="I3" s="99"/>
      <c r="J3" s="99"/>
      <c r="K3" s="99"/>
      <c r="N3" s="94"/>
      <c r="O3" s="98"/>
      <c r="P3" s="94"/>
      <c r="Q3" s="98"/>
      <c r="R3" s="99"/>
      <c r="S3" s="94"/>
      <c r="T3" s="100"/>
    </row>
    <row r="4" s="143" customFormat="true" ht="27.75" hidden="false" customHeight="true" outlineLevel="0" collapsed="false">
      <c r="A4" s="152"/>
      <c r="B4" s="144"/>
      <c r="C4" s="153" t="s">
        <v>149</v>
      </c>
      <c r="D4" s="153"/>
      <c r="E4" s="153"/>
      <c r="F4" s="153"/>
      <c r="G4" s="153"/>
      <c r="H4" s="153"/>
      <c r="I4" s="153"/>
      <c r="J4" s="153"/>
      <c r="K4" s="153"/>
      <c r="L4" s="153"/>
      <c r="M4" s="153"/>
      <c r="N4" s="153"/>
      <c r="O4" s="153"/>
      <c r="P4" s="153"/>
      <c r="Q4" s="153"/>
      <c r="R4" s="153"/>
      <c r="S4" s="153"/>
      <c r="T4" s="153"/>
    </row>
    <row r="5" s="102" customFormat="true" ht="22.5" hidden="false" customHeight="true" outlineLevel="0" collapsed="false">
      <c r="A5" s="154" t="s">
        <v>17</v>
      </c>
      <c r="B5" s="155" t="s">
        <v>113</v>
      </c>
      <c r="C5" s="156" t="s">
        <v>150</v>
      </c>
      <c r="D5" s="156"/>
      <c r="E5" s="156"/>
      <c r="F5" s="156"/>
      <c r="G5" s="156"/>
      <c r="H5" s="157" t="s">
        <v>64</v>
      </c>
      <c r="I5" s="156" t="s">
        <v>151</v>
      </c>
      <c r="J5" s="156"/>
      <c r="K5" s="156"/>
      <c r="L5" s="156"/>
      <c r="M5" s="156"/>
      <c r="N5" s="156"/>
      <c r="O5" s="158"/>
      <c r="P5" s="157" t="s">
        <v>65</v>
      </c>
      <c r="Q5" s="159" t="s">
        <v>152</v>
      </c>
      <c r="R5" s="157" t="s">
        <v>66</v>
      </c>
      <c r="S5" s="159" t="s">
        <v>153</v>
      </c>
      <c r="T5" s="160" t="s">
        <v>67</v>
      </c>
      <c r="U5" s="106" t="s">
        <v>131</v>
      </c>
      <c r="V5" s="106" t="s">
        <v>132</v>
      </c>
    </row>
    <row r="6" s="102" customFormat="true" ht="21.75" hidden="false" customHeight="true" outlineLevel="0" collapsed="false">
      <c r="A6" s="154"/>
      <c r="B6" s="155"/>
      <c r="C6" s="161" t="s">
        <v>154</v>
      </c>
      <c r="D6" s="161" t="s">
        <v>155</v>
      </c>
      <c r="E6" s="161" t="s">
        <v>156</v>
      </c>
      <c r="F6" s="161" t="s">
        <v>157</v>
      </c>
      <c r="G6" s="161" t="s">
        <v>158</v>
      </c>
      <c r="H6" s="157"/>
      <c r="I6" s="161" t="s">
        <v>159</v>
      </c>
      <c r="J6" s="161" t="s">
        <v>160</v>
      </c>
      <c r="K6" s="161" t="s">
        <v>161</v>
      </c>
      <c r="L6" s="161" t="s">
        <v>162</v>
      </c>
      <c r="M6" s="161" t="s">
        <v>163</v>
      </c>
      <c r="N6" s="161" t="s">
        <v>164</v>
      </c>
      <c r="O6" s="161" t="s">
        <v>165</v>
      </c>
      <c r="P6" s="157"/>
      <c r="Q6" s="161" t="s">
        <v>166</v>
      </c>
      <c r="R6" s="157"/>
      <c r="S6" s="161" t="s">
        <v>167</v>
      </c>
      <c r="T6" s="160"/>
      <c r="U6" s="106"/>
      <c r="V6" s="106"/>
    </row>
    <row r="7" s="116" customFormat="true" ht="96.75" hidden="false" customHeight="true" outlineLevel="0" collapsed="false">
      <c r="A7" s="154"/>
      <c r="B7" s="155"/>
      <c r="C7" s="162" t="s">
        <v>168</v>
      </c>
      <c r="D7" s="162" t="s">
        <v>169</v>
      </c>
      <c r="E7" s="162" t="s">
        <v>170</v>
      </c>
      <c r="F7" s="162" t="s">
        <v>171</v>
      </c>
      <c r="G7" s="162" t="s">
        <v>172</v>
      </c>
      <c r="H7" s="157"/>
      <c r="I7" s="163" t="s">
        <v>137</v>
      </c>
      <c r="J7" s="163" t="s">
        <v>138</v>
      </c>
      <c r="K7" s="163" t="s">
        <v>139</v>
      </c>
      <c r="L7" s="163" t="s">
        <v>140</v>
      </c>
      <c r="M7" s="163" t="s">
        <v>141</v>
      </c>
      <c r="N7" s="163" t="s">
        <v>142</v>
      </c>
      <c r="O7" s="163" t="s">
        <v>143</v>
      </c>
      <c r="P7" s="157"/>
      <c r="Q7" s="164" t="s">
        <v>144</v>
      </c>
      <c r="R7" s="157"/>
      <c r="S7" s="164" t="s">
        <v>173</v>
      </c>
      <c r="T7" s="160"/>
      <c r="U7" s="106"/>
      <c r="V7" s="106"/>
    </row>
    <row r="8" customFormat="false" ht="34.5" hidden="false" customHeight="true" outlineLevel="0" collapsed="false">
      <c r="A8" s="165" t="s">
        <v>73</v>
      </c>
      <c r="B8" s="166" t="s">
        <v>146</v>
      </c>
      <c r="C8" s="119"/>
      <c r="D8" s="119"/>
      <c r="E8" s="119"/>
      <c r="F8" s="119"/>
      <c r="G8" s="121"/>
      <c r="H8" s="161" t="n">
        <f aca="false">+SUM(C8:G8)</f>
        <v>0</v>
      </c>
      <c r="I8" s="121"/>
      <c r="J8" s="121"/>
      <c r="K8" s="121"/>
      <c r="L8" s="121"/>
      <c r="M8" s="121"/>
      <c r="N8" s="121"/>
      <c r="O8" s="121"/>
      <c r="P8" s="161" t="n">
        <f aca="false">+SUM(I8:O8)</f>
        <v>0</v>
      </c>
      <c r="Q8" s="140"/>
      <c r="R8" s="167" t="n">
        <f aca="false">+Q8</f>
        <v>0</v>
      </c>
      <c r="S8" s="168" t="n">
        <f aca="false">+R8</f>
        <v>0</v>
      </c>
      <c r="T8" s="169" t="n">
        <f aca="false">+S8</f>
        <v>0</v>
      </c>
      <c r="U8" s="121"/>
      <c r="V8" s="121"/>
    </row>
    <row r="9" customFormat="false" ht="34.5" hidden="false" customHeight="true" outlineLevel="0" collapsed="false">
      <c r="A9" s="165" t="s">
        <v>73</v>
      </c>
      <c r="B9" s="166" t="s">
        <v>78</v>
      </c>
      <c r="C9" s="119"/>
      <c r="D9" s="119"/>
      <c r="E9" s="119"/>
      <c r="F9" s="119"/>
      <c r="G9" s="121"/>
      <c r="H9" s="161" t="n">
        <f aca="false">+SUM(C9:G9)</f>
        <v>0</v>
      </c>
      <c r="I9" s="121"/>
      <c r="J9" s="121"/>
      <c r="K9" s="121"/>
      <c r="L9" s="121"/>
      <c r="M9" s="121"/>
      <c r="N9" s="121"/>
      <c r="O9" s="121"/>
      <c r="P9" s="161" t="n">
        <f aca="false">+SUM(I9:O9)</f>
        <v>0</v>
      </c>
      <c r="Q9" s="140"/>
      <c r="R9" s="167" t="n">
        <f aca="false">+Q9</f>
        <v>0</v>
      </c>
      <c r="S9" s="168" t="n">
        <f aca="false">+R9</f>
        <v>0</v>
      </c>
      <c r="T9" s="169" t="n">
        <f aca="false">+S9</f>
        <v>0</v>
      </c>
      <c r="U9" s="121"/>
      <c r="V9" s="121"/>
    </row>
    <row r="10" customFormat="false" ht="34.5" hidden="false" customHeight="true" outlineLevel="0" collapsed="false">
      <c r="A10" s="165" t="s">
        <v>73</v>
      </c>
      <c r="B10" s="166" t="s">
        <v>81</v>
      </c>
      <c r="C10" s="119"/>
      <c r="D10" s="119"/>
      <c r="E10" s="119"/>
      <c r="F10" s="119"/>
      <c r="G10" s="121"/>
      <c r="H10" s="161" t="n">
        <f aca="false">+SUM(C10:G10)</f>
        <v>0</v>
      </c>
      <c r="I10" s="121"/>
      <c r="J10" s="121"/>
      <c r="K10" s="121"/>
      <c r="L10" s="121"/>
      <c r="M10" s="121"/>
      <c r="N10" s="121"/>
      <c r="O10" s="121"/>
      <c r="P10" s="161" t="n">
        <f aca="false">+SUM(I10:O10)</f>
        <v>0</v>
      </c>
      <c r="Q10" s="140"/>
      <c r="R10" s="167" t="n">
        <f aca="false">+Q10</f>
        <v>0</v>
      </c>
      <c r="S10" s="168" t="n">
        <f aca="false">+R10</f>
        <v>0</v>
      </c>
      <c r="T10" s="169" t="n">
        <f aca="false">+S10</f>
        <v>0</v>
      </c>
      <c r="U10" s="121"/>
      <c r="V10" s="121"/>
    </row>
    <row r="11" customFormat="false" ht="34.5" hidden="false" customHeight="true" outlineLevel="0" collapsed="false">
      <c r="A11" s="165" t="s">
        <v>73</v>
      </c>
      <c r="B11" s="166" t="s">
        <v>83</v>
      </c>
      <c r="C11" s="119"/>
      <c r="D11" s="119"/>
      <c r="E11" s="119"/>
      <c r="F11" s="119"/>
      <c r="G11" s="121"/>
      <c r="H11" s="161" t="n">
        <f aca="false">+SUM(C11:G11)</f>
        <v>0</v>
      </c>
      <c r="I11" s="121"/>
      <c r="J11" s="121"/>
      <c r="K11" s="121"/>
      <c r="L11" s="121"/>
      <c r="M11" s="121"/>
      <c r="N11" s="121"/>
      <c r="O11" s="121"/>
      <c r="P11" s="161" t="n">
        <f aca="false">+SUM(I11:O11)</f>
        <v>0</v>
      </c>
      <c r="Q11" s="140"/>
      <c r="R11" s="167" t="n">
        <f aca="false">+Q11</f>
        <v>0</v>
      </c>
      <c r="S11" s="168" t="n">
        <f aca="false">+R11</f>
        <v>0</v>
      </c>
      <c r="T11" s="169" t="n">
        <f aca="false">+S11</f>
        <v>0</v>
      </c>
      <c r="U11" s="121"/>
      <c r="V11" s="121"/>
    </row>
    <row r="12" customFormat="false" ht="34.5" hidden="false" customHeight="true" outlineLevel="0" collapsed="false">
      <c r="A12" s="165" t="s">
        <v>73</v>
      </c>
      <c r="B12" s="166" t="s">
        <v>84</v>
      </c>
      <c r="C12" s="119"/>
      <c r="D12" s="119"/>
      <c r="E12" s="119"/>
      <c r="F12" s="119"/>
      <c r="G12" s="121"/>
      <c r="H12" s="161" t="n">
        <f aca="false">+SUM(C12:G12)</f>
        <v>0</v>
      </c>
      <c r="I12" s="121"/>
      <c r="J12" s="121"/>
      <c r="K12" s="121"/>
      <c r="L12" s="121"/>
      <c r="M12" s="121"/>
      <c r="N12" s="121"/>
      <c r="O12" s="121"/>
      <c r="P12" s="161" t="n">
        <f aca="false">+SUM(I12:O12)</f>
        <v>0</v>
      </c>
      <c r="Q12" s="140"/>
      <c r="R12" s="167" t="n">
        <f aca="false">+Q12</f>
        <v>0</v>
      </c>
      <c r="S12" s="168" t="n">
        <f aca="false">+R12</f>
        <v>0</v>
      </c>
      <c r="T12" s="169" t="n">
        <f aca="false">+S12</f>
        <v>0</v>
      </c>
      <c r="U12" s="121"/>
      <c r="V12" s="121"/>
    </row>
    <row r="13" customFormat="false" ht="34.5" hidden="false" customHeight="true" outlineLevel="0" collapsed="false">
      <c r="A13" s="165" t="s">
        <v>73</v>
      </c>
      <c r="B13" s="166" t="s">
        <v>85</v>
      </c>
      <c r="C13" s="119"/>
      <c r="D13" s="119"/>
      <c r="E13" s="119"/>
      <c r="F13" s="119"/>
      <c r="G13" s="121"/>
      <c r="H13" s="161" t="n">
        <f aca="false">+SUM(C13:G13)</f>
        <v>0</v>
      </c>
      <c r="I13" s="121"/>
      <c r="J13" s="121"/>
      <c r="K13" s="121"/>
      <c r="L13" s="121"/>
      <c r="M13" s="121"/>
      <c r="N13" s="121"/>
      <c r="O13" s="121"/>
      <c r="P13" s="161" t="n">
        <f aca="false">+SUM(I13:O13)</f>
        <v>0</v>
      </c>
      <c r="Q13" s="140"/>
      <c r="R13" s="167" t="n">
        <f aca="false">+Q13</f>
        <v>0</v>
      </c>
      <c r="S13" s="168" t="n">
        <f aca="false">+R13</f>
        <v>0</v>
      </c>
      <c r="T13" s="169" t="n">
        <f aca="false">+S13</f>
        <v>0</v>
      </c>
      <c r="U13" s="121"/>
      <c r="V13" s="121"/>
    </row>
    <row r="14" customFormat="false" ht="34.5" hidden="false" customHeight="true" outlineLevel="0" collapsed="false">
      <c r="A14" s="165" t="s">
        <v>73</v>
      </c>
      <c r="B14" s="166" t="s">
        <v>86</v>
      </c>
      <c r="C14" s="119"/>
      <c r="D14" s="119"/>
      <c r="E14" s="119"/>
      <c r="F14" s="119"/>
      <c r="G14" s="121"/>
      <c r="H14" s="161" t="n">
        <f aca="false">+SUM(C14:G14)</f>
        <v>0</v>
      </c>
      <c r="I14" s="121"/>
      <c r="J14" s="121"/>
      <c r="K14" s="121"/>
      <c r="L14" s="121"/>
      <c r="M14" s="121"/>
      <c r="N14" s="121"/>
      <c r="O14" s="121"/>
      <c r="P14" s="161" t="n">
        <f aca="false">+SUM(I14:O14)</f>
        <v>0</v>
      </c>
      <c r="Q14" s="140"/>
      <c r="R14" s="167" t="n">
        <f aca="false">+Q14</f>
        <v>0</v>
      </c>
      <c r="S14" s="168" t="n">
        <f aca="false">+R14</f>
        <v>0</v>
      </c>
      <c r="T14" s="169" t="n">
        <f aca="false">+S14</f>
        <v>0</v>
      </c>
      <c r="U14" s="121"/>
      <c r="V14" s="121"/>
    </row>
    <row r="15" customFormat="false" ht="34.5" hidden="false" customHeight="true" outlineLevel="0" collapsed="false">
      <c r="A15" s="165" t="s">
        <v>73</v>
      </c>
      <c r="B15" s="166" t="s">
        <v>87</v>
      </c>
      <c r="C15" s="119"/>
      <c r="D15" s="119"/>
      <c r="E15" s="119"/>
      <c r="F15" s="119"/>
      <c r="G15" s="121"/>
      <c r="H15" s="161" t="n">
        <f aca="false">+SUM(C15:G15)</f>
        <v>0</v>
      </c>
      <c r="I15" s="121"/>
      <c r="J15" s="121"/>
      <c r="K15" s="121"/>
      <c r="L15" s="121"/>
      <c r="M15" s="121"/>
      <c r="N15" s="121"/>
      <c r="O15" s="121"/>
      <c r="P15" s="161" t="n">
        <f aca="false">+SUM(I15:O15)</f>
        <v>0</v>
      </c>
      <c r="Q15" s="140"/>
      <c r="R15" s="167" t="n">
        <f aca="false">+Q15</f>
        <v>0</v>
      </c>
      <c r="S15" s="168" t="n">
        <f aca="false">+R15</f>
        <v>0</v>
      </c>
      <c r="T15" s="169" t="n">
        <f aca="false">+S15</f>
        <v>0</v>
      </c>
      <c r="U15" s="121"/>
      <c r="V15" s="121"/>
    </row>
    <row r="16" customFormat="false" ht="34.5" hidden="false" customHeight="true" outlineLevel="0" collapsed="false">
      <c r="A16" s="165" t="s">
        <v>73</v>
      </c>
      <c r="B16" s="166" t="s">
        <v>88</v>
      </c>
      <c r="C16" s="119"/>
      <c r="D16" s="119"/>
      <c r="E16" s="119"/>
      <c r="F16" s="119"/>
      <c r="G16" s="121"/>
      <c r="H16" s="161" t="n">
        <f aca="false">+SUM(C16:G16)</f>
        <v>0</v>
      </c>
      <c r="I16" s="121"/>
      <c r="J16" s="121"/>
      <c r="K16" s="121"/>
      <c r="L16" s="121"/>
      <c r="M16" s="121"/>
      <c r="N16" s="121"/>
      <c r="O16" s="121"/>
      <c r="P16" s="161" t="n">
        <f aca="false">+SUM(I16:O16)</f>
        <v>0</v>
      </c>
      <c r="Q16" s="140"/>
      <c r="R16" s="167" t="n">
        <f aca="false">+Q16</f>
        <v>0</v>
      </c>
      <c r="S16" s="168" t="n">
        <f aca="false">+R16</f>
        <v>0</v>
      </c>
      <c r="T16" s="169" t="n">
        <f aca="false">+S16</f>
        <v>0</v>
      </c>
      <c r="U16" s="121"/>
      <c r="V16" s="121"/>
    </row>
    <row r="17" s="136" customFormat="true" ht="34.5" hidden="false" customHeight="true" outlineLevel="0" collapsed="false">
      <c r="A17" s="170" t="s">
        <v>90</v>
      </c>
      <c r="B17" s="171" t="s">
        <v>91</v>
      </c>
      <c r="C17" s="130" t="n">
        <v>1</v>
      </c>
      <c r="D17" s="130" t="n">
        <v>1</v>
      </c>
      <c r="E17" s="130" t="n">
        <v>1</v>
      </c>
      <c r="F17" s="130" t="n">
        <v>1</v>
      </c>
      <c r="G17" s="132" t="n">
        <v>1</v>
      </c>
      <c r="H17" s="161" t="n">
        <f aca="false">+SUM(C17:G17)</f>
        <v>5</v>
      </c>
      <c r="I17" s="132" t="n">
        <v>1</v>
      </c>
      <c r="J17" s="132" t="n">
        <v>1</v>
      </c>
      <c r="K17" s="132" t="n">
        <v>1</v>
      </c>
      <c r="L17" s="132" t="n">
        <v>1</v>
      </c>
      <c r="M17" s="132" t="n">
        <v>1</v>
      </c>
      <c r="N17" s="132" t="n">
        <v>0</v>
      </c>
      <c r="O17" s="132" t="n">
        <v>1</v>
      </c>
      <c r="P17" s="161" t="n">
        <f aca="false">+SUM(I17:O17)</f>
        <v>6</v>
      </c>
      <c r="Q17" s="131" t="n">
        <v>1</v>
      </c>
      <c r="R17" s="167" t="n">
        <f aca="false">+Q17</f>
        <v>1</v>
      </c>
      <c r="S17" s="133" t="n">
        <v>1</v>
      </c>
      <c r="T17" s="169" t="n">
        <f aca="false">+S17</f>
        <v>1</v>
      </c>
      <c r="U17" s="132" t="s">
        <v>148</v>
      </c>
      <c r="V17" s="172" t="n">
        <v>40952</v>
      </c>
    </row>
    <row r="18" s="136" customFormat="true" ht="34.5" hidden="false" customHeight="true" outlineLevel="0" collapsed="false">
      <c r="A18" s="170" t="s">
        <v>90</v>
      </c>
      <c r="B18" s="171" t="s">
        <v>93</v>
      </c>
      <c r="C18" s="130" t="n">
        <v>1</v>
      </c>
      <c r="D18" s="130" t="n">
        <v>1</v>
      </c>
      <c r="E18" s="130" t="n">
        <v>1</v>
      </c>
      <c r="F18" s="130" t="n">
        <v>1</v>
      </c>
      <c r="G18" s="132" t="n">
        <v>1</v>
      </c>
      <c r="H18" s="161" t="n">
        <f aca="false">+SUM(C18:G18)</f>
        <v>5</v>
      </c>
      <c r="I18" s="132" t="n">
        <v>1</v>
      </c>
      <c r="J18" s="132" t="n">
        <v>1</v>
      </c>
      <c r="K18" s="132" t="n">
        <v>1</v>
      </c>
      <c r="L18" s="132" t="n">
        <v>1</v>
      </c>
      <c r="M18" s="132" t="n">
        <v>1</v>
      </c>
      <c r="N18" s="132" t="n">
        <v>0</v>
      </c>
      <c r="O18" s="132" t="n">
        <v>1</v>
      </c>
      <c r="P18" s="161" t="n">
        <f aca="false">+SUM(I18:O18)</f>
        <v>6</v>
      </c>
      <c r="Q18" s="131" t="n">
        <v>1</v>
      </c>
      <c r="R18" s="167" t="n">
        <f aca="false">+Q18</f>
        <v>1</v>
      </c>
      <c r="S18" s="133" t="n">
        <v>1</v>
      </c>
      <c r="T18" s="169" t="n">
        <f aca="false">+S18</f>
        <v>1</v>
      </c>
      <c r="U18" s="132" t="s">
        <v>148</v>
      </c>
      <c r="V18" s="172" t="n">
        <v>40955</v>
      </c>
    </row>
    <row r="19" customFormat="false" ht="34.5" hidden="false" customHeight="true" outlineLevel="0" collapsed="false">
      <c r="A19" s="165" t="s">
        <v>90</v>
      </c>
      <c r="B19" s="166" t="s">
        <v>96</v>
      </c>
      <c r="C19" s="119"/>
      <c r="D19" s="119"/>
      <c r="E19" s="119"/>
      <c r="F19" s="119"/>
      <c r="G19" s="121"/>
      <c r="H19" s="161" t="n">
        <f aca="false">+SUM(C19:G19)</f>
        <v>0</v>
      </c>
      <c r="I19" s="121"/>
      <c r="J19" s="121"/>
      <c r="K19" s="121"/>
      <c r="L19" s="121"/>
      <c r="M19" s="121"/>
      <c r="N19" s="121"/>
      <c r="O19" s="121"/>
      <c r="P19" s="161" t="n">
        <f aca="false">+SUM(I19:O19)</f>
        <v>0</v>
      </c>
      <c r="Q19" s="140"/>
      <c r="R19" s="167" t="n">
        <f aca="false">+Q19</f>
        <v>0</v>
      </c>
      <c r="S19" s="168" t="n">
        <f aca="false">+R19</f>
        <v>0</v>
      </c>
      <c r="T19" s="169" t="n">
        <f aca="false">+S19</f>
        <v>0</v>
      </c>
      <c r="U19" s="121"/>
      <c r="V19" s="121"/>
    </row>
    <row r="20" s="136" customFormat="true" ht="34.5" hidden="false" customHeight="true" outlineLevel="0" collapsed="false">
      <c r="A20" s="170" t="s">
        <v>90</v>
      </c>
      <c r="B20" s="171" t="s">
        <v>97</v>
      </c>
      <c r="C20" s="130" t="n">
        <v>1</v>
      </c>
      <c r="D20" s="130" t="n">
        <v>1</v>
      </c>
      <c r="E20" s="130" t="n">
        <v>1</v>
      </c>
      <c r="F20" s="130" t="n">
        <v>1</v>
      </c>
      <c r="G20" s="132" t="n">
        <v>1</v>
      </c>
      <c r="H20" s="167" t="n">
        <f aca="false">+SUM(C20:G20)</f>
        <v>5</v>
      </c>
      <c r="I20" s="132" t="n">
        <v>1</v>
      </c>
      <c r="J20" s="132" t="n">
        <v>1</v>
      </c>
      <c r="K20" s="132" t="n">
        <v>1</v>
      </c>
      <c r="L20" s="132" t="n">
        <v>1</v>
      </c>
      <c r="M20" s="132" t="n">
        <v>0</v>
      </c>
      <c r="N20" s="132" t="n">
        <v>1</v>
      </c>
      <c r="O20" s="132" t="n">
        <v>1</v>
      </c>
      <c r="P20" s="167" t="n">
        <f aca="false">+SUM(I20:O20)</f>
        <v>6</v>
      </c>
      <c r="Q20" s="133" t="n">
        <v>1</v>
      </c>
      <c r="R20" s="167" t="n">
        <f aca="false">+Q20</f>
        <v>1</v>
      </c>
      <c r="S20" s="133" t="n">
        <f aca="false">+R20</f>
        <v>1</v>
      </c>
      <c r="T20" s="169" t="n">
        <f aca="false">+S20</f>
        <v>1</v>
      </c>
      <c r="U20" s="132" t="s">
        <v>148</v>
      </c>
      <c r="V20" s="132" t="s">
        <v>174</v>
      </c>
    </row>
    <row r="21" s="148" customFormat="true" ht="34.5" hidden="false" customHeight="true" outlineLevel="0" collapsed="false">
      <c r="A21" s="165" t="s">
        <v>90</v>
      </c>
      <c r="B21" s="166" t="s">
        <v>98</v>
      </c>
      <c r="C21" s="140"/>
      <c r="D21" s="140"/>
      <c r="E21" s="140"/>
      <c r="F21" s="140"/>
      <c r="G21" s="173"/>
      <c r="H21" s="161" t="n">
        <f aca="false">+SUM(C21:G21)</f>
        <v>0</v>
      </c>
      <c r="I21" s="174" t="n">
        <f aca="false">+SUM(I8:I20)</f>
        <v>3</v>
      </c>
      <c r="J21" s="174" t="n">
        <f aca="false">+SUM(J8:J20)</f>
        <v>3</v>
      </c>
      <c r="K21" s="174" t="n">
        <f aca="false">+SUM(K8:K20)</f>
        <v>3</v>
      </c>
      <c r="L21" s="174" t="n">
        <f aca="false">+SUM(L8:L20)</f>
        <v>3</v>
      </c>
      <c r="M21" s="174" t="n">
        <f aca="false">+SUM(M8:M20)</f>
        <v>2</v>
      </c>
      <c r="N21" s="140" t="n">
        <f aca="false">+SUM(N8:N20)</f>
        <v>1</v>
      </c>
      <c r="O21" s="173"/>
      <c r="P21" s="161" t="n">
        <f aca="false">+SUM(I21:O21)</f>
        <v>15</v>
      </c>
      <c r="Q21" s="140"/>
      <c r="R21" s="167" t="n">
        <f aca="false">+Q21</f>
        <v>0</v>
      </c>
      <c r="S21" s="140" t="n">
        <f aca="false">+R21</f>
        <v>0</v>
      </c>
      <c r="T21" s="169" t="n">
        <f aca="false">+S21</f>
        <v>0</v>
      </c>
      <c r="U21" s="173"/>
      <c r="V21" s="173"/>
      <c r="W21" s="175"/>
    </row>
    <row r="22" customFormat="false" ht="34.5" hidden="false" customHeight="true" outlineLevel="0" collapsed="false">
      <c r="A22" s="176" t="s">
        <v>99</v>
      </c>
      <c r="B22" s="177" t="s">
        <v>100</v>
      </c>
      <c r="C22" s="119"/>
      <c r="D22" s="119"/>
      <c r="E22" s="119"/>
      <c r="F22" s="119"/>
      <c r="G22" s="121"/>
      <c r="H22" s="161" t="n">
        <f aca="false">+SUM(C22:G22)</f>
        <v>0</v>
      </c>
      <c r="I22" s="121"/>
      <c r="J22" s="121"/>
      <c r="K22" s="121"/>
      <c r="L22" s="121"/>
      <c r="M22" s="121"/>
      <c r="N22" s="121"/>
      <c r="O22" s="121"/>
      <c r="P22" s="161" t="n">
        <f aca="false">+SUM(I22:O22)</f>
        <v>0</v>
      </c>
      <c r="Q22" s="140"/>
      <c r="R22" s="167" t="n">
        <f aca="false">+Q22</f>
        <v>0</v>
      </c>
      <c r="S22" s="168" t="n">
        <f aca="false">+R22</f>
        <v>0</v>
      </c>
      <c r="T22" s="169" t="n">
        <f aca="false">+S22</f>
        <v>0</v>
      </c>
      <c r="U22" s="121"/>
      <c r="V22" s="121"/>
    </row>
    <row r="23" customFormat="false" ht="34.5" hidden="false" customHeight="true" outlineLevel="0" collapsed="false">
      <c r="A23" s="165" t="s">
        <v>99</v>
      </c>
      <c r="B23" s="166" t="s">
        <v>101</v>
      </c>
      <c r="C23" s="126"/>
      <c r="D23" s="126"/>
      <c r="E23" s="126"/>
      <c r="F23" s="126"/>
      <c r="G23" s="121"/>
      <c r="H23" s="161" t="n">
        <f aca="false">+SUM(C23:G23)</f>
        <v>0</v>
      </c>
      <c r="I23" s="121"/>
      <c r="J23" s="121"/>
      <c r="K23" s="121"/>
      <c r="L23" s="121"/>
      <c r="M23" s="121"/>
      <c r="N23" s="121"/>
      <c r="O23" s="121"/>
      <c r="P23" s="161" t="n">
        <f aca="false">+SUM(I23:O23)</f>
        <v>0</v>
      </c>
      <c r="Q23" s="140"/>
      <c r="R23" s="167" t="n">
        <f aca="false">+Q23</f>
        <v>0</v>
      </c>
      <c r="S23" s="168" t="n">
        <f aca="false">+R23</f>
        <v>0</v>
      </c>
      <c r="T23" s="169" t="n">
        <f aca="false">+S23</f>
        <v>0</v>
      </c>
      <c r="U23" s="121"/>
      <c r="V23" s="121"/>
    </row>
    <row r="24" customFormat="false" ht="34.5" hidden="false" customHeight="true" outlineLevel="0" collapsed="false">
      <c r="A24" s="165" t="s">
        <v>99</v>
      </c>
      <c r="B24" s="166" t="s">
        <v>103</v>
      </c>
      <c r="C24" s="126"/>
      <c r="D24" s="126"/>
      <c r="E24" s="126"/>
      <c r="F24" s="126"/>
      <c r="G24" s="121"/>
      <c r="H24" s="161" t="n">
        <f aca="false">+SUM(C24:G24)</f>
        <v>0</v>
      </c>
      <c r="I24" s="121"/>
      <c r="J24" s="121"/>
      <c r="K24" s="121"/>
      <c r="L24" s="121"/>
      <c r="M24" s="121"/>
      <c r="N24" s="121"/>
      <c r="O24" s="121"/>
      <c r="P24" s="161" t="n">
        <f aca="false">+SUM(I24:O24)</f>
        <v>0</v>
      </c>
      <c r="Q24" s="140"/>
      <c r="R24" s="167" t="n">
        <f aca="false">+Q24</f>
        <v>0</v>
      </c>
      <c r="S24" s="168" t="n">
        <f aca="false">+R24</f>
        <v>0</v>
      </c>
      <c r="T24" s="169" t="n">
        <f aca="false">+S24</f>
        <v>0</v>
      </c>
      <c r="U24" s="121"/>
      <c r="V24" s="121"/>
    </row>
    <row r="25" customFormat="false" ht="34.5" hidden="false" customHeight="true" outlineLevel="0" collapsed="false">
      <c r="A25" s="165" t="s">
        <v>99</v>
      </c>
      <c r="B25" s="166" t="s">
        <v>104</v>
      </c>
      <c r="C25" s="126"/>
      <c r="D25" s="126"/>
      <c r="E25" s="126"/>
      <c r="F25" s="126"/>
      <c r="G25" s="121"/>
      <c r="H25" s="161" t="n">
        <f aca="false">+SUM(C25:G25)</f>
        <v>0</v>
      </c>
      <c r="I25" s="121"/>
      <c r="J25" s="121"/>
      <c r="K25" s="121"/>
      <c r="L25" s="121"/>
      <c r="M25" s="121"/>
      <c r="N25" s="121"/>
      <c r="O25" s="121"/>
      <c r="P25" s="161" t="n">
        <f aca="false">+SUM(I25:O25)</f>
        <v>0</v>
      </c>
      <c r="Q25" s="140"/>
      <c r="R25" s="167" t="n">
        <f aca="false">+Q25</f>
        <v>0</v>
      </c>
      <c r="S25" s="168" t="n">
        <f aca="false">+R25</f>
        <v>0</v>
      </c>
      <c r="T25" s="169" t="n">
        <f aca="false">+S25</f>
        <v>0</v>
      </c>
      <c r="U25" s="121"/>
      <c r="V25" s="121"/>
    </row>
    <row r="26" customFormat="false" ht="34.5" hidden="false" customHeight="true" outlineLevel="0" collapsed="false">
      <c r="A26" s="165" t="s">
        <v>99</v>
      </c>
      <c r="B26" s="166" t="s">
        <v>105</v>
      </c>
      <c r="C26" s="126"/>
      <c r="D26" s="126"/>
      <c r="E26" s="126"/>
      <c r="F26" s="126"/>
      <c r="G26" s="121"/>
      <c r="H26" s="161" t="n">
        <f aca="false">+SUM(C26:G26)</f>
        <v>0</v>
      </c>
      <c r="I26" s="121"/>
      <c r="J26" s="121"/>
      <c r="K26" s="121"/>
      <c r="L26" s="121"/>
      <c r="M26" s="121"/>
      <c r="N26" s="121"/>
      <c r="O26" s="121"/>
      <c r="P26" s="161" t="n">
        <f aca="false">+SUM(I26:O26)</f>
        <v>0</v>
      </c>
      <c r="Q26" s="140"/>
      <c r="R26" s="167" t="n">
        <f aca="false">+Q26</f>
        <v>0</v>
      </c>
      <c r="S26" s="168" t="n">
        <f aca="false">+R26</f>
        <v>0</v>
      </c>
      <c r="T26" s="169" t="n">
        <f aca="false">+S26</f>
        <v>0</v>
      </c>
      <c r="U26" s="121"/>
      <c r="V26" s="121"/>
    </row>
    <row r="27" customFormat="false" ht="34.5" hidden="false" customHeight="true" outlineLevel="0" collapsed="false">
      <c r="A27" s="165" t="s">
        <v>99</v>
      </c>
      <c r="B27" s="166" t="s">
        <v>106</v>
      </c>
      <c r="C27" s="126"/>
      <c r="D27" s="126"/>
      <c r="E27" s="126"/>
      <c r="F27" s="126"/>
      <c r="G27" s="121"/>
      <c r="H27" s="161" t="n">
        <f aca="false">+SUM(C27:G27)</f>
        <v>0</v>
      </c>
      <c r="I27" s="121"/>
      <c r="J27" s="121"/>
      <c r="K27" s="121"/>
      <c r="L27" s="121"/>
      <c r="M27" s="121"/>
      <c r="N27" s="121"/>
      <c r="O27" s="121"/>
      <c r="P27" s="161" t="n">
        <f aca="false">+SUM(I27:O27)</f>
        <v>0</v>
      </c>
      <c r="Q27" s="140"/>
      <c r="R27" s="167" t="n">
        <f aca="false">+Q27</f>
        <v>0</v>
      </c>
      <c r="S27" s="168" t="n">
        <f aca="false">+R27</f>
        <v>0</v>
      </c>
      <c r="T27" s="169" t="n">
        <f aca="false">+S27</f>
        <v>0</v>
      </c>
      <c r="U27" s="121"/>
      <c r="V27" s="121"/>
    </row>
    <row r="28" customFormat="false" ht="34.5" hidden="false" customHeight="true" outlineLevel="0" collapsed="false">
      <c r="A28" s="165" t="s">
        <v>99</v>
      </c>
      <c r="B28" s="166" t="s">
        <v>108</v>
      </c>
      <c r="C28" s="126"/>
      <c r="D28" s="126"/>
      <c r="E28" s="126"/>
      <c r="F28" s="126"/>
      <c r="G28" s="121"/>
      <c r="H28" s="161" t="n">
        <f aca="false">+SUM(C28:G28)</f>
        <v>0</v>
      </c>
      <c r="I28" s="121"/>
      <c r="J28" s="121"/>
      <c r="K28" s="121"/>
      <c r="L28" s="121"/>
      <c r="M28" s="121"/>
      <c r="N28" s="121"/>
      <c r="O28" s="121"/>
      <c r="P28" s="161" t="n">
        <f aca="false">+SUM(I28:O28)</f>
        <v>0</v>
      </c>
      <c r="Q28" s="140"/>
      <c r="R28" s="167" t="n">
        <f aca="false">+Q28</f>
        <v>0</v>
      </c>
      <c r="S28" s="168" t="n">
        <f aca="false">+R28</f>
        <v>0</v>
      </c>
      <c r="T28" s="169" t="n">
        <f aca="false">+S28</f>
        <v>0</v>
      </c>
      <c r="U28" s="121"/>
      <c r="V28" s="121"/>
    </row>
    <row r="29" customFormat="false" ht="34.5" hidden="false" customHeight="true" outlineLevel="0" collapsed="false">
      <c r="A29" s="165" t="s">
        <v>99</v>
      </c>
      <c r="B29" s="166" t="s">
        <v>109</v>
      </c>
      <c r="C29" s="126"/>
      <c r="D29" s="126"/>
      <c r="E29" s="126"/>
      <c r="F29" s="126"/>
      <c r="G29" s="121"/>
      <c r="H29" s="161" t="n">
        <f aca="false">+SUM(C29:G29)</f>
        <v>0</v>
      </c>
      <c r="I29" s="121"/>
      <c r="J29" s="121"/>
      <c r="K29" s="121"/>
      <c r="L29" s="121"/>
      <c r="M29" s="121"/>
      <c r="N29" s="121"/>
      <c r="O29" s="121"/>
      <c r="P29" s="161" t="n">
        <f aca="false">+SUM(I29:O29)</f>
        <v>0</v>
      </c>
      <c r="Q29" s="140"/>
      <c r="R29" s="167" t="n">
        <f aca="false">+Q29</f>
        <v>0</v>
      </c>
      <c r="S29" s="168" t="n">
        <f aca="false">+R29</f>
        <v>0</v>
      </c>
      <c r="T29" s="169" t="n">
        <f aca="false">+S29</f>
        <v>0</v>
      </c>
      <c r="U29" s="121"/>
      <c r="V29" s="121"/>
    </row>
    <row r="30" customFormat="false" ht="34.5" hidden="false" customHeight="true" outlineLevel="0" collapsed="false">
      <c r="A30" s="165" t="s">
        <v>99</v>
      </c>
      <c r="B30" s="166" t="s">
        <v>110</v>
      </c>
      <c r="C30" s="126"/>
      <c r="D30" s="126"/>
      <c r="E30" s="126"/>
      <c r="F30" s="126"/>
      <c r="G30" s="121"/>
      <c r="H30" s="161" t="n">
        <f aca="false">+SUM(C30:G30)</f>
        <v>0</v>
      </c>
      <c r="I30" s="121"/>
      <c r="J30" s="121"/>
      <c r="K30" s="121"/>
      <c r="L30" s="121"/>
      <c r="M30" s="121"/>
      <c r="N30" s="121"/>
      <c r="O30" s="121"/>
      <c r="P30" s="161" t="n">
        <f aca="false">+SUM(I30:O30)</f>
        <v>0</v>
      </c>
      <c r="Q30" s="140"/>
      <c r="R30" s="167" t="n">
        <f aca="false">+Q30</f>
        <v>0</v>
      </c>
      <c r="S30" s="168" t="n">
        <f aca="false">+R30</f>
        <v>0</v>
      </c>
      <c r="T30" s="169" t="n">
        <f aca="false">+S30</f>
        <v>0</v>
      </c>
      <c r="U30" s="121"/>
      <c r="V30" s="121"/>
    </row>
    <row r="31" customFormat="false" ht="34.5" hidden="false" customHeight="true" outlineLevel="0" collapsed="false">
      <c r="A31" s="178" t="s">
        <v>99</v>
      </c>
      <c r="B31" s="179" t="s">
        <v>111</v>
      </c>
      <c r="C31" s="126"/>
      <c r="D31" s="126"/>
      <c r="E31" s="126"/>
      <c r="F31" s="126"/>
      <c r="G31" s="121"/>
      <c r="H31" s="161" t="n">
        <f aca="false">+SUM(C31:G31)</f>
        <v>0</v>
      </c>
      <c r="I31" s="121"/>
      <c r="J31" s="121"/>
      <c r="K31" s="121"/>
      <c r="L31" s="121"/>
      <c r="M31" s="121"/>
      <c r="N31" s="121"/>
      <c r="O31" s="121"/>
      <c r="P31" s="161" t="n">
        <f aca="false">+SUM(I31:O31)</f>
        <v>0</v>
      </c>
      <c r="Q31" s="140"/>
      <c r="R31" s="167" t="n">
        <f aca="false">+Q31</f>
        <v>0</v>
      </c>
      <c r="S31" s="168" t="n">
        <f aca="false">+R31</f>
        <v>0</v>
      </c>
      <c r="T31" s="169" t="n">
        <f aca="false">+S31</f>
        <v>0</v>
      </c>
      <c r="U31" s="121"/>
      <c r="V31" s="121"/>
    </row>
    <row r="32" s="94" customFormat="true" ht="22.5" hidden="false" customHeight="true" outlineLevel="0" collapsed="false">
      <c r="A32" s="180"/>
      <c r="B32" s="146"/>
      <c r="C32" s="145"/>
      <c r="D32" s="145"/>
      <c r="E32" s="145"/>
      <c r="F32" s="145"/>
      <c r="G32" s="145"/>
      <c r="H32" s="145"/>
      <c r="I32" s="145"/>
      <c r="J32" s="145"/>
      <c r="K32" s="145"/>
      <c r="L32" s="145"/>
      <c r="M32" s="145"/>
      <c r="N32" s="145"/>
      <c r="O32" s="145"/>
      <c r="P32" s="145"/>
      <c r="Q32" s="145"/>
      <c r="R32" s="145"/>
      <c r="S32" s="181"/>
      <c r="T32" s="145"/>
    </row>
    <row r="33" s="94" customFormat="true" ht="22.5" hidden="false" customHeight="true" outlineLevel="0" collapsed="false">
      <c r="A33" s="180"/>
      <c r="B33" s="146"/>
      <c r="C33" s="145"/>
      <c r="D33" s="145"/>
      <c r="E33" s="145"/>
      <c r="F33" s="145"/>
      <c r="G33" s="145"/>
      <c r="H33" s="145"/>
      <c r="I33" s="145"/>
      <c r="J33" s="145"/>
      <c r="K33" s="145"/>
      <c r="L33" s="145"/>
      <c r="M33" s="145"/>
      <c r="N33" s="145"/>
      <c r="O33" s="145"/>
      <c r="P33" s="145"/>
      <c r="Q33" s="145"/>
      <c r="R33" s="145"/>
      <c r="S33" s="145"/>
      <c r="T33" s="145"/>
    </row>
    <row r="34" s="94" customFormat="true" ht="22.5" hidden="false" customHeight="true" outlineLevel="0" collapsed="false">
      <c r="A34" s="180"/>
      <c r="B34" s="146"/>
      <c r="C34" s="145"/>
      <c r="D34" s="145"/>
      <c r="E34" s="145"/>
      <c r="F34" s="145"/>
      <c r="G34" s="145"/>
      <c r="H34" s="145"/>
      <c r="I34" s="145"/>
      <c r="J34" s="145"/>
      <c r="K34" s="145"/>
      <c r="L34" s="145"/>
      <c r="M34" s="145"/>
      <c r="N34" s="145"/>
      <c r="O34" s="145"/>
      <c r="P34" s="145"/>
      <c r="Q34" s="145"/>
      <c r="R34" s="145"/>
      <c r="S34" s="145"/>
      <c r="T34" s="145"/>
    </row>
    <row r="35" s="94" customFormat="true" ht="22.5" hidden="false" customHeight="true" outlineLevel="0" collapsed="false">
      <c r="A35" s="180"/>
      <c r="B35" s="146"/>
      <c r="C35" s="145"/>
      <c r="D35" s="145"/>
      <c r="E35" s="145"/>
      <c r="F35" s="145"/>
      <c r="G35" s="145"/>
      <c r="H35" s="145"/>
      <c r="I35" s="145"/>
      <c r="J35" s="145"/>
      <c r="K35" s="145"/>
      <c r="L35" s="145"/>
      <c r="M35" s="145"/>
      <c r="N35" s="145"/>
      <c r="O35" s="145"/>
      <c r="P35" s="145"/>
      <c r="Q35" s="145"/>
      <c r="R35" s="145"/>
      <c r="S35" s="145"/>
      <c r="T35" s="145"/>
    </row>
    <row r="36" s="94" customFormat="true" ht="22.5" hidden="false" customHeight="true" outlineLevel="0" collapsed="false">
      <c r="A36" s="180"/>
      <c r="B36" s="146"/>
      <c r="C36" s="145"/>
      <c r="D36" s="145"/>
      <c r="E36" s="145"/>
      <c r="F36" s="145"/>
      <c r="G36" s="145"/>
      <c r="H36" s="145"/>
      <c r="I36" s="145"/>
      <c r="J36" s="145"/>
      <c r="K36" s="145"/>
      <c r="L36" s="145"/>
      <c r="M36" s="145"/>
      <c r="N36" s="145"/>
      <c r="O36" s="145"/>
      <c r="P36" s="145"/>
      <c r="Q36" s="145"/>
      <c r="R36" s="145"/>
      <c r="S36" s="145"/>
      <c r="T36" s="145"/>
    </row>
    <row r="37" s="148" customFormat="true" ht="22.5" hidden="false" customHeight="true" outlineLevel="0" collapsed="false">
      <c r="A37" s="180"/>
      <c r="B37" s="146"/>
      <c r="C37" s="145"/>
      <c r="D37" s="145"/>
      <c r="E37" s="145"/>
      <c r="F37" s="145"/>
      <c r="G37" s="145"/>
      <c r="H37" s="145"/>
      <c r="I37" s="145"/>
      <c r="J37" s="145"/>
      <c r="K37" s="145"/>
      <c r="L37" s="145"/>
      <c r="M37" s="145"/>
      <c r="N37" s="145"/>
      <c r="O37" s="145"/>
      <c r="P37" s="145"/>
      <c r="Q37" s="145"/>
      <c r="R37" s="145"/>
      <c r="S37" s="145"/>
      <c r="T37" s="145"/>
    </row>
    <row r="38" s="94" customFormat="true" ht="22.5" hidden="false" customHeight="true" outlineLevel="0" collapsed="false">
      <c r="A38" s="180"/>
      <c r="B38" s="146"/>
      <c r="C38" s="145"/>
      <c r="D38" s="145"/>
      <c r="E38" s="145"/>
      <c r="F38" s="145"/>
      <c r="G38" s="145"/>
      <c r="H38" s="145"/>
      <c r="I38" s="145"/>
      <c r="J38" s="145"/>
      <c r="K38" s="145"/>
      <c r="L38" s="145"/>
      <c r="M38" s="145"/>
      <c r="N38" s="145"/>
      <c r="O38" s="145"/>
      <c r="P38" s="145"/>
      <c r="Q38" s="145"/>
      <c r="R38" s="145"/>
      <c r="S38" s="145"/>
      <c r="T38" s="145"/>
    </row>
    <row r="39" s="94" customFormat="true" ht="22.5" hidden="false" customHeight="true" outlineLevel="0" collapsed="false">
      <c r="A39" s="180"/>
      <c r="B39" s="146"/>
      <c r="C39" s="145"/>
      <c r="D39" s="145"/>
      <c r="E39" s="145"/>
      <c r="F39" s="145"/>
      <c r="G39" s="145"/>
      <c r="H39" s="145"/>
      <c r="I39" s="145"/>
      <c r="J39" s="145"/>
      <c r="K39" s="145"/>
      <c r="L39" s="145"/>
      <c r="M39" s="145"/>
      <c r="N39" s="145"/>
      <c r="O39" s="145"/>
      <c r="P39" s="145"/>
      <c r="Q39" s="145"/>
      <c r="R39" s="145"/>
      <c r="S39" s="145"/>
      <c r="T39" s="145"/>
    </row>
    <row r="40" s="94" customFormat="true" ht="22.5" hidden="false" customHeight="true" outlineLevel="0" collapsed="false">
      <c r="A40" s="180"/>
      <c r="B40" s="146"/>
      <c r="C40" s="145"/>
      <c r="D40" s="145"/>
      <c r="E40" s="145"/>
      <c r="F40" s="145"/>
      <c r="G40" s="145"/>
      <c r="H40" s="145"/>
      <c r="I40" s="145"/>
      <c r="J40" s="145"/>
      <c r="K40" s="145"/>
      <c r="L40" s="145"/>
      <c r="M40" s="145"/>
      <c r="N40" s="145"/>
      <c r="O40" s="145"/>
      <c r="P40" s="145"/>
      <c r="Q40" s="145"/>
      <c r="R40" s="145"/>
      <c r="S40" s="145"/>
      <c r="T40" s="145"/>
    </row>
    <row r="41" s="94" customFormat="true" ht="22.5" hidden="false" customHeight="true" outlineLevel="0" collapsed="false">
      <c r="A41" s="180"/>
      <c r="B41" s="146"/>
      <c r="C41" s="145"/>
      <c r="D41" s="145"/>
      <c r="E41" s="145"/>
      <c r="F41" s="145"/>
      <c r="G41" s="145"/>
      <c r="H41" s="145"/>
      <c r="I41" s="145"/>
      <c r="J41" s="145"/>
      <c r="K41" s="145"/>
      <c r="L41" s="145"/>
      <c r="M41" s="145"/>
      <c r="N41" s="145"/>
      <c r="O41" s="145"/>
      <c r="P41" s="145"/>
      <c r="Q41" s="145"/>
      <c r="R41" s="145"/>
      <c r="S41" s="145"/>
      <c r="T41" s="145"/>
    </row>
    <row r="42" s="94" customFormat="true" ht="22.5" hidden="false" customHeight="true" outlineLevel="0" collapsed="false">
      <c r="A42" s="180"/>
      <c r="B42" s="146"/>
      <c r="C42" s="145"/>
      <c r="D42" s="145"/>
      <c r="E42" s="145"/>
      <c r="F42" s="145"/>
      <c r="G42" s="145"/>
      <c r="H42" s="145"/>
      <c r="I42" s="145"/>
      <c r="J42" s="145"/>
      <c r="K42" s="145"/>
      <c r="L42" s="145"/>
      <c r="M42" s="145"/>
      <c r="N42" s="145"/>
      <c r="O42" s="145"/>
      <c r="P42" s="145"/>
      <c r="Q42" s="145"/>
      <c r="R42" s="145"/>
      <c r="S42" s="145"/>
      <c r="T42" s="145"/>
    </row>
    <row r="43" s="94" customFormat="true" ht="22.5" hidden="false" customHeight="true" outlineLevel="0" collapsed="false">
      <c r="A43" s="180"/>
      <c r="B43" s="146"/>
      <c r="C43" s="145"/>
      <c r="D43" s="145"/>
      <c r="E43" s="145"/>
      <c r="F43" s="145"/>
      <c r="G43" s="145"/>
      <c r="H43" s="145"/>
      <c r="I43" s="145"/>
      <c r="J43" s="145"/>
      <c r="K43" s="145"/>
      <c r="L43" s="145"/>
      <c r="M43" s="145"/>
      <c r="N43" s="145"/>
      <c r="O43" s="145"/>
      <c r="P43" s="145"/>
      <c r="Q43" s="145"/>
      <c r="R43" s="145"/>
      <c r="S43" s="145"/>
      <c r="T43" s="145"/>
    </row>
    <row r="44" s="94" customFormat="true" ht="22.5" hidden="false" customHeight="true" outlineLevel="0" collapsed="false">
      <c r="A44" s="180"/>
      <c r="B44" s="146"/>
      <c r="C44" s="145"/>
      <c r="D44" s="145"/>
      <c r="E44" s="145"/>
      <c r="F44" s="145"/>
      <c r="G44" s="145"/>
      <c r="H44" s="145"/>
      <c r="I44" s="145"/>
      <c r="J44" s="145"/>
      <c r="K44" s="145"/>
      <c r="L44" s="145"/>
      <c r="M44" s="145"/>
      <c r="N44" s="145"/>
      <c r="O44" s="145"/>
      <c r="P44" s="145"/>
      <c r="Q44" s="145"/>
      <c r="R44" s="145"/>
      <c r="S44" s="145"/>
      <c r="T44" s="145"/>
    </row>
    <row r="45" s="94" customFormat="true" ht="22.5" hidden="false" customHeight="true" outlineLevel="0" collapsed="false">
      <c r="A45" s="180"/>
      <c r="B45" s="146"/>
      <c r="C45" s="145"/>
      <c r="D45" s="145"/>
      <c r="E45" s="145"/>
      <c r="F45" s="145"/>
      <c r="G45" s="145"/>
      <c r="H45" s="145"/>
      <c r="I45" s="145"/>
      <c r="J45" s="145"/>
      <c r="K45" s="145"/>
      <c r="L45" s="145"/>
      <c r="M45" s="145"/>
      <c r="N45" s="145"/>
      <c r="O45" s="145"/>
      <c r="P45" s="145"/>
      <c r="Q45" s="145"/>
      <c r="R45" s="145"/>
      <c r="S45" s="145"/>
      <c r="T45" s="145"/>
    </row>
    <row r="46" s="94" customFormat="true" ht="22.5" hidden="false" customHeight="true" outlineLevel="0" collapsed="false">
      <c r="A46" s="180"/>
      <c r="B46" s="146"/>
      <c r="C46" s="145"/>
      <c r="D46" s="145"/>
      <c r="E46" s="145"/>
      <c r="F46" s="145"/>
      <c r="G46" s="145"/>
      <c r="H46" s="145"/>
      <c r="I46" s="145"/>
      <c r="J46" s="145"/>
      <c r="K46" s="145"/>
      <c r="L46" s="145"/>
      <c r="M46" s="145"/>
      <c r="N46" s="145"/>
      <c r="O46" s="145"/>
      <c r="P46" s="145"/>
      <c r="Q46" s="145"/>
      <c r="R46" s="145"/>
      <c r="S46" s="145"/>
      <c r="T46" s="145"/>
    </row>
    <row r="47" s="94" customFormat="true" ht="22.5" hidden="false" customHeight="true" outlineLevel="0" collapsed="false">
      <c r="A47" s="180"/>
      <c r="B47" s="146"/>
      <c r="C47" s="145"/>
      <c r="D47" s="145"/>
      <c r="E47" s="145"/>
      <c r="F47" s="145"/>
      <c r="G47" s="145"/>
      <c r="H47" s="145"/>
      <c r="I47" s="145"/>
      <c r="J47" s="145"/>
      <c r="K47" s="145"/>
      <c r="L47" s="145"/>
      <c r="M47" s="145"/>
      <c r="N47" s="145"/>
      <c r="O47" s="145"/>
      <c r="P47" s="145"/>
      <c r="Q47" s="145"/>
      <c r="R47" s="145"/>
      <c r="S47" s="145"/>
      <c r="T47" s="145"/>
    </row>
    <row r="48" s="94" customFormat="true" ht="22.5" hidden="false" customHeight="true" outlineLevel="0" collapsed="false">
      <c r="A48" s="180"/>
      <c r="B48" s="146"/>
      <c r="C48" s="145"/>
      <c r="D48" s="145"/>
      <c r="E48" s="145"/>
      <c r="F48" s="145"/>
      <c r="G48" s="145"/>
      <c r="H48" s="145"/>
      <c r="I48" s="145"/>
      <c r="J48" s="145"/>
      <c r="K48" s="145"/>
      <c r="L48" s="145"/>
      <c r="M48" s="145"/>
      <c r="N48" s="145"/>
      <c r="O48" s="145"/>
      <c r="P48" s="145"/>
      <c r="Q48" s="145"/>
      <c r="R48" s="145"/>
      <c r="S48" s="145"/>
      <c r="T48" s="145"/>
    </row>
    <row r="49" s="94" customFormat="true" ht="22.5" hidden="false" customHeight="true" outlineLevel="0" collapsed="false">
      <c r="A49" s="180"/>
      <c r="B49" s="146"/>
      <c r="C49" s="145"/>
      <c r="D49" s="145"/>
      <c r="E49" s="145"/>
      <c r="F49" s="145"/>
      <c r="G49" s="145"/>
      <c r="H49" s="145"/>
      <c r="I49" s="145"/>
      <c r="J49" s="145"/>
      <c r="K49" s="145"/>
      <c r="L49" s="145"/>
      <c r="M49" s="145"/>
      <c r="N49" s="145"/>
      <c r="O49" s="145"/>
      <c r="P49" s="145"/>
      <c r="Q49" s="145"/>
      <c r="R49" s="145"/>
      <c r="S49" s="145"/>
      <c r="T49" s="145"/>
    </row>
    <row r="50" customFormat="false" ht="22.5" hidden="false" customHeight="true" outlineLevel="0" collapsed="false">
      <c r="A50" s="180"/>
      <c r="B50" s="146"/>
      <c r="C50" s="145"/>
      <c r="D50" s="145"/>
      <c r="E50" s="145"/>
      <c r="F50" s="145"/>
      <c r="G50" s="145"/>
      <c r="H50" s="145"/>
      <c r="I50" s="145"/>
      <c r="J50" s="145"/>
      <c r="K50" s="145"/>
      <c r="L50" s="145"/>
      <c r="M50" s="145"/>
      <c r="N50" s="145"/>
      <c r="O50" s="145"/>
      <c r="P50" s="145"/>
      <c r="Q50" s="145"/>
      <c r="R50" s="145"/>
      <c r="S50" s="145"/>
      <c r="T50" s="145"/>
    </row>
    <row r="51" customFormat="false" ht="22.5" hidden="false" customHeight="true" outlineLevel="0" collapsed="false">
      <c r="A51" s="180"/>
      <c r="B51" s="146"/>
      <c r="C51" s="145"/>
      <c r="D51" s="145"/>
      <c r="E51" s="145"/>
      <c r="F51" s="145"/>
      <c r="G51" s="145"/>
      <c r="H51" s="145"/>
      <c r="I51" s="145"/>
      <c r="J51" s="145"/>
      <c r="K51" s="145"/>
      <c r="L51" s="145"/>
      <c r="M51" s="145"/>
      <c r="N51" s="145"/>
      <c r="O51" s="145"/>
      <c r="P51" s="145"/>
      <c r="Q51" s="145"/>
      <c r="R51" s="145"/>
      <c r="S51" s="145"/>
      <c r="T51" s="145"/>
    </row>
    <row r="52" customFormat="false" ht="22.5" hidden="false" customHeight="true" outlineLevel="0" collapsed="false">
      <c r="A52" s="180"/>
      <c r="B52" s="146"/>
      <c r="C52" s="145"/>
      <c r="D52" s="145"/>
      <c r="E52" s="145"/>
      <c r="F52" s="145"/>
      <c r="G52" s="145"/>
      <c r="H52" s="145"/>
      <c r="I52" s="145"/>
      <c r="J52" s="145"/>
      <c r="K52" s="145"/>
      <c r="L52" s="145"/>
      <c r="M52" s="145"/>
      <c r="N52" s="145"/>
      <c r="O52" s="145"/>
      <c r="P52" s="145"/>
      <c r="Q52" s="145"/>
      <c r="R52" s="145"/>
      <c r="S52" s="145"/>
      <c r="T52" s="145"/>
    </row>
    <row r="53" customFormat="false" ht="22.5" hidden="false" customHeight="true" outlineLevel="0" collapsed="false">
      <c r="A53" s="180"/>
      <c r="B53" s="146"/>
      <c r="C53" s="145"/>
      <c r="D53" s="145"/>
      <c r="E53" s="145"/>
      <c r="F53" s="145"/>
      <c r="G53" s="145"/>
      <c r="H53" s="145"/>
      <c r="I53" s="145"/>
      <c r="J53" s="145"/>
      <c r="K53" s="145"/>
      <c r="L53" s="145"/>
      <c r="M53" s="145"/>
      <c r="N53" s="145"/>
      <c r="O53" s="145"/>
      <c r="P53" s="145"/>
      <c r="Q53" s="145"/>
      <c r="R53" s="145"/>
      <c r="S53" s="145"/>
      <c r="T53" s="145"/>
    </row>
    <row r="54" customFormat="false" ht="22.5" hidden="false" customHeight="true" outlineLevel="0" collapsed="false">
      <c r="A54" s="180"/>
      <c r="B54" s="146"/>
      <c r="C54" s="145"/>
      <c r="D54" s="145"/>
      <c r="E54" s="145"/>
      <c r="F54" s="145"/>
      <c r="G54" s="145"/>
      <c r="H54" s="145"/>
      <c r="I54" s="145"/>
      <c r="J54" s="145"/>
      <c r="K54" s="145"/>
      <c r="L54" s="145"/>
      <c r="M54" s="145"/>
      <c r="N54" s="145"/>
      <c r="O54" s="145"/>
      <c r="P54" s="145"/>
      <c r="Q54" s="145"/>
      <c r="R54" s="145"/>
      <c r="S54" s="145"/>
      <c r="T54" s="145"/>
    </row>
    <row r="55" customFormat="false" ht="22.5" hidden="false" customHeight="true" outlineLevel="0" collapsed="false">
      <c r="A55" s="180"/>
      <c r="B55" s="146"/>
      <c r="C55" s="145"/>
      <c r="D55" s="145"/>
      <c r="E55" s="145"/>
      <c r="F55" s="145"/>
      <c r="G55" s="145"/>
      <c r="H55" s="145"/>
      <c r="I55" s="145"/>
      <c r="J55" s="145"/>
      <c r="K55" s="145"/>
      <c r="L55" s="145"/>
      <c r="M55" s="145"/>
      <c r="N55" s="145"/>
      <c r="O55" s="145"/>
      <c r="P55" s="145"/>
      <c r="Q55" s="145"/>
      <c r="R55" s="145"/>
      <c r="S55" s="145"/>
      <c r="T55" s="145"/>
    </row>
    <row r="56" customFormat="false" ht="22.5" hidden="false" customHeight="true" outlineLevel="0" collapsed="false">
      <c r="A56" s="180"/>
      <c r="B56" s="146"/>
      <c r="C56" s="145"/>
      <c r="D56" s="145"/>
      <c r="E56" s="145"/>
      <c r="F56" s="145"/>
      <c r="G56" s="145"/>
      <c r="H56" s="145"/>
      <c r="I56" s="145"/>
      <c r="J56" s="145"/>
      <c r="K56" s="145"/>
      <c r="L56" s="145"/>
      <c r="M56" s="145"/>
      <c r="N56" s="145"/>
      <c r="O56" s="145"/>
      <c r="P56" s="145"/>
      <c r="Q56" s="145"/>
      <c r="R56" s="145"/>
      <c r="S56" s="145"/>
      <c r="T56" s="145"/>
    </row>
    <row r="57" s="96" customFormat="true" ht="22.5" hidden="false" customHeight="true" outlineLevel="0" collapsed="false">
      <c r="A57" s="180"/>
      <c r="B57" s="146"/>
      <c r="C57" s="145"/>
      <c r="D57" s="145"/>
      <c r="E57" s="145"/>
      <c r="F57" s="145"/>
      <c r="G57" s="145"/>
      <c r="H57" s="145"/>
      <c r="I57" s="145"/>
      <c r="J57" s="145"/>
      <c r="K57" s="145"/>
      <c r="L57" s="145"/>
      <c r="M57" s="145"/>
      <c r="N57" s="145"/>
      <c r="O57" s="145"/>
      <c r="P57" s="145"/>
      <c r="Q57" s="145"/>
      <c r="R57" s="145"/>
      <c r="S57" s="145"/>
      <c r="T57" s="145"/>
      <c r="U57" s="100"/>
      <c r="V57" s="100"/>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94"/>
      <c r="AU57" s="94"/>
      <c r="AV57" s="94"/>
      <c r="AW57" s="94"/>
    </row>
    <row r="58" s="96" customFormat="true" ht="22.5" hidden="false" customHeight="true" outlineLevel="0" collapsed="false">
      <c r="A58" s="180"/>
      <c r="B58" s="146"/>
      <c r="C58" s="145"/>
      <c r="D58" s="145"/>
      <c r="E58" s="145"/>
      <c r="F58" s="145"/>
      <c r="G58" s="145"/>
      <c r="H58" s="145"/>
      <c r="I58" s="145"/>
      <c r="J58" s="145"/>
      <c r="K58" s="145"/>
      <c r="L58" s="145"/>
      <c r="M58" s="145"/>
      <c r="N58" s="145"/>
      <c r="O58" s="145"/>
      <c r="P58" s="145"/>
      <c r="Q58" s="145"/>
      <c r="R58" s="145"/>
      <c r="S58" s="145"/>
      <c r="T58" s="145"/>
      <c r="U58" s="100"/>
      <c r="V58" s="100"/>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94"/>
      <c r="AU58" s="94"/>
      <c r="AV58" s="94"/>
      <c r="AW58" s="94"/>
    </row>
    <row r="59" customFormat="false" ht="22.5" hidden="false" customHeight="true" outlineLevel="0" collapsed="false">
      <c r="A59" s="180"/>
      <c r="B59" s="146"/>
      <c r="C59" s="145"/>
      <c r="D59" s="145"/>
      <c r="E59" s="145"/>
      <c r="F59" s="145"/>
      <c r="G59" s="145"/>
      <c r="H59" s="145"/>
      <c r="I59" s="145"/>
      <c r="J59" s="145"/>
      <c r="K59" s="145"/>
      <c r="L59" s="145"/>
      <c r="M59" s="145"/>
      <c r="N59" s="145"/>
      <c r="O59" s="145"/>
      <c r="P59" s="145"/>
      <c r="Q59" s="145"/>
      <c r="R59" s="145"/>
      <c r="S59" s="145"/>
      <c r="T59" s="145"/>
    </row>
    <row r="60" customFormat="false" ht="22.5" hidden="false" customHeight="true" outlineLevel="0" collapsed="false">
      <c r="A60" s="180"/>
      <c r="B60" s="146"/>
      <c r="C60" s="145"/>
      <c r="D60" s="145"/>
      <c r="E60" s="145"/>
      <c r="F60" s="145"/>
      <c r="G60" s="145"/>
      <c r="H60" s="145"/>
      <c r="I60" s="145"/>
      <c r="J60" s="145"/>
      <c r="K60" s="145"/>
      <c r="L60" s="145"/>
      <c r="M60" s="145"/>
      <c r="N60" s="145"/>
      <c r="O60" s="145"/>
      <c r="P60" s="145"/>
      <c r="Q60" s="145"/>
      <c r="R60" s="145"/>
      <c r="S60" s="145"/>
      <c r="T60" s="145"/>
    </row>
    <row r="61" customFormat="false" ht="22.5" hidden="false" customHeight="true" outlineLevel="0" collapsed="false">
      <c r="A61" s="180"/>
      <c r="B61" s="146"/>
      <c r="C61" s="145"/>
      <c r="D61" s="145"/>
      <c r="E61" s="145"/>
      <c r="F61" s="145"/>
      <c r="G61" s="145"/>
      <c r="H61" s="145"/>
      <c r="I61" s="145"/>
      <c r="J61" s="145"/>
      <c r="K61" s="145"/>
      <c r="L61" s="145"/>
      <c r="M61" s="145"/>
      <c r="N61" s="145"/>
      <c r="O61" s="145"/>
      <c r="P61" s="145"/>
      <c r="Q61" s="145"/>
      <c r="R61" s="145"/>
      <c r="S61" s="145"/>
      <c r="T61" s="145"/>
    </row>
    <row r="62" customFormat="false" ht="22.5" hidden="false" customHeight="true" outlineLevel="0" collapsed="false">
      <c r="A62" s="180"/>
      <c r="B62" s="146"/>
      <c r="C62" s="145"/>
      <c r="D62" s="145"/>
      <c r="E62" s="145"/>
      <c r="F62" s="145"/>
      <c r="G62" s="145"/>
      <c r="H62" s="145"/>
      <c r="I62" s="145"/>
      <c r="J62" s="145"/>
      <c r="K62" s="145"/>
      <c r="L62" s="145"/>
      <c r="M62" s="145"/>
      <c r="N62" s="145"/>
      <c r="O62" s="145"/>
      <c r="P62" s="145"/>
      <c r="Q62" s="145"/>
      <c r="R62" s="145"/>
      <c r="S62" s="145"/>
      <c r="T62" s="145"/>
    </row>
    <row r="63" customFormat="false" ht="22.5" hidden="false" customHeight="true" outlineLevel="0" collapsed="false">
      <c r="A63" s="180"/>
      <c r="B63" s="146"/>
      <c r="C63" s="145"/>
      <c r="D63" s="145"/>
      <c r="E63" s="145"/>
      <c r="F63" s="145"/>
      <c r="G63" s="145"/>
      <c r="H63" s="145"/>
      <c r="I63" s="145"/>
      <c r="J63" s="145"/>
      <c r="K63" s="145"/>
      <c r="L63" s="145"/>
      <c r="M63" s="145"/>
      <c r="N63" s="145"/>
      <c r="O63" s="145"/>
      <c r="P63" s="145"/>
      <c r="Q63" s="145"/>
      <c r="R63" s="145"/>
      <c r="S63" s="145"/>
      <c r="T63" s="145"/>
    </row>
    <row r="64" customFormat="false" ht="22.5" hidden="false" customHeight="true" outlineLevel="0" collapsed="false">
      <c r="A64" s="180"/>
      <c r="B64" s="146"/>
      <c r="C64" s="145"/>
      <c r="D64" s="145"/>
      <c r="E64" s="145"/>
      <c r="F64" s="145"/>
      <c r="G64" s="145"/>
      <c r="H64" s="145"/>
      <c r="I64" s="145"/>
      <c r="J64" s="145"/>
      <c r="K64" s="145"/>
      <c r="L64" s="145"/>
      <c r="M64" s="145"/>
      <c r="N64" s="145"/>
      <c r="O64" s="145"/>
      <c r="P64" s="145"/>
      <c r="Q64" s="145"/>
      <c r="R64" s="145"/>
      <c r="S64" s="145"/>
      <c r="T64" s="145"/>
    </row>
    <row r="65" customFormat="false" ht="22.5" hidden="false" customHeight="true" outlineLevel="0" collapsed="false">
      <c r="A65" s="180"/>
      <c r="B65" s="146"/>
      <c r="C65" s="145"/>
      <c r="D65" s="145"/>
      <c r="E65" s="145"/>
      <c r="F65" s="145"/>
      <c r="G65" s="145"/>
      <c r="H65" s="145"/>
      <c r="I65" s="145"/>
      <c r="J65" s="145"/>
      <c r="K65" s="145"/>
      <c r="L65" s="145"/>
      <c r="M65" s="145"/>
      <c r="N65" s="145"/>
      <c r="O65" s="145"/>
      <c r="P65" s="145"/>
      <c r="Q65" s="145"/>
      <c r="R65" s="145"/>
      <c r="S65" s="145"/>
      <c r="T65" s="145"/>
    </row>
    <row r="66" customFormat="false" ht="22.5" hidden="false" customHeight="true" outlineLevel="0" collapsed="false">
      <c r="A66" s="180"/>
      <c r="B66" s="146"/>
      <c r="C66" s="145"/>
      <c r="D66" s="145"/>
      <c r="E66" s="145"/>
      <c r="F66" s="145"/>
      <c r="G66" s="145"/>
      <c r="H66" s="145"/>
      <c r="I66" s="145"/>
      <c r="J66" s="145"/>
      <c r="K66" s="145"/>
      <c r="L66" s="145"/>
      <c r="M66" s="145"/>
      <c r="N66" s="145"/>
      <c r="O66" s="145"/>
      <c r="P66" s="145"/>
      <c r="Q66" s="145"/>
      <c r="R66" s="145"/>
      <c r="S66" s="145"/>
      <c r="T66" s="145"/>
    </row>
    <row r="67" customFormat="false" ht="22.5" hidden="false" customHeight="true" outlineLevel="0" collapsed="false">
      <c r="A67" s="180"/>
      <c r="B67" s="146"/>
      <c r="C67" s="145"/>
      <c r="D67" s="145"/>
      <c r="E67" s="145"/>
      <c r="F67" s="145"/>
      <c r="G67" s="145"/>
      <c r="H67" s="145"/>
      <c r="I67" s="145"/>
      <c r="J67" s="145"/>
      <c r="K67" s="145"/>
      <c r="L67" s="145"/>
      <c r="M67" s="145"/>
      <c r="N67" s="145"/>
      <c r="O67" s="145"/>
      <c r="P67" s="145"/>
      <c r="Q67" s="145"/>
      <c r="R67" s="145"/>
      <c r="S67" s="145"/>
      <c r="T67" s="145"/>
    </row>
    <row r="68" customFormat="false" ht="22.5" hidden="false" customHeight="true" outlineLevel="0" collapsed="false">
      <c r="A68" s="180"/>
      <c r="B68" s="146"/>
      <c r="C68" s="145"/>
      <c r="D68" s="145"/>
      <c r="E68" s="145"/>
      <c r="F68" s="145"/>
      <c r="G68" s="145"/>
      <c r="H68" s="145"/>
      <c r="I68" s="145"/>
      <c r="J68" s="145"/>
      <c r="K68" s="145"/>
      <c r="L68" s="145"/>
      <c r="M68" s="145"/>
      <c r="N68" s="145"/>
      <c r="O68" s="145"/>
      <c r="P68" s="145"/>
      <c r="Q68" s="145"/>
      <c r="R68" s="145"/>
      <c r="S68" s="145"/>
      <c r="T68" s="145"/>
    </row>
    <row r="69" customFormat="false" ht="22.5" hidden="false" customHeight="true" outlineLevel="0" collapsed="false">
      <c r="A69" s="180"/>
      <c r="B69" s="146"/>
      <c r="C69" s="145"/>
      <c r="D69" s="145"/>
      <c r="E69" s="145"/>
      <c r="F69" s="145"/>
      <c r="G69" s="145"/>
      <c r="H69" s="145"/>
      <c r="I69" s="145"/>
      <c r="J69" s="145"/>
      <c r="K69" s="145"/>
      <c r="L69" s="145"/>
      <c r="M69" s="145"/>
      <c r="N69" s="145"/>
      <c r="O69" s="145"/>
      <c r="P69" s="145"/>
      <c r="Q69" s="145"/>
      <c r="R69" s="145"/>
      <c r="S69" s="145"/>
      <c r="T69" s="145"/>
    </row>
    <row r="70" customFormat="false" ht="22.5" hidden="false" customHeight="true" outlineLevel="0" collapsed="false">
      <c r="A70" s="180"/>
      <c r="B70" s="146"/>
      <c r="C70" s="145"/>
      <c r="D70" s="145"/>
      <c r="E70" s="145"/>
      <c r="F70" s="145"/>
      <c r="G70" s="145"/>
      <c r="H70" s="145"/>
      <c r="I70" s="145"/>
      <c r="J70" s="145"/>
      <c r="K70" s="145"/>
      <c r="L70" s="145"/>
      <c r="M70" s="145"/>
      <c r="N70" s="145"/>
      <c r="O70" s="145"/>
      <c r="P70" s="145"/>
      <c r="Q70" s="145"/>
      <c r="R70" s="145"/>
      <c r="S70" s="145"/>
      <c r="T70" s="145"/>
    </row>
    <row r="71" customFormat="false" ht="22.5" hidden="false" customHeight="true" outlineLevel="0" collapsed="false">
      <c r="A71" s="180"/>
      <c r="B71" s="146"/>
      <c r="C71" s="145"/>
      <c r="D71" s="145"/>
      <c r="E71" s="145"/>
      <c r="F71" s="145"/>
      <c r="G71" s="145"/>
      <c r="H71" s="145"/>
      <c r="I71" s="145"/>
      <c r="J71" s="145"/>
      <c r="K71" s="145"/>
      <c r="L71" s="145"/>
      <c r="M71" s="145"/>
      <c r="N71" s="145"/>
      <c r="O71" s="145"/>
      <c r="P71" s="145"/>
      <c r="Q71" s="145"/>
      <c r="R71" s="145"/>
      <c r="S71" s="145"/>
      <c r="T71" s="145"/>
    </row>
    <row r="72" customFormat="false" ht="22.5" hidden="false" customHeight="true" outlineLevel="0" collapsed="false">
      <c r="A72" s="180"/>
      <c r="B72" s="146"/>
      <c r="C72" s="145"/>
      <c r="D72" s="145"/>
      <c r="E72" s="145"/>
      <c r="F72" s="145"/>
      <c r="G72" s="145"/>
      <c r="H72" s="145"/>
      <c r="I72" s="145"/>
      <c r="J72" s="145"/>
      <c r="K72" s="145"/>
      <c r="L72" s="145"/>
      <c r="M72" s="145"/>
      <c r="N72" s="145"/>
      <c r="O72" s="145"/>
      <c r="P72" s="145"/>
      <c r="Q72" s="145"/>
      <c r="R72" s="145"/>
      <c r="S72" s="145"/>
      <c r="T72" s="145"/>
    </row>
    <row r="73" customFormat="false" ht="22.5" hidden="false" customHeight="true" outlineLevel="0" collapsed="false">
      <c r="A73" s="180"/>
      <c r="B73" s="146"/>
      <c r="C73" s="145"/>
      <c r="D73" s="145"/>
      <c r="E73" s="145"/>
      <c r="F73" s="145"/>
      <c r="G73" s="145"/>
      <c r="H73" s="145"/>
      <c r="I73" s="145"/>
      <c r="J73" s="145"/>
      <c r="K73" s="145"/>
      <c r="L73" s="145"/>
      <c r="M73" s="145"/>
      <c r="N73" s="145"/>
      <c r="O73" s="145"/>
      <c r="P73" s="145"/>
      <c r="Q73" s="145"/>
      <c r="R73" s="145"/>
      <c r="S73" s="145"/>
      <c r="T73" s="145"/>
    </row>
    <row r="74" customFormat="false" ht="22.5" hidden="false" customHeight="true" outlineLevel="0" collapsed="false">
      <c r="A74" s="180"/>
      <c r="B74" s="146"/>
      <c r="C74" s="145"/>
      <c r="D74" s="145"/>
      <c r="E74" s="145"/>
      <c r="F74" s="145"/>
      <c r="G74" s="145"/>
      <c r="H74" s="145"/>
      <c r="I74" s="145"/>
      <c r="J74" s="145"/>
      <c r="K74" s="145"/>
      <c r="L74" s="145"/>
      <c r="M74" s="145"/>
      <c r="N74" s="145"/>
      <c r="O74" s="145"/>
      <c r="P74" s="145"/>
      <c r="Q74" s="145"/>
      <c r="R74" s="145"/>
      <c r="S74" s="145"/>
      <c r="T74" s="145"/>
    </row>
    <row r="75" customFormat="false" ht="22.5" hidden="false" customHeight="true" outlineLevel="0" collapsed="false">
      <c r="A75" s="180"/>
      <c r="B75" s="146"/>
      <c r="C75" s="145"/>
      <c r="D75" s="145"/>
      <c r="E75" s="145"/>
      <c r="F75" s="145"/>
      <c r="G75" s="145"/>
      <c r="H75" s="145"/>
      <c r="I75" s="145"/>
      <c r="J75" s="145"/>
      <c r="K75" s="145"/>
      <c r="L75" s="145"/>
      <c r="M75" s="145"/>
      <c r="N75" s="145"/>
      <c r="O75" s="145"/>
      <c r="P75" s="145"/>
      <c r="Q75" s="145"/>
      <c r="R75" s="145"/>
      <c r="S75" s="145"/>
      <c r="T75" s="145"/>
    </row>
    <row r="76" customFormat="false" ht="22.5" hidden="false" customHeight="true" outlineLevel="0" collapsed="false">
      <c r="A76" s="180"/>
      <c r="B76" s="146"/>
      <c r="C76" s="145"/>
      <c r="D76" s="145"/>
      <c r="E76" s="145"/>
      <c r="F76" s="145"/>
      <c r="G76" s="145"/>
      <c r="H76" s="145"/>
      <c r="I76" s="145"/>
      <c r="J76" s="145"/>
      <c r="K76" s="145"/>
      <c r="L76" s="145"/>
      <c r="M76" s="145"/>
      <c r="N76" s="145"/>
      <c r="O76" s="145"/>
      <c r="P76" s="145"/>
      <c r="Q76" s="145"/>
      <c r="R76" s="145"/>
      <c r="S76" s="145"/>
      <c r="T76" s="145"/>
    </row>
    <row r="77" customFormat="false" ht="22.5" hidden="false" customHeight="true" outlineLevel="0" collapsed="false">
      <c r="A77" s="180"/>
      <c r="B77" s="146"/>
      <c r="C77" s="145"/>
      <c r="D77" s="145"/>
      <c r="E77" s="145"/>
      <c r="F77" s="145"/>
      <c r="G77" s="145"/>
      <c r="H77" s="145"/>
      <c r="I77" s="145"/>
      <c r="J77" s="145"/>
      <c r="K77" s="145"/>
      <c r="L77" s="145"/>
      <c r="M77" s="145"/>
      <c r="N77" s="145"/>
      <c r="O77" s="145"/>
      <c r="P77" s="145"/>
      <c r="Q77" s="145"/>
      <c r="R77" s="145"/>
      <c r="S77" s="145"/>
      <c r="T77" s="145"/>
    </row>
    <row r="78" customFormat="false" ht="22.5" hidden="false" customHeight="true" outlineLevel="0" collapsed="false">
      <c r="A78" s="180"/>
      <c r="B78" s="146"/>
      <c r="C78" s="145"/>
      <c r="D78" s="145"/>
      <c r="E78" s="145"/>
      <c r="F78" s="145"/>
      <c r="G78" s="145"/>
      <c r="H78" s="145"/>
      <c r="I78" s="145"/>
      <c r="J78" s="145"/>
      <c r="K78" s="145"/>
      <c r="L78" s="145"/>
      <c r="M78" s="145"/>
      <c r="N78" s="145"/>
      <c r="O78" s="145"/>
      <c r="P78" s="145"/>
      <c r="Q78" s="145"/>
      <c r="R78" s="145"/>
      <c r="S78" s="145"/>
      <c r="T78" s="145"/>
    </row>
    <row r="79" customFormat="false" ht="22.5" hidden="false" customHeight="true" outlineLevel="0" collapsed="false">
      <c r="A79" s="180"/>
      <c r="B79" s="146"/>
      <c r="C79" s="145"/>
      <c r="D79" s="145"/>
      <c r="E79" s="145"/>
      <c r="F79" s="145"/>
      <c r="G79" s="145"/>
      <c r="H79" s="145"/>
      <c r="I79" s="145"/>
      <c r="J79" s="145"/>
      <c r="K79" s="145"/>
      <c r="L79" s="145"/>
      <c r="M79" s="145"/>
      <c r="N79" s="145"/>
      <c r="O79" s="145"/>
      <c r="P79" s="145"/>
      <c r="Q79" s="145"/>
      <c r="R79" s="145"/>
      <c r="S79" s="145"/>
      <c r="T79" s="145"/>
    </row>
    <row r="80" s="148" customFormat="true" ht="22.5" hidden="false" customHeight="true" outlineLevel="0" collapsed="false">
      <c r="A80" s="180"/>
      <c r="B80" s="146"/>
      <c r="C80" s="145"/>
      <c r="D80" s="145"/>
      <c r="E80" s="145"/>
      <c r="F80" s="145"/>
      <c r="G80" s="145"/>
      <c r="H80" s="145"/>
      <c r="I80" s="145"/>
      <c r="J80" s="145"/>
      <c r="K80" s="145"/>
      <c r="L80" s="145"/>
      <c r="M80" s="145"/>
      <c r="N80" s="145"/>
      <c r="O80" s="145"/>
      <c r="P80" s="145"/>
      <c r="Q80" s="145"/>
      <c r="R80" s="145"/>
      <c r="S80" s="145"/>
      <c r="T80" s="145"/>
      <c r="U80" s="147"/>
      <c r="V80" s="147"/>
    </row>
    <row r="81" customFormat="false" ht="22.5" hidden="false" customHeight="true" outlineLevel="0" collapsed="false">
      <c r="A81" s="180"/>
      <c r="B81" s="146"/>
      <c r="C81" s="145"/>
      <c r="D81" s="145"/>
      <c r="E81" s="145"/>
      <c r="F81" s="145"/>
      <c r="G81" s="145"/>
      <c r="H81" s="145"/>
      <c r="I81" s="145"/>
      <c r="J81" s="145"/>
      <c r="K81" s="145"/>
      <c r="L81" s="145"/>
      <c r="M81" s="145"/>
      <c r="N81" s="145"/>
      <c r="O81" s="145"/>
      <c r="P81" s="145"/>
      <c r="Q81" s="145"/>
      <c r="R81" s="145"/>
      <c r="S81" s="145"/>
      <c r="T81" s="145"/>
    </row>
    <row r="82" customFormat="false" ht="22.5" hidden="false" customHeight="true" outlineLevel="0" collapsed="false">
      <c r="A82" s="180"/>
      <c r="B82" s="146"/>
      <c r="C82" s="145"/>
      <c r="D82" s="145"/>
      <c r="E82" s="145"/>
      <c r="F82" s="145"/>
      <c r="G82" s="145"/>
      <c r="H82" s="145"/>
      <c r="I82" s="145"/>
      <c r="J82" s="145"/>
      <c r="K82" s="145"/>
      <c r="L82" s="145"/>
      <c r="M82" s="145"/>
      <c r="N82" s="145"/>
      <c r="O82" s="145"/>
      <c r="P82" s="145"/>
      <c r="Q82" s="145"/>
      <c r="R82" s="145"/>
      <c r="S82" s="145"/>
      <c r="T82" s="145"/>
    </row>
    <row r="83" customFormat="false" ht="22.5" hidden="false" customHeight="true" outlineLevel="0" collapsed="false">
      <c r="A83" s="180"/>
      <c r="B83" s="146"/>
      <c r="C83" s="145"/>
      <c r="D83" s="145"/>
      <c r="E83" s="145"/>
      <c r="F83" s="145"/>
      <c r="G83" s="145"/>
      <c r="H83" s="145"/>
      <c r="I83" s="145"/>
      <c r="J83" s="145"/>
      <c r="K83" s="145"/>
      <c r="L83" s="145"/>
      <c r="M83" s="145"/>
      <c r="N83" s="145"/>
      <c r="O83" s="145"/>
      <c r="P83" s="145"/>
      <c r="Q83" s="145"/>
      <c r="R83" s="145"/>
      <c r="S83" s="145"/>
      <c r="T83" s="145"/>
    </row>
    <row r="84" customFormat="false" ht="22.5" hidden="false" customHeight="true" outlineLevel="0" collapsed="false">
      <c r="A84" s="180"/>
      <c r="B84" s="146"/>
      <c r="C84" s="145"/>
      <c r="D84" s="145"/>
      <c r="E84" s="145"/>
      <c r="F84" s="145"/>
      <c r="G84" s="145"/>
      <c r="H84" s="145"/>
      <c r="I84" s="145"/>
      <c r="J84" s="145"/>
      <c r="K84" s="145"/>
      <c r="L84" s="145"/>
      <c r="M84" s="145"/>
      <c r="N84" s="145"/>
      <c r="O84" s="145"/>
      <c r="P84" s="145"/>
      <c r="Q84" s="145"/>
      <c r="R84" s="145"/>
      <c r="S84" s="145"/>
      <c r="T84" s="145"/>
    </row>
    <row r="85" customFormat="false" ht="22.5" hidden="false" customHeight="true" outlineLevel="0" collapsed="false">
      <c r="A85" s="180"/>
      <c r="B85" s="146"/>
      <c r="C85" s="145"/>
      <c r="D85" s="145"/>
      <c r="E85" s="145"/>
      <c r="F85" s="145"/>
      <c r="G85" s="145"/>
      <c r="H85" s="145"/>
      <c r="I85" s="145"/>
      <c r="J85" s="145"/>
      <c r="K85" s="145"/>
      <c r="L85" s="145"/>
      <c r="M85" s="145"/>
      <c r="N85" s="145"/>
      <c r="O85" s="145"/>
      <c r="P85" s="145"/>
      <c r="Q85" s="145"/>
      <c r="R85" s="145"/>
      <c r="S85" s="145"/>
      <c r="T85" s="145"/>
    </row>
    <row r="86" customFormat="false" ht="22.5" hidden="false" customHeight="true" outlineLevel="0" collapsed="false">
      <c r="A86" s="180"/>
      <c r="B86" s="146"/>
      <c r="C86" s="145"/>
      <c r="D86" s="145"/>
      <c r="E86" s="145"/>
      <c r="F86" s="145"/>
      <c r="G86" s="145"/>
      <c r="H86" s="145"/>
      <c r="I86" s="145"/>
      <c r="J86" s="145"/>
      <c r="K86" s="145"/>
      <c r="L86" s="145"/>
      <c r="M86" s="145"/>
      <c r="N86" s="145"/>
      <c r="O86" s="145"/>
      <c r="P86" s="145"/>
      <c r="Q86" s="145"/>
      <c r="R86" s="145"/>
      <c r="S86" s="145"/>
      <c r="T86" s="145"/>
    </row>
    <row r="87" customFormat="false" ht="22.5" hidden="false" customHeight="true" outlineLevel="0" collapsed="false">
      <c r="A87" s="180"/>
      <c r="B87" s="146"/>
      <c r="C87" s="145"/>
      <c r="D87" s="145"/>
      <c r="E87" s="145"/>
      <c r="F87" s="145"/>
      <c r="G87" s="145"/>
      <c r="H87" s="145"/>
      <c r="I87" s="145"/>
      <c r="J87" s="145"/>
      <c r="K87" s="145"/>
      <c r="L87" s="145"/>
      <c r="M87" s="145"/>
      <c r="N87" s="145"/>
      <c r="O87" s="145"/>
      <c r="P87" s="145"/>
      <c r="Q87" s="145"/>
      <c r="R87" s="145"/>
      <c r="S87" s="145"/>
      <c r="T87" s="145"/>
    </row>
    <row r="88" customFormat="false" ht="22.5" hidden="false" customHeight="true" outlineLevel="0" collapsed="false">
      <c r="A88" s="180"/>
      <c r="B88" s="146"/>
      <c r="C88" s="145"/>
      <c r="D88" s="145"/>
      <c r="E88" s="145"/>
      <c r="F88" s="145"/>
      <c r="G88" s="145"/>
      <c r="H88" s="145"/>
      <c r="I88" s="145"/>
      <c r="J88" s="145"/>
      <c r="K88" s="145"/>
      <c r="L88" s="145"/>
      <c r="M88" s="145"/>
      <c r="N88" s="145"/>
      <c r="O88" s="145"/>
      <c r="P88" s="145"/>
      <c r="Q88" s="145"/>
      <c r="R88" s="145"/>
      <c r="S88" s="145"/>
      <c r="T88" s="145"/>
    </row>
    <row r="89" customFormat="false" ht="22.5" hidden="false" customHeight="true" outlineLevel="0" collapsed="false">
      <c r="A89" s="180"/>
      <c r="B89" s="146"/>
      <c r="C89" s="145"/>
      <c r="D89" s="145"/>
      <c r="E89" s="145"/>
      <c r="F89" s="145"/>
      <c r="G89" s="145"/>
      <c r="H89" s="145"/>
      <c r="I89" s="145"/>
      <c r="J89" s="145"/>
      <c r="K89" s="145"/>
      <c r="L89" s="145"/>
      <c r="M89" s="145"/>
      <c r="N89" s="145"/>
      <c r="O89" s="145"/>
      <c r="P89" s="145"/>
      <c r="Q89" s="145"/>
      <c r="R89" s="145"/>
      <c r="S89" s="145"/>
      <c r="T89" s="145"/>
    </row>
    <row r="90" customFormat="false" ht="22.5" hidden="false" customHeight="true" outlineLevel="0" collapsed="false">
      <c r="A90" s="180"/>
      <c r="B90" s="146"/>
      <c r="C90" s="145"/>
      <c r="D90" s="145"/>
      <c r="E90" s="145"/>
      <c r="F90" s="145"/>
      <c r="G90" s="145"/>
      <c r="H90" s="145"/>
      <c r="I90" s="145"/>
      <c r="J90" s="145"/>
      <c r="K90" s="145"/>
      <c r="L90" s="145"/>
      <c r="M90" s="145"/>
      <c r="N90" s="145"/>
      <c r="O90" s="145"/>
      <c r="P90" s="145"/>
      <c r="Q90" s="145"/>
      <c r="R90" s="145"/>
      <c r="S90" s="145"/>
      <c r="T90" s="145"/>
    </row>
    <row r="91" customFormat="false" ht="22.5" hidden="false" customHeight="true" outlineLevel="0" collapsed="false">
      <c r="A91" s="180"/>
      <c r="B91" s="146"/>
      <c r="C91" s="145"/>
      <c r="D91" s="145"/>
      <c r="E91" s="145"/>
      <c r="F91" s="145"/>
      <c r="G91" s="145"/>
      <c r="H91" s="145"/>
      <c r="I91" s="145"/>
      <c r="J91" s="145"/>
      <c r="K91" s="145"/>
      <c r="L91" s="145"/>
      <c r="M91" s="145"/>
      <c r="N91" s="145"/>
      <c r="O91" s="145"/>
      <c r="P91" s="145"/>
      <c r="Q91" s="145"/>
      <c r="R91" s="145"/>
      <c r="S91" s="145"/>
      <c r="T91" s="145"/>
    </row>
    <row r="92" customFormat="false" ht="22.5" hidden="false" customHeight="true" outlineLevel="0" collapsed="false">
      <c r="A92" s="180"/>
      <c r="B92" s="146"/>
      <c r="C92" s="145"/>
      <c r="D92" s="145"/>
      <c r="E92" s="145"/>
      <c r="F92" s="145"/>
      <c r="G92" s="145"/>
      <c r="H92" s="145"/>
      <c r="I92" s="145"/>
      <c r="J92" s="145"/>
      <c r="K92" s="145"/>
      <c r="L92" s="145"/>
      <c r="M92" s="145"/>
      <c r="N92" s="145"/>
      <c r="O92" s="145"/>
      <c r="P92" s="145"/>
      <c r="Q92" s="145"/>
      <c r="R92" s="145"/>
      <c r="S92" s="145"/>
      <c r="T92" s="145"/>
    </row>
    <row r="93" customFormat="false" ht="22.5" hidden="false" customHeight="true" outlineLevel="0" collapsed="false">
      <c r="A93" s="180"/>
      <c r="B93" s="146"/>
      <c r="C93" s="145"/>
      <c r="D93" s="145"/>
      <c r="E93" s="145"/>
      <c r="F93" s="145"/>
      <c r="G93" s="145"/>
      <c r="H93" s="145"/>
      <c r="I93" s="145"/>
      <c r="J93" s="145"/>
      <c r="K93" s="145"/>
      <c r="L93" s="145"/>
      <c r="M93" s="145"/>
      <c r="N93" s="145"/>
      <c r="O93" s="145"/>
      <c r="P93" s="145"/>
      <c r="Q93" s="145"/>
      <c r="R93" s="145"/>
      <c r="S93" s="145"/>
      <c r="T93" s="145"/>
    </row>
    <row r="94" customFormat="false" ht="22.5" hidden="false" customHeight="true" outlineLevel="0" collapsed="false">
      <c r="A94" s="180"/>
      <c r="B94" s="146"/>
      <c r="C94" s="145"/>
      <c r="D94" s="145"/>
      <c r="E94" s="145"/>
      <c r="F94" s="145"/>
      <c r="G94" s="145"/>
      <c r="H94" s="145"/>
      <c r="I94" s="145"/>
      <c r="J94" s="145"/>
      <c r="K94" s="145"/>
      <c r="L94" s="145"/>
      <c r="M94" s="145"/>
      <c r="N94" s="145"/>
      <c r="O94" s="145"/>
      <c r="P94" s="145"/>
      <c r="Q94" s="145"/>
      <c r="R94" s="145"/>
      <c r="S94" s="145"/>
      <c r="T94" s="145"/>
    </row>
    <row r="95" customFormat="false" ht="22.5" hidden="false" customHeight="true" outlineLevel="0" collapsed="false">
      <c r="A95" s="180"/>
      <c r="B95" s="146"/>
      <c r="C95" s="145"/>
      <c r="D95" s="145"/>
      <c r="E95" s="145"/>
      <c r="F95" s="145"/>
      <c r="G95" s="145"/>
      <c r="H95" s="145"/>
      <c r="I95" s="145"/>
      <c r="J95" s="145"/>
      <c r="K95" s="145"/>
      <c r="L95" s="145"/>
      <c r="M95" s="145"/>
      <c r="N95" s="145"/>
      <c r="O95" s="145"/>
      <c r="P95" s="145"/>
      <c r="Q95" s="145"/>
      <c r="R95" s="145"/>
      <c r="S95" s="145"/>
      <c r="T95" s="145"/>
    </row>
    <row r="96" customFormat="false" ht="22.5" hidden="false" customHeight="true" outlineLevel="0" collapsed="false">
      <c r="A96" s="180"/>
      <c r="B96" s="146"/>
      <c r="C96" s="145"/>
      <c r="D96" s="145"/>
      <c r="E96" s="145"/>
      <c r="F96" s="145"/>
      <c r="G96" s="145"/>
      <c r="H96" s="145"/>
      <c r="I96" s="145"/>
      <c r="J96" s="145"/>
      <c r="K96" s="145"/>
      <c r="L96" s="145"/>
      <c r="M96" s="145"/>
      <c r="N96" s="145"/>
      <c r="O96" s="145"/>
      <c r="P96" s="145"/>
      <c r="Q96" s="145"/>
      <c r="R96" s="145"/>
      <c r="S96" s="145"/>
      <c r="T96" s="145"/>
    </row>
    <row r="97" customFormat="false" ht="22.5" hidden="false" customHeight="true" outlineLevel="0" collapsed="false">
      <c r="A97" s="180"/>
      <c r="B97" s="146"/>
      <c r="C97" s="145"/>
      <c r="D97" s="145"/>
      <c r="E97" s="145"/>
      <c r="F97" s="145"/>
      <c r="G97" s="145"/>
      <c r="H97" s="145"/>
      <c r="I97" s="145"/>
      <c r="J97" s="145"/>
      <c r="K97" s="145"/>
      <c r="L97" s="145"/>
      <c r="M97" s="145"/>
      <c r="N97" s="145"/>
      <c r="O97" s="145"/>
      <c r="P97" s="145"/>
      <c r="Q97" s="145"/>
      <c r="R97" s="145"/>
      <c r="S97" s="145"/>
      <c r="T97" s="145"/>
    </row>
    <row r="98" customFormat="false" ht="22.5" hidden="false" customHeight="true" outlineLevel="0" collapsed="false">
      <c r="A98" s="180"/>
      <c r="B98" s="146"/>
      <c r="C98" s="145"/>
      <c r="D98" s="145"/>
      <c r="E98" s="145"/>
      <c r="F98" s="145"/>
      <c r="G98" s="145"/>
      <c r="H98" s="145"/>
      <c r="I98" s="145"/>
      <c r="J98" s="145"/>
      <c r="K98" s="145"/>
      <c r="L98" s="145"/>
      <c r="M98" s="145"/>
      <c r="N98" s="145"/>
      <c r="O98" s="145"/>
      <c r="P98" s="145"/>
      <c r="Q98" s="145"/>
      <c r="R98" s="145"/>
      <c r="S98" s="145"/>
      <c r="T98" s="145"/>
    </row>
    <row r="99" customFormat="false" ht="22.5" hidden="false" customHeight="true" outlineLevel="0" collapsed="false">
      <c r="A99" s="180"/>
      <c r="B99" s="146"/>
      <c r="C99" s="145"/>
      <c r="D99" s="145"/>
      <c r="E99" s="145"/>
      <c r="F99" s="145"/>
      <c r="G99" s="145"/>
      <c r="H99" s="145"/>
      <c r="I99" s="145"/>
      <c r="J99" s="145"/>
      <c r="K99" s="145"/>
      <c r="L99" s="145"/>
      <c r="M99" s="145"/>
      <c r="N99" s="145"/>
      <c r="O99" s="145"/>
      <c r="P99" s="145"/>
      <c r="Q99" s="145"/>
      <c r="R99" s="145"/>
      <c r="S99" s="145"/>
      <c r="T99" s="145"/>
    </row>
    <row r="100" customFormat="false" ht="22.5" hidden="false" customHeight="true" outlineLevel="0" collapsed="false">
      <c r="A100" s="180"/>
      <c r="B100" s="146"/>
      <c r="C100" s="145"/>
      <c r="D100" s="145"/>
      <c r="E100" s="145"/>
      <c r="F100" s="145"/>
      <c r="G100" s="145"/>
      <c r="H100" s="145"/>
      <c r="I100" s="145"/>
      <c r="J100" s="145"/>
      <c r="K100" s="145"/>
      <c r="L100" s="145"/>
      <c r="M100" s="145"/>
      <c r="N100" s="145"/>
      <c r="O100" s="145"/>
      <c r="P100" s="145"/>
      <c r="Q100" s="145"/>
      <c r="R100" s="145"/>
      <c r="S100" s="145"/>
      <c r="T100" s="145"/>
    </row>
    <row r="101" customFormat="false" ht="22.5" hidden="false" customHeight="true" outlineLevel="0" collapsed="false">
      <c r="A101" s="180"/>
      <c r="B101" s="146"/>
      <c r="C101" s="145"/>
      <c r="D101" s="145"/>
      <c r="E101" s="145"/>
      <c r="F101" s="145"/>
      <c r="G101" s="145"/>
      <c r="H101" s="145"/>
      <c r="I101" s="145"/>
      <c r="J101" s="145"/>
      <c r="K101" s="145"/>
      <c r="L101" s="145"/>
      <c r="M101" s="145"/>
      <c r="N101" s="145"/>
      <c r="O101" s="145"/>
      <c r="P101" s="145"/>
      <c r="Q101" s="145"/>
      <c r="R101" s="145"/>
      <c r="S101" s="145"/>
      <c r="T101" s="145"/>
    </row>
    <row r="102" customFormat="false" ht="22.5" hidden="false" customHeight="true" outlineLevel="0" collapsed="false">
      <c r="A102" s="180"/>
      <c r="B102" s="146"/>
      <c r="C102" s="145"/>
      <c r="D102" s="145"/>
      <c r="E102" s="145"/>
      <c r="F102" s="145"/>
      <c r="G102" s="145"/>
      <c r="H102" s="145"/>
      <c r="I102" s="145"/>
      <c r="J102" s="145"/>
      <c r="K102" s="145"/>
      <c r="L102" s="145"/>
      <c r="M102" s="145"/>
      <c r="N102" s="145"/>
      <c r="O102" s="145"/>
      <c r="P102" s="145"/>
      <c r="Q102" s="145"/>
      <c r="R102" s="145"/>
      <c r="S102" s="145"/>
      <c r="T102" s="145"/>
    </row>
    <row r="103" customFormat="false" ht="22.5" hidden="false" customHeight="true" outlineLevel="0" collapsed="false">
      <c r="A103" s="180"/>
      <c r="B103" s="146"/>
      <c r="C103" s="145"/>
      <c r="D103" s="145"/>
      <c r="E103" s="145"/>
      <c r="F103" s="145"/>
      <c r="G103" s="145"/>
      <c r="H103" s="145"/>
      <c r="I103" s="145"/>
      <c r="J103" s="145"/>
      <c r="K103" s="145"/>
      <c r="L103" s="145"/>
      <c r="M103" s="145"/>
      <c r="N103" s="145"/>
      <c r="O103" s="145"/>
      <c r="P103" s="145"/>
      <c r="Q103" s="145"/>
      <c r="R103" s="145"/>
      <c r="S103" s="145"/>
      <c r="T103" s="145"/>
    </row>
    <row r="104" customFormat="false" ht="22.5" hidden="false" customHeight="true" outlineLevel="0" collapsed="false">
      <c r="A104" s="180"/>
      <c r="B104" s="146"/>
      <c r="C104" s="145"/>
      <c r="D104" s="145"/>
      <c r="E104" s="145"/>
      <c r="F104" s="145"/>
      <c r="G104" s="145"/>
      <c r="H104" s="145"/>
      <c r="I104" s="145"/>
      <c r="J104" s="145"/>
      <c r="K104" s="145"/>
      <c r="L104" s="145"/>
      <c r="M104" s="145"/>
      <c r="N104" s="145"/>
      <c r="O104" s="145"/>
      <c r="P104" s="145"/>
      <c r="Q104" s="145"/>
      <c r="R104" s="145"/>
      <c r="S104" s="145"/>
      <c r="T104" s="145"/>
    </row>
    <row r="105" customFormat="false" ht="22.5" hidden="false" customHeight="true" outlineLevel="0" collapsed="false">
      <c r="A105" s="180"/>
      <c r="B105" s="146"/>
      <c r="C105" s="145"/>
      <c r="D105" s="145"/>
      <c r="E105" s="145"/>
      <c r="F105" s="145"/>
      <c r="G105" s="145"/>
      <c r="H105" s="145"/>
      <c r="I105" s="145"/>
      <c r="J105" s="145"/>
      <c r="K105" s="145"/>
      <c r="L105" s="145"/>
      <c r="M105" s="145"/>
      <c r="N105" s="145"/>
      <c r="O105" s="145"/>
      <c r="P105" s="145"/>
      <c r="Q105" s="145"/>
      <c r="R105" s="145"/>
      <c r="S105" s="145"/>
      <c r="T105" s="145"/>
    </row>
    <row r="106" customFormat="false" ht="22.5" hidden="false" customHeight="true" outlineLevel="0" collapsed="false">
      <c r="A106" s="180"/>
      <c r="B106" s="146"/>
      <c r="C106" s="145"/>
      <c r="D106" s="145"/>
      <c r="E106" s="145"/>
      <c r="F106" s="145"/>
      <c r="G106" s="145"/>
      <c r="H106" s="145"/>
      <c r="I106" s="145"/>
      <c r="J106" s="145"/>
      <c r="K106" s="145"/>
      <c r="L106" s="145"/>
      <c r="M106" s="145"/>
      <c r="N106" s="145"/>
      <c r="O106" s="145"/>
      <c r="P106" s="145"/>
      <c r="Q106" s="145"/>
      <c r="R106" s="145"/>
      <c r="S106" s="145"/>
      <c r="T106" s="145"/>
    </row>
    <row r="107" customFormat="false" ht="22.5" hidden="false" customHeight="true" outlineLevel="0" collapsed="false">
      <c r="A107" s="180"/>
      <c r="B107" s="146"/>
      <c r="C107" s="145"/>
      <c r="D107" s="145"/>
      <c r="E107" s="145"/>
      <c r="F107" s="145"/>
      <c r="G107" s="145"/>
      <c r="H107" s="145"/>
      <c r="I107" s="145"/>
      <c r="J107" s="145"/>
      <c r="K107" s="145"/>
      <c r="L107" s="145"/>
      <c r="M107" s="145"/>
      <c r="N107" s="145"/>
      <c r="O107" s="145"/>
      <c r="P107" s="145"/>
      <c r="Q107" s="145"/>
      <c r="R107" s="145"/>
      <c r="S107" s="145"/>
      <c r="T107" s="145"/>
    </row>
    <row r="108" customFormat="false" ht="22.5" hidden="false" customHeight="true" outlineLevel="0" collapsed="false">
      <c r="A108" s="180"/>
      <c r="B108" s="146"/>
      <c r="C108" s="145"/>
      <c r="D108" s="145"/>
      <c r="E108" s="145"/>
      <c r="F108" s="145"/>
      <c r="G108" s="145"/>
      <c r="H108" s="145"/>
      <c r="I108" s="145"/>
      <c r="J108" s="145"/>
      <c r="K108" s="145"/>
      <c r="L108" s="145"/>
      <c r="M108" s="145"/>
      <c r="N108" s="145"/>
      <c r="O108" s="145"/>
      <c r="P108" s="145"/>
      <c r="Q108" s="145"/>
      <c r="R108" s="145"/>
      <c r="S108" s="145"/>
      <c r="T108" s="145"/>
    </row>
    <row r="109" customFormat="false" ht="22.5" hidden="false" customHeight="true" outlineLevel="0" collapsed="false">
      <c r="A109" s="180"/>
      <c r="B109" s="146"/>
      <c r="C109" s="145"/>
      <c r="D109" s="145"/>
      <c r="E109" s="145"/>
      <c r="F109" s="145"/>
      <c r="G109" s="145"/>
      <c r="H109" s="145"/>
      <c r="I109" s="145"/>
      <c r="J109" s="145"/>
      <c r="K109" s="145"/>
      <c r="L109" s="145"/>
      <c r="M109" s="145"/>
      <c r="N109" s="145"/>
      <c r="O109" s="145"/>
      <c r="P109" s="145"/>
      <c r="Q109" s="145"/>
      <c r="R109" s="145"/>
      <c r="S109" s="145"/>
      <c r="T109" s="145"/>
    </row>
    <row r="110" customFormat="false" ht="22.5" hidden="false" customHeight="true" outlineLevel="0" collapsed="false">
      <c r="A110" s="180"/>
      <c r="B110" s="146"/>
      <c r="C110" s="145"/>
      <c r="D110" s="145"/>
      <c r="E110" s="145"/>
      <c r="F110" s="145"/>
      <c r="G110" s="145"/>
      <c r="H110" s="145"/>
      <c r="I110" s="145"/>
      <c r="J110" s="145"/>
      <c r="K110" s="145"/>
      <c r="L110" s="145"/>
      <c r="M110" s="145"/>
      <c r="N110" s="145"/>
      <c r="O110" s="145"/>
      <c r="P110" s="145"/>
      <c r="Q110" s="145"/>
      <c r="R110" s="145"/>
      <c r="S110" s="145"/>
      <c r="T110" s="145"/>
    </row>
    <row r="111" customFormat="false" ht="22.5" hidden="false" customHeight="true" outlineLevel="0" collapsed="false">
      <c r="A111" s="180"/>
      <c r="B111" s="146"/>
      <c r="C111" s="145"/>
      <c r="D111" s="145"/>
      <c r="E111" s="145"/>
      <c r="F111" s="145"/>
      <c r="G111" s="145"/>
      <c r="H111" s="145"/>
      <c r="I111" s="145"/>
      <c r="J111" s="145"/>
      <c r="K111" s="145"/>
      <c r="L111" s="145"/>
      <c r="M111" s="145"/>
      <c r="N111" s="145"/>
      <c r="O111" s="145"/>
      <c r="P111" s="145"/>
      <c r="Q111" s="145"/>
      <c r="R111" s="145"/>
      <c r="S111" s="145"/>
      <c r="T111" s="145"/>
    </row>
    <row r="112" customFormat="false" ht="22.5" hidden="false" customHeight="true" outlineLevel="0" collapsed="false">
      <c r="A112" s="180"/>
      <c r="B112" s="146"/>
      <c r="C112" s="145"/>
      <c r="D112" s="145"/>
      <c r="E112" s="145"/>
      <c r="F112" s="145"/>
      <c r="G112" s="145"/>
      <c r="H112" s="145"/>
      <c r="I112" s="145"/>
      <c r="J112" s="145"/>
      <c r="K112" s="145"/>
      <c r="L112" s="145"/>
      <c r="M112" s="145"/>
      <c r="N112" s="145"/>
      <c r="O112" s="145"/>
      <c r="P112" s="145"/>
      <c r="Q112" s="145"/>
      <c r="R112" s="145"/>
      <c r="S112" s="145"/>
      <c r="T112" s="145"/>
    </row>
    <row r="113" customFormat="false" ht="22.5" hidden="false" customHeight="true" outlineLevel="0" collapsed="false">
      <c r="A113" s="180"/>
      <c r="B113" s="146"/>
      <c r="C113" s="145"/>
      <c r="D113" s="145"/>
      <c r="E113" s="145"/>
      <c r="F113" s="145"/>
      <c r="G113" s="145"/>
      <c r="H113" s="145"/>
      <c r="I113" s="145"/>
      <c r="J113" s="145"/>
      <c r="K113" s="145"/>
      <c r="L113" s="145"/>
      <c r="M113" s="145"/>
      <c r="N113" s="145"/>
      <c r="O113" s="145"/>
      <c r="P113" s="145"/>
      <c r="Q113" s="145"/>
      <c r="R113" s="145"/>
      <c r="S113" s="145"/>
      <c r="T113" s="145"/>
    </row>
    <row r="114" customFormat="false" ht="22.5" hidden="false" customHeight="true" outlineLevel="0" collapsed="false">
      <c r="A114" s="180"/>
      <c r="B114" s="146"/>
      <c r="C114" s="145"/>
      <c r="D114" s="145"/>
      <c r="E114" s="145"/>
      <c r="F114" s="145"/>
      <c r="G114" s="145"/>
      <c r="H114" s="145"/>
      <c r="I114" s="145"/>
      <c r="J114" s="145"/>
      <c r="K114" s="145"/>
      <c r="L114" s="145"/>
      <c r="M114" s="145"/>
      <c r="N114" s="145"/>
      <c r="O114" s="145"/>
      <c r="P114" s="145"/>
      <c r="Q114" s="145"/>
      <c r="R114" s="145"/>
      <c r="S114" s="145"/>
      <c r="T114" s="145"/>
    </row>
    <row r="115" customFormat="false" ht="22.5" hidden="false" customHeight="true" outlineLevel="0" collapsed="false">
      <c r="A115" s="180"/>
      <c r="B115" s="146"/>
      <c r="C115" s="145"/>
      <c r="D115" s="145"/>
      <c r="E115" s="145"/>
      <c r="F115" s="145"/>
      <c r="G115" s="145"/>
      <c r="H115" s="145"/>
      <c r="I115" s="145"/>
      <c r="J115" s="145"/>
      <c r="K115" s="145"/>
      <c r="L115" s="145"/>
      <c r="M115" s="145"/>
      <c r="N115" s="145"/>
      <c r="O115" s="145"/>
      <c r="P115" s="145"/>
      <c r="Q115" s="145"/>
      <c r="R115" s="145"/>
      <c r="S115" s="145"/>
      <c r="T115" s="145"/>
    </row>
    <row r="116" customFormat="false" ht="22.5" hidden="false" customHeight="true" outlineLevel="0" collapsed="false">
      <c r="A116" s="180"/>
      <c r="B116" s="146"/>
      <c r="C116" s="145"/>
      <c r="D116" s="145"/>
      <c r="E116" s="145"/>
      <c r="F116" s="145"/>
      <c r="G116" s="145"/>
      <c r="H116" s="145"/>
      <c r="I116" s="145"/>
      <c r="J116" s="145"/>
      <c r="K116" s="145"/>
      <c r="L116" s="145"/>
      <c r="M116" s="145"/>
      <c r="N116" s="145"/>
      <c r="O116" s="145"/>
      <c r="P116" s="145"/>
      <c r="Q116" s="145"/>
      <c r="R116" s="145"/>
      <c r="S116" s="145"/>
      <c r="T116" s="145"/>
    </row>
    <row r="117" customFormat="false" ht="22.5" hidden="false" customHeight="true" outlineLevel="0" collapsed="false">
      <c r="A117" s="180"/>
      <c r="B117" s="146"/>
      <c r="C117" s="145"/>
      <c r="D117" s="145"/>
      <c r="E117" s="145"/>
      <c r="F117" s="145"/>
      <c r="G117" s="145"/>
      <c r="H117" s="145"/>
      <c r="I117" s="145"/>
      <c r="J117" s="145"/>
      <c r="K117" s="145"/>
      <c r="L117" s="145"/>
      <c r="M117" s="145"/>
      <c r="N117" s="145"/>
      <c r="O117" s="145"/>
      <c r="P117" s="145"/>
      <c r="Q117" s="145"/>
      <c r="R117" s="145"/>
      <c r="S117" s="145"/>
      <c r="T117" s="145"/>
    </row>
    <row r="118" customFormat="false" ht="22.5" hidden="false" customHeight="true" outlineLevel="0" collapsed="false">
      <c r="A118" s="180"/>
      <c r="B118" s="146"/>
      <c r="C118" s="145"/>
      <c r="D118" s="145"/>
      <c r="E118" s="145"/>
      <c r="F118" s="145"/>
      <c r="G118" s="145"/>
      <c r="H118" s="145"/>
      <c r="I118" s="145"/>
      <c r="J118" s="145"/>
      <c r="K118" s="145"/>
      <c r="L118" s="145"/>
      <c r="M118" s="145"/>
      <c r="N118" s="145"/>
      <c r="O118" s="145"/>
      <c r="P118" s="145"/>
      <c r="Q118" s="145"/>
      <c r="R118" s="145"/>
      <c r="S118" s="145"/>
      <c r="T118" s="145"/>
    </row>
    <row r="119" customFormat="false" ht="22.5" hidden="false" customHeight="true" outlineLevel="0" collapsed="false">
      <c r="A119" s="180"/>
      <c r="B119" s="146"/>
      <c r="C119" s="145"/>
      <c r="D119" s="145"/>
      <c r="E119" s="145"/>
      <c r="F119" s="145"/>
      <c r="G119" s="145"/>
      <c r="H119" s="145"/>
      <c r="I119" s="145"/>
      <c r="J119" s="145"/>
      <c r="K119" s="145"/>
      <c r="L119" s="145"/>
      <c r="M119" s="145"/>
      <c r="N119" s="145"/>
      <c r="O119" s="145"/>
      <c r="P119" s="145"/>
      <c r="Q119" s="145"/>
      <c r="R119" s="145"/>
      <c r="S119" s="145"/>
      <c r="T119" s="145"/>
    </row>
    <row r="120" customFormat="false" ht="22.5" hidden="false" customHeight="true" outlineLevel="0" collapsed="false">
      <c r="A120" s="180"/>
      <c r="B120" s="146"/>
      <c r="C120" s="145"/>
      <c r="D120" s="145"/>
      <c r="E120" s="145"/>
      <c r="F120" s="145"/>
      <c r="G120" s="145"/>
      <c r="H120" s="145"/>
      <c r="I120" s="145"/>
      <c r="J120" s="145"/>
      <c r="K120" s="145"/>
      <c r="L120" s="145"/>
      <c r="M120" s="145"/>
      <c r="N120" s="145"/>
      <c r="O120" s="145"/>
      <c r="P120" s="145"/>
      <c r="Q120" s="145"/>
      <c r="R120" s="145"/>
      <c r="S120" s="145"/>
      <c r="T120" s="145"/>
    </row>
    <row r="121" customFormat="false" ht="22.5" hidden="false" customHeight="true" outlineLevel="0" collapsed="false">
      <c r="A121" s="180"/>
      <c r="B121" s="146"/>
      <c r="C121" s="145"/>
      <c r="D121" s="145"/>
      <c r="E121" s="145"/>
      <c r="F121" s="145"/>
      <c r="G121" s="145"/>
      <c r="H121" s="145"/>
      <c r="I121" s="145"/>
      <c r="J121" s="145"/>
      <c r="K121" s="145"/>
      <c r="L121" s="145"/>
      <c r="M121" s="145"/>
      <c r="N121" s="145"/>
      <c r="O121" s="145"/>
      <c r="P121" s="145"/>
      <c r="Q121" s="145"/>
      <c r="R121" s="145"/>
      <c r="S121" s="145"/>
      <c r="T121" s="145"/>
    </row>
    <row r="122" customFormat="false" ht="22.5" hidden="false" customHeight="true" outlineLevel="0" collapsed="false">
      <c r="A122" s="180"/>
      <c r="B122" s="146"/>
      <c r="C122" s="145"/>
      <c r="D122" s="145"/>
      <c r="E122" s="145"/>
      <c r="F122" s="145"/>
      <c r="G122" s="145"/>
      <c r="H122" s="145"/>
      <c r="I122" s="145"/>
      <c r="J122" s="145"/>
      <c r="K122" s="145"/>
      <c r="L122" s="145"/>
      <c r="M122" s="145"/>
      <c r="N122" s="145"/>
      <c r="O122" s="145"/>
      <c r="P122" s="145"/>
      <c r="Q122" s="145"/>
      <c r="R122" s="145"/>
      <c r="S122" s="145"/>
      <c r="T122" s="145"/>
    </row>
    <row r="123" customFormat="false" ht="22.5" hidden="false" customHeight="true" outlineLevel="0" collapsed="false">
      <c r="A123" s="180"/>
      <c r="B123" s="146"/>
      <c r="C123" s="145"/>
      <c r="D123" s="145"/>
      <c r="E123" s="145"/>
      <c r="F123" s="145"/>
      <c r="G123" s="145"/>
      <c r="H123" s="145"/>
      <c r="I123" s="145"/>
      <c r="J123" s="145"/>
      <c r="K123" s="145"/>
      <c r="L123" s="145"/>
      <c r="M123" s="145"/>
      <c r="N123" s="145"/>
      <c r="O123" s="145"/>
      <c r="P123" s="145"/>
      <c r="Q123" s="145"/>
      <c r="R123" s="145"/>
      <c r="S123" s="145"/>
      <c r="T123" s="145"/>
    </row>
    <row r="124" customFormat="false" ht="22.5" hidden="false" customHeight="true" outlineLevel="0" collapsed="false">
      <c r="A124" s="180"/>
      <c r="B124" s="146"/>
      <c r="C124" s="145"/>
      <c r="D124" s="145"/>
      <c r="E124" s="145"/>
      <c r="F124" s="145"/>
      <c r="G124" s="145"/>
      <c r="H124" s="145"/>
      <c r="I124" s="145"/>
      <c r="J124" s="145"/>
      <c r="K124" s="145"/>
      <c r="L124" s="145"/>
      <c r="M124" s="145"/>
      <c r="N124" s="145"/>
      <c r="O124" s="145"/>
      <c r="P124" s="145"/>
      <c r="Q124" s="145"/>
      <c r="R124" s="145"/>
      <c r="S124" s="145"/>
      <c r="T124" s="145"/>
    </row>
    <row r="125" customFormat="false" ht="22.5" hidden="false" customHeight="true" outlineLevel="0" collapsed="false">
      <c r="A125" s="180"/>
      <c r="B125" s="146"/>
      <c r="C125" s="145"/>
      <c r="D125" s="145"/>
      <c r="E125" s="145"/>
      <c r="F125" s="145"/>
      <c r="G125" s="145"/>
      <c r="H125" s="145"/>
      <c r="I125" s="145"/>
      <c r="J125" s="145"/>
      <c r="K125" s="145"/>
      <c r="L125" s="145"/>
      <c r="M125" s="145"/>
      <c r="N125" s="145"/>
      <c r="O125" s="145"/>
      <c r="P125" s="145"/>
      <c r="Q125" s="145"/>
      <c r="R125" s="145"/>
      <c r="S125" s="145"/>
      <c r="T125" s="145"/>
    </row>
    <row r="126" customFormat="false" ht="22.5" hidden="false" customHeight="true" outlineLevel="0" collapsed="false">
      <c r="A126" s="180"/>
      <c r="B126" s="146"/>
      <c r="C126" s="145"/>
      <c r="D126" s="145"/>
      <c r="E126" s="145"/>
      <c r="F126" s="145"/>
      <c r="G126" s="145"/>
      <c r="H126" s="145"/>
      <c r="I126" s="145"/>
      <c r="J126" s="145"/>
      <c r="K126" s="145"/>
      <c r="L126" s="145"/>
      <c r="M126" s="145"/>
      <c r="N126" s="145"/>
      <c r="O126" s="145"/>
      <c r="P126" s="145"/>
      <c r="Q126" s="145"/>
      <c r="R126" s="145"/>
      <c r="S126" s="145"/>
      <c r="T126" s="145"/>
    </row>
    <row r="127" customFormat="false" ht="22.5" hidden="false" customHeight="true" outlineLevel="0" collapsed="false">
      <c r="A127" s="180"/>
      <c r="B127" s="146"/>
      <c r="C127" s="145"/>
      <c r="D127" s="145"/>
      <c r="E127" s="145"/>
      <c r="F127" s="145"/>
      <c r="G127" s="145"/>
      <c r="H127" s="145"/>
      <c r="I127" s="145"/>
      <c r="J127" s="145"/>
      <c r="K127" s="145"/>
      <c r="L127" s="145"/>
      <c r="M127" s="145"/>
      <c r="N127" s="145"/>
      <c r="O127" s="145"/>
      <c r="P127" s="145"/>
      <c r="Q127" s="145"/>
      <c r="R127" s="145"/>
      <c r="S127" s="145"/>
      <c r="T127" s="145"/>
    </row>
    <row r="128" customFormat="false" ht="22.5" hidden="false" customHeight="true" outlineLevel="0" collapsed="false">
      <c r="A128" s="180"/>
      <c r="B128" s="146"/>
      <c r="C128" s="145"/>
      <c r="D128" s="145"/>
      <c r="E128" s="145"/>
      <c r="F128" s="145"/>
      <c r="G128" s="145"/>
      <c r="H128" s="145"/>
      <c r="I128" s="145"/>
      <c r="J128" s="145"/>
      <c r="K128" s="145"/>
      <c r="L128" s="145"/>
      <c r="M128" s="145"/>
      <c r="N128" s="145"/>
      <c r="O128" s="145"/>
      <c r="P128" s="145"/>
      <c r="Q128" s="145"/>
      <c r="R128" s="145"/>
      <c r="S128" s="145"/>
      <c r="T128" s="145"/>
    </row>
    <row r="129" customFormat="false" ht="22.5" hidden="false" customHeight="true" outlineLevel="0" collapsed="false">
      <c r="A129" s="180"/>
      <c r="B129" s="146"/>
      <c r="C129" s="145"/>
      <c r="D129" s="145"/>
      <c r="E129" s="145"/>
      <c r="F129" s="145"/>
      <c r="G129" s="145"/>
      <c r="H129" s="145"/>
      <c r="I129" s="145"/>
      <c r="J129" s="145"/>
      <c r="K129" s="145"/>
      <c r="L129" s="145"/>
      <c r="M129" s="145"/>
      <c r="N129" s="145"/>
      <c r="O129" s="145"/>
      <c r="P129" s="145"/>
      <c r="Q129" s="145"/>
      <c r="R129" s="145"/>
      <c r="S129" s="145"/>
      <c r="T129" s="145"/>
    </row>
    <row r="130" customFormat="false" ht="22.5" hidden="false" customHeight="true" outlineLevel="0" collapsed="false">
      <c r="A130" s="180"/>
      <c r="B130" s="146"/>
      <c r="C130" s="145"/>
      <c r="D130" s="145"/>
      <c r="E130" s="145"/>
      <c r="F130" s="145"/>
      <c r="G130" s="145"/>
      <c r="H130" s="145"/>
      <c r="I130" s="145"/>
      <c r="J130" s="145"/>
      <c r="K130" s="145"/>
      <c r="L130" s="145"/>
      <c r="M130" s="145"/>
      <c r="N130" s="145"/>
      <c r="O130" s="145"/>
      <c r="P130" s="145"/>
      <c r="Q130" s="145"/>
      <c r="R130" s="145"/>
      <c r="S130" s="145"/>
      <c r="T130" s="145"/>
    </row>
    <row r="131" customFormat="false" ht="22.5" hidden="false" customHeight="true" outlineLevel="0" collapsed="false">
      <c r="A131" s="180"/>
      <c r="B131" s="146"/>
      <c r="C131" s="145"/>
      <c r="D131" s="145"/>
      <c r="E131" s="145"/>
      <c r="F131" s="145"/>
      <c r="G131" s="145"/>
      <c r="H131" s="145"/>
      <c r="I131" s="145"/>
      <c r="J131" s="145"/>
      <c r="K131" s="145"/>
      <c r="L131" s="145"/>
      <c r="M131" s="145"/>
      <c r="N131" s="145"/>
      <c r="O131" s="145"/>
      <c r="P131" s="145"/>
      <c r="Q131" s="145"/>
      <c r="R131" s="145"/>
      <c r="S131" s="145"/>
      <c r="T131" s="145"/>
    </row>
    <row r="132" customFormat="false" ht="22.5" hidden="false" customHeight="true" outlineLevel="0" collapsed="false">
      <c r="A132" s="180"/>
      <c r="B132" s="146"/>
      <c r="C132" s="145"/>
      <c r="D132" s="145"/>
      <c r="E132" s="145"/>
      <c r="F132" s="145"/>
      <c r="G132" s="145"/>
      <c r="H132" s="145"/>
      <c r="I132" s="145"/>
      <c r="J132" s="145"/>
      <c r="K132" s="145"/>
      <c r="L132" s="145"/>
      <c r="M132" s="145"/>
      <c r="N132" s="145"/>
      <c r="O132" s="145"/>
      <c r="P132" s="145"/>
      <c r="Q132" s="145"/>
      <c r="R132" s="145"/>
      <c r="S132" s="145"/>
      <c r="T132" s="145"/>
    </row>
    <row r="133" customFormat="false" ht="22.5" hidden="false" customHeight="true" outlineLevel="0" collapsed="false">
      <c r="A133" s="180"/>
      <c r="B133" s="146"/>
      <c r="C133" s="145"/>
      <c r="D133" s="145"/>
      <c r="E133" s="145"/>
      <c r="F133" s="145"/>
      <c r="G133" s="145"/>
      <c r="H133" s="145"/>
      <c r="I133" s="145"/>
      <c r="J133" s="145"/>
      <c r="K133" s="145"/>
      <c r="L133" s="145"/>
      <c r="M133" s="145"/>
      <c r="N133" s="145"/>
      <c r="O133" s="145"/>
      <c r="P133" s="145"/>
      <c r="Q133" s="145"/>
      <c r="R133" s="145"/>
      <c r="S133" s="145"/>
      <c r="T133" s="145"/>
    </row>
    <row r="134" customFormat="false" ht="22.5" hidden="false" customHeight="true" outlineLevel="0" collapsed="false">
      <c r="A134" s="180"/>
      <c r="B134" s="146"/>
      <c r="C134" s="145"/>
      <c r="D134" s="145"/>
      <c r="E134" s="145"/>
      <c r="F134" s="145"/>
      <c r="G134" s="145"/>
      <c r="H134" s="145"/>
      <c r="I134" s="145"/>
      <c r="J134" s="145"/>
      <c r="K134" s="145"/>
      <c r="L134" s="145"/>
      <c r="M134" s="145"/>
      <c r="N134" s="145"/>
      <c r="O134" s="145"/>
      <c r="P134" s="145"/>
      <c r="Q134" s="145"/>
      <c r="R134" s="145"/>
      <c r="S134" s="145"/>
      <c r="T134" s="145"/>
    </row>
    <row r="135" customFormat="false" ht="22.5" hidden="false" customHeight="true" outlineLevel="0" collapsed="false">
      <c r="A135" s="180"/>
      <c r="B135" s="146"/>
      <c r="C135" s="145"/>
      <c r="D135" s="145"/>
      <c r="E135" s="145"/>
      <c r="F135" s="145"/>
      <c r="G135" s="145"/>
      <c r="H135" s="145"/>
      <c r="I135" s="145"/>
      <c r="J135" s="145"/>
      <c r="K135" s="145"/>
      <c r="L135" s="145"/>
      <c r="M135" s="145"/>
      <c r="N135" s="145"/>
      <c r="O135" s="145"/>
      <c r="P135" s="145"/>
      <c r="Q135" s="145"/>
      <c r="R135" s="145"/>
      <c r="S135" s="145"/>
      <c r="T135" s="145"/>
    </row>
    <row r="136" customFormat="false" ht="22.5" hidden="false" customHeight="true" outlineLevel="0" collapsed="false">
      <c r="A136" s="180"/>
      <c r="B136" s="146"/>
      <c r="C136" s="145"/>
      <c r="D136" s="145"/>
      <c r="E136" s="145"/>
      <c r="F136" s="145"/>
      <c r="G136" s="145"/>
      <c r="H136" s="145"/>
      <c r="I136" s="145"/>
      <c r="J136" s="145"/>
      <c r="K136" s="145"/>
      <c r="L136" s="145"/>
      <c r="M136" s="145"/>
      <c r="N136" s="145"/>
      <c r="O136" s="145"/>
      <c r="P136" s="145"/>
      <c r="Q136" s="145"/>
      <c r="R136" s="145"/>
      <c r="S136" s="145"/>
      <c r="T136" s="145"/>
    </row>
    <row r="137" customFormat="false" ht="22.5" hidden="false" customHeight="true" outlineLevel="0" collapsed="false">
      <c r="A137" s="180"/>
      <c r="B137" s="146"/>
      <c r="C137" s="145"/>
      <c r="D137" s="145"/>
      <c r="E137" s="145"/>
      <c r="F137" s="145"/>
      <c r="G137" s="145"/>
      <c r="H137" s="145"/>
      <c r="I137" s="145"/>
      <c r="J137" s="145"/>
      <c r="K137" s="145"/>
      <c r="L137" s="145"/>
      <c r="M137" s="145"/>
      <c r="N137" s="145"/>
      <c r="O137" s="145"/>
      <c r="P137" s="145"/>
      <c r="Q137" s="145"/>
      <c r="R137" s="145"/>
      <c r="S137" s="145"/>
      <c r="T137" s="145"/>
    </row>
    <row r="138" customFormat="false" ht="22.5" hidden="false" customHeight="true" outlineLevel="0" collapsed="false">
      <c r="A138" s="180"/>
      <c r="B138" s="146"/>
      <c r="C138" s="145"/>
      <c r="D138" s="145"/>
      <c r="E138" s="145"/>
      <c r="F138" s="145"/>
      <c r="G138" s="145"/>
      <c r="H138" s="145"/>
      <c r="I138" s="145"/>
      <c r="J138" s="145"/>
      <c r="K138" s="145"/>
      <c r="L138" s="145"/>
      <c r="M138" s="145"/>
      <c r="N138" s="145"/>
      <c r="O138" s="145"/>
      <c r="P138" s="145"/>
      <c r="Q138" s="145"/>
      <c r="R138" s="145"/>
      <c r="S138" s="145"/>
      <c r="T138" s="145"/>
    </row>
    <row r="139" customFormat="false" ht="22.5" hidden="false" customHeight="true" outlineLevel="0" collapsed="false">
      <c r="A139" s="180"/>
      <c r="B139" s="146"/>
      <c r="C139" s="145"/>
      <c r="D139" s="145"/>
      <c r="E139" s="145"/>
      <c r="F139" s="145"/>
      <c r="G139" s="145"/>
      <c r="H139" s="145"/>
      <c r="I139" s="145"/>
      <c r="J139" s="145"/>
      <c r="K139" s="145"/>
      <c r="L139" s="145"/>
      <c r="M139" s="145"/>
      <c r="N139" s="145"/>
      <c r="O139" s="145"/>
      <c r="P139" s="145"/>
      <c r="Q139" s="145"/>
      <c r="R139" s="145"/>
      <c r="S139" s="145"/>
      <c r="T139" s="145"/>
    </row>
    <row r="140" customFormat="false" ht="22.5" hidden="false" customHeight="true" outlineLevel="0" collapsed="false">
      <c r="A140" s="180"/>
      <c r="B140" s="146"/>
      <c r="C140" s="145"/>
      <c r="D140" s="145"/>
      <c r="E140" s="145"/>
      <c r="F140" s="145"/>
      <c r="G140" s="145"/>
      <c r="H140" s="145"/>
      <c r="I140" s="145"/>
      <c r="J140" s="145"/>
      <c r="K140" s="145"/>
      <c r="L140" s="145"/>
      <c r="M140" s="145"/>
      <c r="N140" s="145"/>
      <c r="O140" s="145"/>
      <c r="P140" s="145"/>
      <c r="Q140" s="145"/>
      <c r="R140" s="145"/>
      <c r="S140" s="145"/>
      <c r="T140" s="145"/>
    </row>
    <row r="141" customFormat="false" ht="22.5" hidden="false" customHeight="true" outlineLevel="0" collapsed="false">
      <c r="A141" s="180"/>
      <c r="B141" s="146"/>
      <c r="C141" s="145"/>
      <c r="D141" s="145"/>
      <c r="E141" s="145"/>
      <c r="F141" s="145"/>
      <c r="G141" s="145"/>
      <c r="H141" s="145"/>
      <c r="I141" s="145"/>
      <c r="J141" s="145"/>
      <c r="K141" s="145"/>
      <c r="L141" s="145"/>
      <c r="M141" s="145"/>
      <c r="N141" s="145"/>
      <c r="O141" s="145"/>
      <c r="P141" s="145"/>
      <c r="Q141" s="145"/>
      <c r="R141" s="145"/>
      <c r="S141" s="145"/>
      <c r="T141" s="145"/>
    </row>
    <row r="142" customFormat="false" ht="22.5" hidden="false" customHeight="true" outlineLevel="0" collapsed="false">
      <c r="A142" s="180"/>
      <c r="B142" s="146"/>
      <c r="C142" s="145"/>
      <c r="D142" s="145"/>
      <c r="E142" s="145"/>
      <c r="F142" s="145"/>
      <c r="G142" s="145"/>
      <c r="H142" s="145"/>
      <c r="I142" s="145"/>
      <c r="J142" s="145"/>
      <c r="K142" s="145"/>
      <c r="L142" s="145"/>
      <c r="M142" s="145"/>
      <c r="N142" s="145"/>
      <c r="O142" s="145"/>
      <c r="P142" s="145"/>
      <c r="Q142" s="145"/>
      <c r="R142" s="145"/>
      <c r="S142" s="145"/>
      <c r="T142" s="145"/>
    </row>
    <row r="143" customFormat="false" ht="22.5" hidden="false" customHeight="true" outlineLevel="0" collapsed="false">
      <c r="A143" s="180"/>
      <c r="B143" s="146"/>
      <c r="C143" s="145"/>
      <c r="D143" s="145"/>
      <c r="E143" s="145"/>
      <c r="F143" s="145"/>
      <c r="G143" s="145"/>
      <c r="H143" s="145"/>
      <c r="I143" s="145"/>
      <c r="J143" s="145"/>
      <c r="K143" s="145"/>
      <c r="L143" s="145"/>
      <c r="M143" s="145"/>
      <c r="N143" s="145"/>
      <c r="O143" s="145"/>
      <c r="P143" s="145"/>
      <c r="Q143" s="145"/>
      <c r="R143" s="145"/>
      <c r="S143" s="145"/>
      <c r="T143" s="145"/>
    </row>
    <row r="144" customFormat="false" ht="22.5" hidden="false" customHeight="true" outlineLevel="0" collapsed="false">
      <c r="A144" s="180"/>
      <c r="B144" s="146"/>
      <c r="C144" s="145"/>
      <c r="D144" s="145"/>
      <c r="E144" s="145"/>
      <c r="F144" s="145"/>
      <c r="G144" s="145"/>
      <c r="H144" s="145"/>
      <c r="I144" s="145"/>
      <c r="J144" s="145"/>
      <c r="K144" s="145"/>
      <c r="L144" s="145"/>
      <c r="M144" s="145"/>
      <c r="N144" s="145"/>
      <c r="O144" s="145"/>
      <c r="P144" s="145"/>
      <c r="Q144" s="145"/>
      <c r="R144" s="145"/>
      <c r="S144" s="145"/>
      <c r="T144" s="145"/>
    </row>
    <row r="145" customFormat="false" ht="22.5" hidden="false" customHeight="true" outlineLevel="0" collapsed="false">
      <c r="A145" s="180"/>
      <c r="B145" s="146"/>
      <c r="C145" s="145"/>
      <c r="D145" s="145"/>
      <c r="E145" s="145"/>
      <c r="F145" s="145"/>
      <c r="G145" s="145"/>
      <c r="H145" s="145"/>
      <c r="I145" s="145"/>
      <c r="J145" s="145"/>
      <c r="K145" s="145"/>
      <c r="L145" s="145"/>
      <c r="M145" s="145"/>
      <c r="N145" s="145"/>
      <c r="O145" s="145"/>
      <c r="P145" s="145"/>
      <c r="Q145" s="145"/>
      <c r="R145" s="145"/>
      <c r="S145" s="145"/>
      <c r="T145" s="145"/>
    </row>
    <row r="146" customFormat="false" ht="22.5" hidden="false" customHeight="true" outlineLevel="0" collapsed="false">
      <c r="A146" s="180"/>
      <c r="B146" s="146"/>
      <c r="C146" s="145"/>
      <c r="D146" s="145"/>
      <c r="E146" s="145"/>
      <c r="F146" s="145"/>
      <c r="G146" s="145"/>
      <c r="H146" s="145"/>
      <c r="I146" s="145"/>
      <c r="J146" s="145"/>
      <c r="K146" s="145"/>
      <c r="L146" s="145"/>
      <c r="M146" s="145"/>
      <c r="N146" s="145"/>
      <c r="O146" s="145"/>
      <c r="P146" s="145"/>
      <c r="Q146" s="145"/>
      <c r="R146" s="145"/>
      <c r="S146" s="145"/>
      <c r="T146" s="145"/>
    </row>
    <row r="147" customFormat="false" ht="22.5" hidden="false" customHeight="true" outlineLevel="0" collapsed="false">
      <c r="A147" s="180"/>
      <c r="B147" s="146"/>
      <c r="C147" s="145"/>
      <c r="D147" s="145"/>
      <c r="E147" s="145"/>
      <c r="F147" s="145"/>
      <c r="G147" s="145"/>
      <c r="H147" s="145"/>
      <c r="I147" s="145"/>
      <c r="J147" s="145"/>
      <c r="K147" s="145"/>
      <c r="L147" s="145"/>
      <c r="M147" s="145"/>
      <c r="N147" s="145"/>
      <c r="O147" s="145"/>
      <c r="P147" s="145"/>
      <c r="Q147" s="145"/>
      <c r="R147" s="145"/>
      <c r="S147" s="145"/>
      <c r="T147" s="145"/>
    </row>
    <row r="148" customFormat="false" ht="22.5" hidden="false" customHeight="true" outlineLevel="0" collapsed="false">
      <c r="A148" s="180"/>
      <c r="B148" s="146"/>
      <c r="C148" s="145"/>
      <c r="D148" s="145"/>
      <c r="E148" s="145"/>
      <c r="F148" s="145"/>
      <c r="G148" s="145"/>
      <c r="H148" s="145"/>
      <c r="I148" s="145"/>
      <c r="J148" s="145"/>
      <c r="K148" s="145"/>
      <c r="L148" s="145"/>
      <c r="M148" s="145"/>
      <c r="N148" s="145"/>
      <c r="O148" s="145"/>
      <c r="P148" s="145"/>
      <c r="Q148" s="145"/>
      <c r="R148" s="145"/>
      <c r="S148" s="145"/>
      <c r="T148" s="145"/>
    </row>
    <row r="149" customFormat="false" ht="22.5" hidden="false" customHeight="true" outlineLevel="0" collapsed="false">
      <c r="A149" s="180"/>
      <c r="B149" s="146"/>
      <c r="C149" s="145"/>
      <c r="D149" s="145"/>
      <c r="E149" s="145"/>
      <c r="F149" s="145"/>
      <c r="G149" s="145"/>
      <c r="H149" s="145"/>
      <c r="I149" s="145"/>
      <c r="J149" s="145"/>
      <c r="K149" s="145"/>
      <c r="L149" s="145"/>
      <c r="M149" s="145"/>
      <c r="N149" s="145"/>
      <c r="O149" s="145"/>
      <c r="P149" s="145"/>
      <c r="Q149" s="145"/>
      <c r="R149" s="145"/>
      <c r="S149" s="145"/>
      <c r="T149" s="145"/>
    </row>
    <row r="150" customFormat="false" ht="22.5" hidden="false" customHeight="true" outlineLevel="0" collapsed="false">
      <c r="A150" s="180"/>
      <c r="B150" s="146"/>
      <c r="C150" s="145"/>
      <c r="D150" s="145"/>
      <c r="E150" s="145"/>
      <c r="F150" s="145"/>
      <c r="G150" s="145"/>
      <c r="H150" s="145"/>
      <c r="I150" s="145"/>
      <c r="J150" s="145"/>
      <c r="K150" s="145"/>
      <c r="L150" s="145"/>
      <c r="M150" s="145"/>
      <c r="N150" s="145"/>
      <c r="O150" s="145"/>
      <c r="P150" s="145"/>
      <c r="Q150" s="145"/>
      <c r="R150" s="145"/>
      <c r="S150" s="145"/>
      <c r="T150" s="145"/>
    </row>
    <row r="151" customFormat="false" ht="22.5" hidden="false" customHeight="true" outlineLevel="0" collapsed="false">
      <c r="A151" s="180"/>
      <c r="B151" s="146"/>
      <c r="C151" s="145"/>
      <c r="D151" s="145"/>
      <c r="E151" s="145"/>
      <c r="F151" s="145"/>
      <c r="G151" s="145"/>
      <c r="H151" s="145"/>
      <c r="I151" s="145"/>
      <c r="J151" s="145"/>
      <c r="K151" s="145"/>
      <c r="L151" s="145"/>
      <c r="M151" s="145"/>
      <c r="N151" s="145"/>
      <c r="O151" s="145"/>
      <c r="P151" s="145"/>
      <c r="Q151" s="145"/>
      <c r="R151" s="145"/>
      <c r="S151" s="145"/>
      <c r="T151" s="145"/>
    </row>
    <row r="152" customFormat="false" ht="22.5" hidden="false" customHeight="true" outlineLevel="0" collapsed="false">
      <c r="A152" s="180"/>
      <c r="B152" s="146"/>
      <c r="C152" s="145"/>
      <c r="D152" s="145"/>
      <c r="E152" s="145"/>
      <c r="F152" s="145"/>
      <c r="G152" s="145"/>
      <c r="H152" s="145"/>
      <c r="I152" s="145"/>
      <c r="J152" s="145"/>
      <c r="K152" s="145"/>
      <c r="L152" s="145"/>
      <c r="M152" s="145"/>
      <c r="N152" s="145"/>
      <c r="O152" s="145"/>
      <c r="P152" s="145"/>
      <c r="Q152" s="145"/>
      <c r="R152" s="145"/>
      <c r="S152" s="145"/>
      <c r="T152" s="145"/>
    </row>
    <row r="153" customFormat="false" ht="22.5" hidden="false" customHeight="true" outlineLevel="0" collapsed="false">
      <c r="A153" s="180"/>
      <c r="B153" s="146"/>
      <c r="C153" s="145"/>
      <c r="D153" s="145"/>
      <c r="E153" s="145"/>
      <c r="F153" s="145"/>
      <c r="G153" s="145"/>
      <c r="H153" s="145"/>
      <c r="I153" s="145"/>
      <c r="J153" s="145"/>
      <c r="K153" s="145"/>
      <c r="L153" s="145"/>
      <c r="M153" s="145"/>
      <c r="N153" s="145"/>
      <c r="O153" s="145"/>
      <c r="P153" s="145"/>
      <c r="Q153" s="145"/>
      <c r="R153" s="145"/>
      <c r="S153" s="145"/>
      <c r="T153" s="145"/>
    </row>
    <row r="154" customFormat="false" ht="22.5" hidden="false" customHeight="true" outlineLevel="0" collapsed="false">
      <c r="A154" s="180"/>
      <c r="B154" s="146"/>
      <c r="C154" s="145"/>
      <c r="D154" s="145"/>
      <c r="E154" s="145"/>
      <c r="F154" s="145"/>
      <c r="G154" s="145"/>
      <c r="H154" s="145"/>
      <c r="I154" s="145"/>
      <c r="J154" s="145"/>
      <c r="K154" s="145"/>
      <c r="L154" s="145"/>
      <c r="M154" s="145"/>
      <c r="N154" s="145"/>
      <c r="O154" s="145"/>
      <c r="P154" s="145"/>
      <c r="Q154" s="145"/>
      <c r="R154" s="145"/>
      <c r="S154" s="145"/>
      <c r="T154" s="145"/>
    </row>
    <row r="155" customFormat="false" ht="22.5" hidden="false" customHeight="true" outlineLevel="0" collapsed="false">
      <c r="A155" s="180"/>
      <c r="B155" s="146"/>
      <c r="C155" s="145"/>
      <c r="D155" s="145"/>
      <c r="E155" s="145"/>
      <c r="F155" s="145"/>
      <c r="G155" s="145"/>
      <c r="H155" s="145"/>
      <c r="I155" s="145"/>
      <c r="J155" s="145"/>
      <c r="K155" s="145"/>
      <c r="L155" s="145"/>
      <c r="M155" s="145"/>
      <c r="N155" s="145"/>
      <c r="O155" s="145"/>
      <c r="P155" s="145"/>
      <c r="Q155" s="145"/>
      <c r="R155" s="145"/>
      <c r="S155" s="145"/>
      <c r="T155" s="145"/>
    </row>
    <row r="156" customFormat="false" ht="22.5" hidden="false" customHeight="true" outlineLevel="0" collapsed="false">
      <c r="A156" s="180"/>
      <c r="B156" s="146"/>
      <c r="C156" s="145"/>
      <c r="D156" s="145"/>
      <c r="E156" s="145"/>
      <c r="F156" s="145"/>
      <c r="G156" s="145"/>
      <c r="H156" s="145"/>
      <c r="I156" s="145"/>
      <c r="J156" s="145"/>
      <c r="K156" s="145"/>
      <c r="L156" s="145"/>
      <c r="M156" s="145"/>
      <c r="N156" s="145"/>
      <c r="O156" s="145"/>
      <c r="P156" s="145"/>
      <c r="Q156" s="145"/>
      <c r="R156" s="145"/>
      <c r="S156" s="145"/>
      <c r="T156" s="145"/>
    </row>
    <row r="157" customFormat="false" ht="22.5" hidden="false" customHeight="true" outlineLevel="0" collapsed="false">
      <c r="A157" s="180"/>
      <c r="B157" s="146"/>
      <c r="C157" s="145"/>
      <c r="D157" s="145"/>
      <c r="E157" s="145"/>
      <c r="F157" s="145"/>
      <c r="G157" s="145"/>
      <c r="H157" s="145"/>
      <c r="I157" s="145"/>
      <c r="J157" s="145"/>
      <c r="K157" s="145"/>
      <c r="L157" s="145"/>
      <c r="M157" s="145"/>
      <c r="N157" s="145"/>
      <c r="O157" s="145"/>
      <c r="P157" s="145"/>
      <c r="Q157" s="145"/>
      <c r="R157" s="145"/>
      <c r="S157" s="145"/>
      <c r="T157" s="145"/>
    </row>
    <row r="158" customFormat="false" ht="22.5" hidden="false" customHeight="true" outlineLevel="0" collapsed="false">
      <c r="A158" s="182"/>
      <c r="B158" s="149"/>
      <c r="C158" s="100"/>
      <c r="D158" s="100"/>
      <c r="E158" s="100"/>
      <c r="F158" s="100"/>
      <c r="G158" s="100"/>
      <c r="H158" s="100"/>
      <c r="I158" s="100"/>
      <c r="J158" s="100"/>
      <c r="K158" s="100"/>
      <c r="L158" s="100"/>
      <c r="M158" s="100"/>
      <c r="N158" s="100"/>
      <c r="O158" s="100"/>
      <c r="P158" s="100"/>
      <c r="Q158" s="100"/>
      <c r="R158" s="150"/>
      <c r="S158" s="100"/>
    </row>
    <row r="159" customFormat="false" ht="22.5" hidden="false" customHeight="true" outlineLevel="0" collapsed="false">
      <c r="A159" s="182"/>
      <c r="B159" s="149"/>
      <c r="C159" s="100"/>
      <c r="D159" s="100"/>
      <c r="E159" s="100"/>
      <c r="F159" s="100"/>
      <c r="G159" s="100"/>
      <c r="H159" s="100"/>
      <c r="I159" s="100"/>
      <c r="J159" s="100"/>
      <c r="K159" s="100"/>
      <c r="L159" s="100"/>
      <c r="M159" s="100"/>
      <c r="N159" s="100"/>
      <c r="O159" s="100"/>
      <c r="P159" s="100"/>
      <c r="Q159" s="100"/>
      <c r="R159" s="150"/>
      <c r="S159" s="100"/>
    </row>
    <row r="160" customFormat="false" ht="22.5" hidden="false" customHeight="true" outlineLevel="0" collapsed="false">
      <c r="A160" s="182"/>
      <c r="B160" s="149"/>
      <c r="C160" s="100"/>
      <c r="D160" s="100"/>
      <c r="E160" s="100"/>
      <c r="F160" s="100"/>
      <c r="G160" s="100"/>
      <c r="H160" s="100"/>
      <c r="I160" s="100"/>
      <c r="J160" s="100"/>
      <c r="K160" s="100"/>
      <c r="L160" s="100"/>
      <c r="M160" s="100"/>
      <c r="N160" s="100"/>
      <c r="O160" s="100"/>
      <c r="P160" s="100"/>
      <c r="Q160" s="100"/>
      <c r="R160" s="150"/>
      <c r="S160" s="100"/>
    </row>
    <row r="161" s="100" customFormat="true" ht="22.5" hidden="false" customHeight="true" outlineLevel="0" collapsed="false">
      <c r="A161" s="182"/>
      <c r="B161" s="149"/>
      <c r="R161" s="150"/>
    </row>
    <row r="162" s="100" customFormat="true" ht="22.5" hidden="false" customHeight="true" outlineLevel="0" collapsed="false">
      <c r="A162" s="182"/>
      <c r="B162" s="149"/>
      <c r="R162" s="150"/>
    </row>
    <row r="163" s="100" customFormat="true" ht="22.5" hidden="false" customHeight="true" outlineLevel="0" collapsed="false">
      <c r="A163" s="182"/>
      <c r="B163" s="149"/>
      <c r="R163" s="150"/>
    </row>
    <row r="164" s="100" customFormat="true" ht="22.5" hidden="false" customHeight="true" outlineLevel="0" collapsed="false">
      <c r="A164" s="182"/>
      <c r="B164" s="149"/>
      <c r="R164" s="150"/>
    </row>
    <row r="165" s="100" customFormat="true" ht="22.5" hidden="false" customHeight="true" outlineLevel="0" collapsed="false">
      <c r="A165" s="182"/>
      <c r="B165" s="149"/>
      <c r="R165" s="150"/>
    </row>
    <row r="166" s="100" customFormat="true" ht="22.5" hidden="false" customHeight="true" outlineLevel="0" collapsed="false">
      <c r="A166" s="182"/>
      <c r="B166" s="149"/>
      <c r="R166" s="150"/>
    </row>
    <row r="167" s="100" customFormat="true" ht="22.5" hidden="false" customHeight="true" outlineLevel="0" collapsed="false">
      <c r="A167" s="182"/>
      <c r="B167" s="149"/>
      <c r="R167" s="150"/>
    </row>
    <row r="168" s="100" customFormat="true" ht="22.5" hidden="false" customHeight="true" outlineLevel="0" collapsed="false">
      <c r="A168" s="182"/>
      <c r="B168" s="149"/>
      <c r="R168" s="150"/>
    </row>
    <row r="169" s="100" customFormat="true" ht="22.5" hidden="false" customHeight="true" outlineLevel="0" collapsed="false">
      <c r="A169" s="182"/>
      <c r="B169" s="149"/>
      <c r="R169" s="150"/>
    </row>
    <row r="170" s="100" customFormat="true" ht="22.5" hidden="false" customHeight="true" outlineLevel="0" collapsed="false">
      <c r="A170" s="182"/>
      <c r="B170" s="149"/>
      <c r="R170" s="150"/>
    </row>
    <row r="171" s="100" customFormat="true" ht="15" hidden="false" customHeight="false" outlineLevel="0" collapsed="false">
      <c r="A171" s="182"/>
      <c r="B171" s="149"/>
      <c r="R171" s="150"/>
    </row>
    <row r="172" s="100" customFormat="true" ht="15" hidden="false" customHeight="false" outlineLevel="0" collapsed="false">
      <c r="A172" s="182"/>
      <c r="B172" s="149"/>
      <c r="R172" s="150"/>
    </row>
    <row r="173" s="100" customFormat="true" ht="15" hidden="false" customHeight="false" outlineLevel="0" collapsed="false">
      <c r="A173" s="182"/>
      <c r="B173" s="149"/>
      <c r="R173" s="150"/>
    </row>
    <row r="174" s="100" customFormat="true" ht="15" hidden="false" customHeight="false" outlineLevel="0" collapsed="false">
      <c r="A174" s="182"/>
      <c r="B174" s="149"/>
      <c r="R174" s="150"/>
    </row>
    <row r="175" s="100" customFormat="true" ht="15" hidden="false" customHeight="false" outlineLevel="0" collapsed="false">
      <c r="A175" s="182"/>
      <c r="B175" s="149"/>
      <c r="R175" s="150"/>
    </row>
    <row r="176" s="100" customFormat="true" ht="15" hidden="false" customHeight="false" outlineLevel="0" collapsed="false">
      <c r="A176" s="182"/>
      <c r="B176" s="149"/>
      <c r="R176" s="150"/>
    </row>
    <row r="177" s="100" customFormat="true" ht="15" hidden="false" customHeight="false" outlineLevel="0" collapsed="false">
      <c r="A177" s="182"/>
      <c r="B177" s="149"/>
      <c r="R177" s="150"/>
    </row>
    <row r="178" s="100" customFormat="true" ht="15" hidden="false" customHeight="false" outlineLevel="0" collapsed="false">
      <c r="A178" s="182"/>
      <c r="B178" s="149"/>
      <c r="R178" s="150"/>
    </row>
    <row r="179" s="100" customFormat="true" ht="15" hidden="false" customHeight="false" outlineLevel="0" collapsed="false">
      <c r="A179" s="182"/>
      <c r="B179" s="149"/>
      <c r="R179" s="150"/>
    </row>
    <row r="180" s="100" customFormat="true" ht="15" hidden="false" customHeight="false" outlineLevel="0" collapsed="false">
      <c r="A180" s="182"/>
      <c r="B180" s="149"/>
      <c r="R180" s="150"/>
    </row>
    <row r="181" s="100" customFormat="true" ht="15" hidden="false" customHeight="false" outlineLevel="0" collapsed="false">
      <c r="A181" s="182"/>
      <c r="B181" s="149"/>
      <c r="R181" s="150"/>
    </row>
    <row r="182" s="100" customFormat="true" ht="15" hidden="false" customHeight="false" outlineLevel="0" collapsed="false">
      <c r="A182" s="182"/>
      <c r="B182" s="149"/>
      <c r="R182" s="150"/>
    </row>
    <row r="183" s="100" customFormat="true" ht="15" hidden="false" customHeight="false" outlineLevel="0" collapsed="false">
      <c r="A183" s="182"/>
      <c r="B183" s="149"/>
      <c r="R183" s="150"/>
    </row>
    <row r="184" s="100" customFormat="true" ht="15" hidden="false" customHeight="false" outlineLevel="0" collapsed="false">
      <c r="A184" s="182"/>
      <c r="B184" s="149"/>
      <c r="R184" s="150"/>
    </row>
    <row r="185" s="100" customFormat="true" ht="15" hidden="false" customHeight="false" outlineLevel="0" collapsed="false">
      <c r="A185" s="182"/>
      <c r="B185" s="149"/>
      <c r="R185" s="150"/>
    </row>
    <row r="186" s="100" customFormat="true" ht="15" hidden="false" customHeight="false" outlineLevel="0" collapsed="false">
      <c r="A186" s="182"/>
      <c r="B186" s="149"/>
      <c r="R186" s="150"/>
    </row>
    <row r="187" s="100" customFormat="true" ht="15" hidden="false" customHeight="false" outlineLevel="0" collapsed="false">
      <c r="A187" s="182"/>
      <c r="B187" s="149"/>
      <c r="R187" s="150"/>
    </row>
    <row r="188" s="100" customFormat="true" ht="15" hidden="false" customHeight="false" outlineLevel="0" collapsed="false">
      <c r="A188" s="182"/>
      <c r="B188" s="149"/>
      <c r="R188" s="150"/>
    </row>
    <row r="189" s="100" customFormat="true" ht="15" hidden="false" customHeight="false" outlineLevel="0" collapsed="false">
      <c r="A189" s="182"/>
      <c r="B189" s="149"/>
      <c r="R189" s="150"/>
    </row>
    <row r="190" s="100" customFormat="true" ht="15" hidden="false" customHeight="false" outlineLevel="0" collapsed="false">
      <c r="A190" s="182"/>
      <c r="B190" s="149"/>
      <c r="R190" s="150"/>
    </row>
    <row r="191" s="100" customFormat="true" ht="15" hidden="false" customHeight="false" outlineLevel="0" collapsed="false">
      <c r="A191" s="182"/>
      <c r="B191" s="149"/>
      <c r="R191" s="150"/>
    </row>
    <row r="192" s="100" customFormat="true" ht="15" hidden="false" customHeight="false" outlineLevel="0" collapsed="false">
      <c r="A192" s="182"/>
      <c r="B192" s="149"/>
      <c r="R192" s="150"/>
    </row>
    <row r="193" customFormat="false" ht="16.5" hidden="false" customHeight="false" outlineLevel="0" collapsed="false">
      <c r="A193" s="182"/>
      <c r="B193" s="149"/>
      <c r="C193" s="100"/>
      <c r="D193" s="100"/>
      <c r="E193" s="100"/>
      <c r="F193" s="100"/>
      <c r="G193" s="100"/>
      <c r="H193" s="100"/>
      <c r="I193" s="100"/>
      <c r="J193" s="100"/>
      <c r="K193" s="100"/>
      <c r="L193" s="100"/>
      <c r="M193" s="100"/>
      <c r="N193" s="100"/>
      <c r="O193" s="100"/>
      <c r="P193" s="100"/>
      <c r="Q193" s="100"/>
      <c r="R193" s="150"/>
      <c r="S193" s="100"/>
    </row>
    <row r="194" customFormat="false" ht="16.5" hidden="false" customHeight="false" outlineLevel="0" collapsed="false">
      <c r="A194" s="182"/>
      <c r="B194" s="149"/>
      <c r="C194" s="100"/>
      <c r="D194" s="100"/>
      <c r="E194" s="100"/>
      <c r="F194" s="100"/>
      <c r="G194" s="100"/>
      <c r="H194" s="100"/>
      <c r="I194" s="100"/>
      <c r="J194" s="100"/>
      <c r="K194" s="100"/>
      <c r="L194" s="100"/>
      <c r="M194" s="100"/>
      <c r="N194" s="100"/>
      <c r="O194" s="100"/>
      <c r="P194" s="100"/>
      <c r="Q194" s="100"/>
      <c r="R194" s="150"/>
      <c r="S194" s="100"/>
    </row>
    <row r="195" customFormat="false" ht="16.5" hidden="false" customHeight="false" outlineLevel="0" collapsed="false">
      <c r="A195" s="182"/>
      <c r="B195" s="149"/>
      <c r="C195" s="100"/>
      <c r="D195" s="100"/>
      <c r="E195" s="100"/>
      <c r="F195" s="100"/>
      <c r="G195" s="100"/>
      <c r="H195" s="100"/>
      <c r="I195" s="100"/>
      <c r="J195" s="100"/>
      <c r="K195" s="100"/>
      <c r="L195" s="100"/>
      <c r="M195" s="100"/>
      <c r="N195" s="100"/>
      <c r="O195" s="100"/>
      <c r="P195" s="100"/>
      <c r="Q195" s="100"/>
      <c r="R195" s="150"/>
      <c r="S195" s="100"/>
    </row>
    <row r="196" customFormat="false" ht="16.5" hidden="false" customHeight="false" outlineLevel="0" collapsed="false">
      <c r="A196" s="182"/>
      <c r="B196" s="149"/>
      <c r="C196" s="100"/>
      <c r="D196" s="100"/>
      <c r="E196" s="100"/>
      <c r="F196" s="100"/>
      <c r="G196" s="100"/>
      <c r="H196" s="100"/>
      <c r="I196" s="100"/>
      <c r="J196" s="100"/>
      <c r="K196" s="100"/>
      <c r="L196" s="100"/>
      <c r="M196" s="100"/>
      <c r="N196" s="100"/>
      <c r="O196" s="100"/>
      <c r="P196" s="100"/>
      <c r="Q196" s="100"/>
      <c r="R196" s="150"/>
      <c r="S196" s="100"/>
    </row>
    <row r="197" customFormat="false" ht="16.5" hidden="false" customHeight="false" outlineLevel="0" collapsed="false">
      <c r="A197" s="182"/>
      <c r="B197" s="149"/>
      <c r="C197" s="100"/>
      <c r="D197" s="100"/>
      <c r="E197" s="100"/>
      <c r="F197" s="100"/>
      <c r="G197" s="100"/>
      <c r="H197" s="100"/>
      <c r="I197" s="100"/>
      <c r="J197" s="100"/>
      <c r="K197" s="100"/>
      <c r="L197" s="100"/>
      <c r="M197" s="100"/>
      <c r="N197" s="100"/>
      <c r="O197" s="100"/>
      <c r="P197" s="100"/>
      <c r="Q197" s="100"/>
      <c r="R197" s="150"/>
      <c r="S197" s="100"/>
    </row>
    <row r="198" customFormat="false" ht="16.5" hidden="false" customHeight="false" outlineLevel="0" collapsed="false">
      <c r="A198" s="182"/>
      <c r="B198" s="149"/>
      <c r="C198" s="100"/>
      <c r="D198" s="100"/>
      <c r="E198" s="100"/>
      <c r="F198" s="100"/>
      <c r="G198" s="100"/>
      <c r="H198" s="100"/>
      <c r="I198" s="100"/>
      <c r="J198" s="100"/>
      <c r="K198" s="100"/>
      <c r="L198" s="100"/>
      <c r="M198" s="100"/>
      <c r="N198" s="100"/>
      <c r="O198" s="100"/>
      <c r="P198" s="100"/>
      <c r="Q198" s="100"/>
      <c r="R198" s="150"/>
      <c r="S198" s="100"/>
    </row>
    <row r="199" customFormat="false" ht="16.5" hidden="false" customHeight="false" outlineLevel="0" collapsed="false">
      <c r="A199" s="182"/>
      <c r="B199" s="149"/>
      <c r="C199" s="100"/>
      <c r="D199" s="100"/>
      <c r="E199" s="100"/>
      <c r="F199" s="100"/>
      <c r="G199" s="100"/>
      <c r="H199" s="100"/>
      <c r="I199" s="100"/>
      <c r="J199" s="100"/>
      <c r="K199" s="100"/>
      <c r="L199" s="100"/>
      <c r="M199" s="100"/>
      <c r="N199" s="100"/>
      <c r="O199" s="100"/>
      <c r="P199" s="100"/>
      <c r="Q199" s="100"/>
      <c r="R199" s="150"/>
      <c r="S199" s="100"/>
    </row>
    <row r="200" customFormat="false" ht="16.5" hidden="false" customHeight="false" outlineLevel="0" collapsed="false">
      <c r="A200" s="182"/>
      <c r="B200" s="149"/>
      <c r="C200" s="100"/>
      <c r="D200" s="100"/>
      <c r="E200" s="100"/>
      <c r="F200" s="100"/>
      <c r="G200" s="100"/>
      <c r="H200" s="100"/>
      <c r="I200" s="100"/>
      <c r="J200" s="100"/>
      <c r="K200" s="100"/>
      <c r="L200" s="100"/>
      <c r="M200" s="100"/>
      <c r="N200" s="100"/>
      <c r="O200" s="100"/>
      <c r="P200" s="100"/>
      <c r="Q200" s="100"/>
      <c r="R200" s="150"/>
      <c r="S200" s="100"/>
    </row>
    <row r="201" customFormat="false" ht="16.5" hidden="false" customHeight="false" outlineLevel="0" collapsed="false">
      <c r="A201" s="182"/>
      <c r="B201" s="149"/>
      <c r="C201" s="100"/>
      <c r="D201" s="100"/>
      <c r="E201" s="100"/>
      <c r="F201" s="100"/>
      <c r="G201" s="100"/>
      <c r="H201" s="100"/>
      <c r="I201" s="100"/>
      <c r="J201" s="100"/>
      <c r="K201" s="100"/>
      <c r="L201" s="100"/>
      <c r="M201" s="100"/>
      <c r="N201" s="100"/>
      <c r="O201" s="100"/>
      <c r="P201" s="100"/>
      <c r="Q201" s="100"/>
      <c r="R201" s="150"/>
      <c r="S201" s="100"/>
    </row>
    <row r="202" customFormat="false" ht="16.5" hidden="false" customHeight="false" outlineLevel="0" collapsed="false">
      <c r="A202" s="182"/>
      <c r="B202" s="149"/>
      <c r="C202" s="100"/>
      <c r="D202" s="100"/>
      <c r="E202" s="100"/>
      <c r="F202" s="100"/>
      <c r="G202" s="100"/>
      <c r="H202" s="100"/>
      <c r="I202" s="100"/>
      <c r="J202" s="100"/>
      <c r="K202" s="100"/>
      <c r="L202" s="100"/>
      <c r="M202" s="100"/>
      <c r="N202" s="100"/>
      <c r="O202" s="100"/>
      <c r="P202" s="100"/>
      <c r="Q202" s="100"/>
      <c r="R202" s="150"/>
      <c r="S202" s="100"/>
    </row>
    <row r="203" customFormat="false" ht="16.5" hidden="false" customHeight="false" outlineLevel="0" collapsed="false">
      <c r="C203" s="121"/>
      <c r="D203" s="121"/>
      <c r="E203" s="121"/>
      <c r="F203" s="121"/>
      <c r="G203" s="121"/>
      <c r="H203" s="121"/>
      <c r="I203" s="121"/>
      <c r="J203" s="121"/>
      <c r="K203" s="121"/>
      <c r="L203" s="121"/>
      <c r="M203" s="121"/>
      <c r="N203" s="121"/>
      <c r="O203" s="121"/>
      <c r="P203" s="121"/>
      <c r="Q203" s="121"/>
      <c r="R203" s="122"/>
      <c r="S203" s="121"/>
      <c r="T203" s="121"/>
    </row>
    <row r="204" customFormat="false" ht="16.5" hidden="false" customHeight="false" outlineLevel="0" collapsed="false">
      <c r="C204" s="121"/>
      <c r="D204" s="121"/>
      <c r="E204" s="121"/>
      <c r="F204" s="121"/>
      <c r="G204" s="121"/>
      <c r="H204" s="121"/>
      <c r="I204" s="121"/>
      <c r="J204" s="121"/>
      <c r="K204" s="121"/>
      <c r="L204" s="121"/>
      <c r="M204" s="121"/>
      <c r="N204" s="121"/>
      <c r="O204" s="121"/>
      <c r="P204" s="121"/>
      <c r="Q204" s="121"/>
      <c r="R204" s="122"/>
      <c r="S204" s="121"/>
      <c r="T204" s="121"/>
    </row>
    <row r="205" customFormat="false" ht="16.5" hidden="false" customHeight="false" outlineLevel="0" collapsed="false">
      <c r="C205" s="121"/>
      <c r="D205" s="121"/>
      <c r="E205" s="121"/>
      <c r="F205" s="121"/>
      <c r="G205" s="121"/>
      <c r="H205" s="121"/>
      <c r="I205" s="121"/>
      <c r="J205" s="121"/>
      <c r="K205" s="121"/>
      <c r="L205" s="121"/>
      <c r="M205" s="121"/>
      <c r="N205" s="121"/>
      <c r="O205" s="121"/>
      <c r="P205" s="121"/>
      <c r="Q205" s="121"/>
      <c r="R205" s="122"/>
      <c r="S205" s="121"/>
      <c r="T205" s="121"/>
    </row>
    <row r="206" customFormat="false" ht="16.5" hidden="false" customHeight="false" outlineLevel="0" collapsed="false">
      <c r="C206" s="121"/>
      <c r="D206" s="121"/>
      <c r="E206" s="121"/>
      <c r="F206" s="121"/>
      <c r="G206" s="121"/>
      <c r="H206" s="121"/>
      <c r="I206" s="121"/>
      <c r="J206" s="121"/>
      <c r="K206" s="121"/>
      <c r="L206" s="121"/>
      <c r="M206" s="121"/>
      <c r="N206" s="121"/>
      <c r="O206" s="121"/>
      <c r="P206" s="121"/>
      <c r="Q206" s="121"/>
      <c r="R206" s="122"/>
      <c r="S206" s="121"/>
      <c r="T206" s="121"/>
    </row>
    <row r="207" customFormat="false" ht="16.5" hidden="false" customHeight="false" outlineLevel="0" collapsed="false">
      <c r="C207" s="121"/>
      <c r="D207" s="121"/>
      <c r="E207" s="121"/>
      <c r="F207" s="121"/>
      <c r="G207" s="121"/>
      <c r="H207" s="121"/>
      <c r="I207" s="121"/>
      <c r="J207" s="121"/>
      <c r="K207" s="121"/>
      <c r="L207" s="121"/>
      <c r="M207" s="121"/>
      <c r="N207" s="121"/>
      <c r="O207" s="121"/>
      <c r="P207" s="121"/>
      <c r="Q207" s="121"/>
      <c r="R207" s="122"/>
      <c r="S207" s="121"/>
      <c r="T207" s="121"/>
    </row>
  </sheetData>
  <mergeCells count="11">
    <mergeCell ref="C4:T4"/>
    <mergeCell ref="A5:A7"/>
    <mergeCell ref="B5:B7"/>
    <mergeCell ref="C5:G5"/>
    <mergeCell ref="H5:H7"/>
    <mergeCell ref="I5:N5"/>
    <mergeCell ref="P5:P7"/>
    <mergeCell ref="R5:R7"/>
    <mergeCell ref="T5:T7"/>
    <mergeCell ref="U5:U7"/>
    <mergeCell ref="V5:V7"/>
  </mergeCells>
  <dataValidations count="1">
    <dataValidation allowBlank="true" errorStyle="stop" operator="between" showDropDown="false" showErrorMessage="true" showInputMessage="true" sqref="A8:A31" type="list">
      <formula1>"SRN,LC,SSY"</formula1>
      <formula2>0</formula2>
    </dataValidation>
  </dataValidations>
  <printOptions headings="false" gridLines="false" gridLinesSet="true" horizontalCentered="false" verticalCentered="false"/>
  <pageMargins left="0.679861111111111" right="0.118055555555556" top="0" bottom="0.157638888888889" header="0.511811023622047" footer="0.511811023622047"/>
  <pageSetup paperSize="5" scale="49" fitToWidth="1" fitToHeight="1" pageOrder="downThenOver" orientation="landscape" blackAndWhite="false" draft="false" cellComments="none" horizontalDpi="300" verticalDpi="300" copies="1"/>
  <headerFooter differentFirst="false" differentOddEven="false">
    <oddHeader/>
    <oddFooter/>
  </headerFooter>
  <rowBreaks count="1" manualBreakCount="1">
    <brk id="35" man="true" max="16383" min="0"/>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192F"/>
    <pageSetUpPr fitToPage="false"/>
  </sheetPr>
  <dimension ref="A1:E4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2" topLeftCell="A12" activePane="bottomLeft" state="frozen"/>
      <selection pane="topLeft" activeCell="A1" activeCellId="0" sqref="A1"/>
      <selection pane="bottomLeft" activeCell="E24" activeCellId="0" sqref="E24"/>
    </sheetView>
  </sheetViews>
  <sheetFormatPr defaultColWidth="11.43359375" defaultRowHeight="12.75" customHeight="false" zeroHeight="false" outlineLevelRow="0" outlineLevelCol="0"/>
  <cols>
    <col collapsed="false" customWidth="true" hidden="false" outlineLevel="0" max="1" min="1" style="183" width="10.29"/>
    <col collapsed="false" customWidth="true" hidden="false" outlineLevel="0" max="2" min="2" style="184" width="48.86"/>
    <col collapsed="false" customWidth="true" hidden="false" outlineLevel="0" max="3" min="3" style="185" width="34.42"/>
    <col collapsed="false" customWidth="true" hidden="false" outlineLevel="0" max="4" min="4" style="186" width="24.71"/>
    <col collapsed="false" customWidth="true" hidden="false" outlineLevel="0" max="5" min="5" style="186" width="26"/>
    <col collapsed="false" customWidth="false" hidden="false" outlineLevel="0" max="16384" min="6" style="186" width="11.43"/>
  </cols>
  <sheetData>
    <row r="1" customFormat="false" ht="35.25" hidden="false" customHeight="true" outlineLevel="0" collapsed="false">
      <c r="A1" s="187" t="s">
        <v>175</v>
      </c>
      <c r="B1" s="187"/>
      <c r="C1" s="187"/>
      <c r="D1" s="187"/>
      <c r="E1" s="188" t="s">
        <v>176</v>
      </c>
    </row>
    <row r="2" s="192" customFormat="true" ht="31.5" hidden="false" customHeight="true" outlineLevel="0" collapsed="false">
      <c r="A2" s="189" t="s">
        <v>177</v>
      </c>
      <c r="B2" s="190" t="s">
        <v>178</v>
      </c>
      <c r="C2" s="191" t="s">
        <v>179</v>
      </c>
      <c r="D2" s="189" t="s">
        <v>180</v>
      </c>
      <c r="E2" s="191" t="s">
        <v>181</v>
      </c>
    </row>
    <row r="3" s="198" customFormat="true" ht="39" hidden="false" customHeight="true" outlineLevel="0" collapsed="false">
      <c r="A3" s="193" t="n">
        <v>1</v>
      </c>
      <c r="B3" s="194" t="s">
        <v>182</v>
      </c>
      <c r="C3" s="195" t="s">
        <v>183</v>
      </c>
      <c r="D3" s="196" t="s">
        <v>184</v>
      </c>
      <c r="E3" s="197" t="s">
        <v>185</v>
      </c>
    </row>
    <row r="4" s="198" customFormat="true" ht="40.5" hidden="false" customHeight="true" outlineLevel="0" collapsed="false">
      <c r="A4" s="193"/>
      <c r="B4" s="199" t="s">
        <v>186</v>
      </c>
      <c r="C4" s="200" t="s">
        <v>187</v>
      </c>
      <c r="D4" s="196" t="s">
        <v>188</v>
      </c>
      <c r="E4" s="201" t="s">
        <v>185</v>
      </c>
    </row>
    <row r="5" s="198" customFormat="true" ht="31.5" hidden="false" customHeight="true" outlineLevel="0" collapsed="false">
      <c r="A5" s="202" t="n">
        <v>2</v>
      </c>
      <c r="B5" s="203" t="s">
        <v>189</v>
      </c>
      <c r="C5" s="204" t="s">
        <v>190</v>
      </c>
      <c r="D5" s="205" t="s">
        <v>191</v>
      </c>
      <c r="E5" s="206"/>
    </row>
    <row r="6" s="198" customFormat="true" ht="31.5" hidden="false" customHeight="true" outlineLevel="0" collapsed="false">
      <c r="A6" s="202" t="n">
        <v>3</v>
      </c>
      <c r="B6" s="203" t="s">
        <v>192</v>
      </c>
      <c r="C6" s="204" t="s">
        <v>193</v>
      </c>
      <c r="D6" s="205" t="s">
        <v>194</v>
      </c>
      <c r="E6" s="207" t="s">
        <v>195</v>
      </c>
    </row>
    <row r="7" s="198" customFormat="true" ht="24.75" hidden="false" customHeight="true" outlineLevel="0" collapsed="false">
      <c r="A7" s="208" t="s">
        <v>196</v>
      </c>
      <c r="B7" s="209" t="s">
        <v>197</v>
      </c>
      <c r="D7" s="210" t="s">
        <v>198</v>
      </c>
      <c r="E7" s="211"/>
    </row>
    <row r="8" s="198" customFormat="true" ht="18" hidden="false" customHeight="true" outlineLevel="0" collapsed="false">
      <c r="A8" s="212"/>
      <c r="B8" s="213" t="s">
        <v>199</v>
      </c>
      <c r="D8" s="210"/>
      <c r="E8" s="211" t="s">
        <v>200</v>
      </c>
    </row>
    <row r="9" s="198" customFormat="true" ht="31.5" hidden="false" customHeight="true" outlineLevel="0" collapsed="false">
      <c r="A9" s="212"/>
      <c r="B9" s="213" t="s">
        <v>201</v>
      </c>
      <c r="C9" s="214" t="s">
        <v>22</v>
      </c>
      <c r="D9" s="210"/>
      <c r="E9" s="211" t="s">
        <v>200</v>
      </c>
    </row>
    <row r="10" s="198" customFormat="true" ht="21" hidden="false" customHeight="true" outlineLevel="0" collapsed="false">
      <c r="A10" s="212"/>
      <c r="B10" s="213" t="s">
        <v>202</v>
      </c>
      <c r="D10" s="210" t="s">
        <v>203</v>
      </c>
      <c r="E10" s="211" t="s">
        <v>204</v>
      </c>
    </row>
    <row r="11" s="198" customFormat="true" ht="20.25" hidden="false" customHeight="true" outlineLevel="0" collapsed="false">
      <c r="A11" s="193"/>
      <c r="B11" s="215" t="s">
        <v>35</v>
      </c>
      <c r="C11" s="216" t="s">
        <v>205</v>
      </c>
      <c r="D11" s="196"/>
      <c r="E11" s="217" t="s">
        <v>206</v>
      </c>
    </row>
    <row r="12" s="220" customFormat="true" ht="31.5" hidden="false" customHeight="true" outlineLevel="0" collapsed="false">
      <c r="A12" s="212" t="s">
        <v>207</v>
      </c>
      <c r="B12" s="209" t="s">
        <v>208</v>
      </c>
      <c r="C12" s="218"/>
      <c r="D12" s="210"/>
      <c r="E12" s="219"/>
    </row>
    <row r="13" s="220" customFormat="true" ht="26.25" hidden="false" customHeight="true" outlineLevel="0" collapsed="false">
      <c r="A13" s="193"/>
      <c r="B13" s="221" t="s">
        <v>209</v>
      </c>
      <c r="C13" s="216" t="s">
        <v>210</v>
      </c>
      <c r="D13" s="196"/>
      <c r="E13" s="217" t="s">
        <v>211</v>
      </c>
    </row>
    <row r="14" s="220" customFormat="true" ht="27.75" hidden="false" customHeight="true" outlineLevel="0" collapsed="false">
      <c r="A14" s="212" t="s">
        <v>212</v>
      </c>
      <c r="B14" s="209" t="s">
        <v>213</v>
      </c>
      <c r="C14" s="222"/>
      <c r="D14" s="210"/>
      <c r="E14" s="197"/>
    </row>
    <row r="15" s="220" customFormat="true" ht="37.5" hidden="false" customHeight="true" outlineLevel="0" collapsed="false">
      <c r="A15" s="212"/>
      <c r="B15" s="223" t="s">
        <v>214</v>
      </c>
      <c r="C15" s="214" t="s">
        <v>215</v>
      </c>
      <c r="D15" s="210"/>
      <c r="E15" s="207" t="s">
        <v>216</v>
      </c>
    </row>
    <row r="16" s="220" customFormat="true" ht="45.75" hidden="false" customHeight="true" outlineLevel="0" collapsed="false">
      <c r="A16" s="202" t="s">
        <v>217</v>
      </c>
      <c r="B16" s="203" t="s">
        <v>218</v>
      </c>
      <c r="C16" s="204" t="s">
        <v>219</v>
      </c>
      <c r="D16" s="205"/>
      <c r="E16" s="217" t="s">
        <v>220</v>
      </c>
    </row>
    <row r="17" s="220" customFormat="true" ht="24.75" hidden="false" customHeight="true" outlineLevel="0" collapsed="false">
      <c r="A17" s="212" t="s">
        <v>221</v>
      </c>
      <c r="B17" s="209" t="s">
        <v>222</v>
      </c>
      <c r="C17" s="222"/>
      <c r="D17" s="210"/>
      <c r="E17" s="211"/>
    </row>
    <row r="18" s="220" customFormat="true" ht="61.5" hidden="false" customHeight="true" outlineLevel="0" collapsed="false">
      <c r="A18" s="193"/>
      <c r="B18" s="223" t="s">
        <v>223</v>
      </c>
      <c r="C18" s="200" t="s">
        <v>224</v>
      </c>
      <c r="D18" s="196"/>
      <c r="E18" s="217" t="s">
        <v>225</v>
      </c>
    </row>
    <row r="19" s="220" customFormat="true" ht="47.25" hidden="false" customHeight="true" outlineLevel="0" collapsed="false">
      <c r="A19" s="202" t="s">
        <v>226</v>
      </c>
      <c r="B19" s="224" t="s">
        <v>227</v>
      </c>
      <c r="C19" s="200" t="s">
        <v>228</v>
      </c>
      <c r="D19" s="205"/>
      <c r="E19" s="217" t="s">
        <v>229</v>
      </c>
    </row>
    <row r="20" s="220" customFormat="true" ht="26.25" hidden="false" customHeight="true" outlineLevel="0" collapsed="false">
      <c r="A20" s="202" t="s">
        <v>230</v>
      </c>
      <c r="B20" s="224" t="s">
        <v>231</v>
      </c>
      <c r="C20" s="225" t="s">
        <v>28</v>
      </c>
      <c r="D20" s="205"/>
      <c r="E20" s="217" t="s">
        <v>232</v>
      </c>
    </row>
    <row r="21" s="220" customFormat="true" ht="19.5" hidden="false" customHeight="true" outlineLevel="0" collapsed="false">
      <c r="A21" s="212" t="s">
        <v>233</v>
      </c>
      <c r="B21" s="226" t="s">
        <v>234</v>
      </c>
      <c r="C21" s="222"/>
      <c r="D21" s="210"/>
      <c r="E21" s="197"/>
    </row>
    <row r="22" s="220" customFormat="true" ht="21.75" hidden="false" customHeight="true" outlineLevel="0" collapsed="false">
      <c r="A22" s="212"/>
      <c r="B22" s="223" t="s">
        <v>235</v>
      </c>
      <c r="C22" s="227" t="s">
        <v>236</v>
      </c>
      <c r="D22" s="210"/>
      <c r="E22" s="197" t="s">
        <v>237</v>
      </c>
    </row>
    <row r="23" s="220" customFormat="true" ht="16.5" hidden="false" customHeight="true" outlineLevel="0" collapsed="false">
      <c r="A23" s="228"/>
      <c r="B23" s="223" t="s">
        <v>238</v>
      </c>
      <c r="C23" s="227" t="s">
        <v>239</v>
      </c>
      <c r="D23" s="210"/>
      <c r="E23" s="197" t="s">
        <v>237</v>
      </c>
    </row>
    <row r="24" s="220" customFormat="true" ht="16.5" hidden="false" customHeight="true" outlineLevel="0" collapsed="false">
      <c r="A24" s="193"/>
      <c r="B24" s="221" t="s">
        <v>240</v>
      </c>
      <c r="C24" s="229" t="s">
        <v>241</v>
      </c>
      <c r="D24" s="196"/>
      <c r="E24" s="207" t="s">
        <v>237</v>
      </c>
    </row>
    <row r="25" s="220" customFormat="true" ht="16.5" hidden="false" customHeight="true" outlineLevel="0" collapsed="false">
      <c r="A25" s="202"/>
      <c r="B25" s="221"/>
      <c r="C25" s="230"/>
      <c r="D25" s="210"/>
      <c r="E25" s="231"/>
    </row>
    <row r="26" s="220" customFormat="true" ht="51.75" hidden="false" customHeight="true" outlineLevel="0" collapsed="false">
      <c r="A26" s="212" t="s">
        <v>242</v>
      </c>
      <c r="B26" s="226" t="s">
        <v>243</v>
      </c>
      <c r="C26" s="222"/>
      <c r="D26" s="210"/>
      <c r="E26" s="232"/>
    </row>
    <row r="27" s="233" customFormat="true" ht="51" hidden="false" customHeight="true" outlineLevel="0" collapsed="false">
      <c r="A27" s="193"/>
      <c r="B27" s="221" t="s">
        <v>244</v>
      </c>
      <c r="C27" s="200" t="s">
        <v>245</v>
      </c>
      <c r="D27" s="196"/>
      <c r="E27" s="207"/>
    </row>
    <row r="28" s="233" customFormat="true" ht="28.5" hidden="false" customHeight="true" outlineLevel="0" collapsed="false"/>
    <row r="29" s="233" customFormat="true" ht="27" hidden="false" customHeight="true" outlineLevel="0" collapsed="false">
      <c r="A29" s="234"/>
      <c r="B29" s="184"/>
      <c r="C29" s="235"/>
    </row>
    <row r="30" s="233" customFormat="true" ht="14.25" hidden="false" customHeight="false" outlineLevel="0" collapsed="false">
      <c r="A30" s="236"/>
      <c r="B30" s="184"/>
      <c r="C30" s="235"/>
      <c r="D30" s="186"/>
      <c r="E30" s="186"/>
    </row>
    <row r="31" customFormat="false" ht="12.75" hidden="false" customHeight="false" outlineLevel="0" collapsed="false">
      <c r="A31" s="236"/>
      <c r="C31" s="235"/>
    </row>
    <row r="32" customFormat="false" ht="23.25" hidden="false" customHeight="true" outlineLevel="0" collapsed="false">
      <c r="A32" s="236"/>
      <c r="C32" s="235"/>
    </row>
    <row r="33" customFormat="false" ht="22.5" hidden="false" customHeight="true" outlineLevel="0" collapsed="false">
      <c r="A33" s="236"/>
      <c r="C33" s="235"/>
    </row>
    <row r="34" customFormat="false" ht="12.75" hidden="false" customHeight="false" outlineLevel="0" collapsed="false">
      <c r="A34" s="236"/>
      <c r="C34" s="235"/>
    </row>
    <row r="35" customFormat="false" ht="21.75" hidden="false" customHeight="true" outlineLevel="0" collapsed="false">
      <c r="A35" s="236"/>
      <c r="C35" s="235"/>
    </row>
    <row r="36" customFormat="false" ht="12.75" hidden="false" customHeight="false" outlineLevel="0" collapsed="false">
      <c r="A36" s="236"/>
      <c r="C36" s="235"/>
    </row>
    <row r="37" customFormat="false" ht="12.75" hidden="false" customHeight="false" outlineLevel="0" collapsed="false">
      <c r="A37" s="236"/>
      <c r="C37" s="235"/>
    </row>
    <row r="38" customFormat="false" ht="12.75" hidden="false" customHeight="false" outlineLevel="0" collapsed="false">
      <c r="A38" s="236"/>
      <c r="C38" s="235"/>
    </row>
    <row r="39" customFormat="false" ht="12.75" hidden="false" customHeight="false" outlineLevel="0" collapsed="false">
      <c r="A39" s="236"/>
      <c r="C39" s="235"/>
    </row>
    <row r="40" customFormat="false" ht="12.75" hidden="false" customHeight="false" outlineLevel="0" collapsed="false">
      <c r="A40" s="236"/>
      <c r="C40" s="235"/>
    </row>
    <row r="41" customFormat="false" ht="12.75" hidden="false" customHeight="false" outlineLevel="0" collapsed="false">
      <c r="A41" s="236"/>
      <c r="C41" s="235"/>
    </row>
    <row r="42" customFormat="false" ht="12.75" hidden="false" customHeight="false" outlineLevel="0" collapsed="false">
      <c r="A42" s="236"/>
      <c r="C42" s="235"/>
    </row>
    <row r="43" customFormat="false" ht="12.75" hidden="false" customHeight="false" outlineLevel="0" collapsed="false">
      <c r="A43" s="236"/>
      <c r="C43" s="235"/>
    </row>
    <row r="44" customFormat="false" ht="12.75" hidden="false" customHeight="false" outlineLevel="0" collapsed="false">
      <c r="A44" s="236"/>
      <c r="C44" s="235"/>
    </row>
  </sheetData>
  <mergeCells count="1">
    <mergeCell ref="A1:D1"/>
  </mergeCells>
  <hyperlinks>
    <hyperlink ref="E1" location="'RESULTADO FINAL SOSTENIBILIDAD'!A1" display="Ir a Resultados Finales"/>
    <hyperlink ref="C3" location="Ind.Sostenib.!A1" display="Ind.Sostenib."/>
    <hyperlink ref="C4" location="'RESULTADO FINAL SOSTENIBILIDAD'!A1" display="Resultado Final"/>
    <hyperlink ref="C5" location="'Listado CAPS'!A1" display="Listado CAPS"/>
    <hyperlink ref="C6" location="'Conformación JD'!A1" display="Conformación JD"/>
    <hyperlink ref="C9" location="A.Org_CAPS!A1" display="A.Organización"/>
    <hyperlink ref="C11" location="' A.Legalización '!A1" display="A.Legalización"/>
    <hyperlink ref="C13" location="B.CapitalSocial!A1" display="B.CapitalSocial"/>
    <hyperlink ref="C15" location="C.AutoGestionCAPS!A1" display="C.AutoGestionCAPS"/>
    <hyperlink ref="C16" location="D.RecuperacióndeCostes!A1" display="D.RecuperacióndeCostes"/>
    <hyperlink ref="C18" location="E.OperaciónyMantenimiento!A1" display="E.Ope y Manten"/>
    <hyperlink ref="C19" location="F.SaludComunitaria!A1" display="F.Salud Comunit"/>
    <hyperlink ref="C20" location="'G.Rendición de cuentas'!A1" display="G.Rendición de cuentas"/>
    <hyperlink ref="C22" location="'H.1.Estado_Conserv MABE'!A1" display="H.1 Estado_Conserv MABE"/>
    <hyperlink ref="C23" location="H.2.Estado_Conserv.MAG!A1" display="H.2.Estado_Conserv.MAG"/>
    <hyperlink ref="C24" location="H.3.Estado_Conserv.Pozos!A1" display="H.3.Estado_Consev.Pozos"/>
    <hyperlink ref="C27" location="'I.Genero '!A1" display="I.Genero"/>
  </hyperlinks>
  <printOptions headings="false" gridLines="false" gridLinesSet="true" horizontalCentered="false" verticalCentered="false"/>
  <pageMargins left="0" right="0.118055555555556" top="0.551388888888889" bottom="0.551388888888889" header="0.511811023622047" footer="0.315277777777778"/>
  <pageSetup paperSize="1" scale="70" fitToWidth="1" fitToHeight="1" pageOrder="downThenOver" orientation="portrait" blackAndWhite="false" draft="false" cellComments="none" horizontalDpi="300" verticalDpi="300" copies="1"/>
  <headerFooter differentFirst="false" differentOddEven="false">
    <oddHeader/>
    <oddFooter>&amp;C&amp;PDE&amp;N&amp;R&amp;F</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3F75"/>
    <pageSetUpPr fitToPage="false"/>
  </sheetPr>
  <dimension ref="A1:K20"/>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selection pane="topLeft" activeCell="F5" activeCellId="0" sqref="F5"/>
    </sheetView>
  </sheetViews>
  <sheetFormatPr defaultColWidth="11.00390625" defaultRowHeight="15.75" customHeight="false" zeroHeight="false" outlineLevelRow="0" outlineLevelCol="0"/>
  <cols>
    <col collapsed="false" customWidth="true" hidden="false" outlineLevel="0" max="1" min="1" style="237" width="28.86"/>
    <col collapsed="false" customWidth="true" hidden="false" outlineLevel="0" max="2" min="2" style="145" width="12.42"/>
    <col collapsed="false" customWidth="true" hidden="false" outlineLevel="0" max="3" min="3" style="145" width="12.71"/>
    <col collapsed="false" customWidth="true" hidden="false" outlineLevel="0" max="4" min="4" style="145" width="14.14"/>
    <col collapsed="false" customWidth="true" hidden="false" outlineLevel="0" max="5" min="5" style="145" width="13.71"/>
    <col collapsed="false" customWidth="true" hidden="false" outlineLevel="0" max="6" min="6" style="145" width="16.14"/>
    <col collapsed="false" customWidth="true" hidden="false" outlineLevel="0" max="7" min="7" style="145" width="14.71"/>
    <col collapsed="false" customWidth="true" hidden="false" outlineLevel="0" max="8" min="8" style="145" width="14.57"/>
    <col collapsed="false" customWidth="true" hidden="false" outlineLevel="0" max="11" min="9" style="145" width="13.29"/>
    <col collapsed="false" customWidth="true" hidden="false" outlineLevel="0" max="13" min="13" style="238" width="14.29"/>
    <col collapsed="false" customWidth="true" hidden="false" outlineLevel="0" max="14" min="14" style="238" width="12.42"/>
  </cols>
  <sheetData>
    <row r="1" customFormat="false" ht="27.75" hidden="false" customHeight="true" outlineLevel="0" collapsed="false">
      <c r="A1" s="188" t="s">
        <v>246</v>
      </c>
      <c r="B1" s="239"/>
      <c r="E1" s="240"/>
      <c r="F1" s="241" t="s">
        <v>247</v>
      </c>
      <c r="G1" s="240"/>
      <c r="I1" s="242"/>
      <c r="J1" s="243" t="s">
        <v>176</v>
      </c>
      <c r="K1" s="243"/>
    </row>
    <row r="2" customFormat="false" ht="15.75" hidden="false" customHeight="false" outlineLevel="0" collapsed="false">
      <c r="B2" s="239"/>
      <c r="I2" s="244"/>
      <c r="J2" s="244"/>
      <c r="K2" s="244"/>
    </row>
    <row r="3" customFormat="false" ht="19.7" hidden="false" customHeight="false" outlineLevel="0" collapsed="false">
      <c r="A3" s="245" t="s">
        <v>75</v>
      </c>
      <c r="B3" s="245"/>
      <c r="C3" s="245"/>
      <c r="D3" s="245"/>
      <c r="E3" s="245"/>
      <c r="F3" s="245"/>
      <c r="G3" s="245"/>
      <c r="H3" s="245"/>
      <c r="I3" s="245"/>
      <c r="J3" s="245"/>
      <c r="K3" s="245"/>
    </row>
    <row r="4" customFormat="false" ht="35.05" hidden="false" customHeight="false" outlineLevel="0" collapsed="false">
      <c r="A4" s="246" t="s">
        <v>248</v>
      </c>
      <c r="B4" s="247" t="s">
        <v>249</v>
      </c>
      <c r="C4" s="247" t="s">
        <v>250</v>
      </c>
      <c r="D4" s="247" t="s">
        <v>251</v>
      </c>
      <c r="E4" s="247" t="s">
        <v>252</v>
      </c>
      <c r="F4" s="247" t="s">
        <v>253</v>
      </c>
      <c r="G4" s="247" t="s">
        <v>254</v>
      </c>
      <c r="H4" s="247" t="s">
        <v>255</v>
      </c>
      <c r="I4" s="247" t="s">
        <v>256</v>
      </c>
      <c r="J4" s="247" t="s">
        <v>257</v>
      </c>
      <c r="K4" s="246" t="s">
        <v>258</v>
      </c>
    </row>
    <row r="5" customFormat="false" ht="15.75" hidden="false" customHeight="false" outlineLevel="0" collapsed="false">
      <c r="A5" s="248" t="s">
        <v>259</v>
      </c>
      <c r="B5" s="249" t="n">
        <v>0.15</v>
      </c>
      <c r="C5" s="249" t="n">
        <v>0.05</v>
      </c>
      <c r="D5" s="249" t="n">
        <v>0.15</v>
      </c>
      <c r="E5" s="249" t="n">
        <v>0.15</v>
      </c>
      <c r="F5" s="249" t="n">
        <v>0.05</v>
      </c>
      <c r="G5" s="249" t="n">
        <v>0.1</v>
      </c>
      <c r="H5" s="249" t="n">
        <v>0.1</v>
      </c>
      <c r="I5" s="250" t="n">
        <v>0.1</v>
      </c>
      <c r="J5" s="249" t="n">
        <v>0.15</v>
      </c>
      <c r="K5" s="250" t="n">
        <f aca="false">SUM(B5:J5)</f>
        <v>1</v>
      </c>
    </row>
    <row r="6" customFormat="false" ht="15.75" hidden="false" customHeight="false" outlineLevel="0" collapsed="false">
      <c r="A6" s="248" t="s">
        <v>80</v>
      </c>
      <c r="B6" s="249" t="n">
        <v>0.1</v>
      </c>
      <c r="C6" s="249" t="n">
        <v>0.05</v>
      </c>
      <c r="D6" s="249" t="n">
        <v>0.2</v>
      </c>
      <c r="E6" s="249" t="n">
        <v>0.2</v>
      </c>
      <c r="F6" s="249" t="n">
        <v>0.05</v>
      </c>
      <c r="G6" s="249" t="n">
        <v>0.1</v>
      </c>
      <c r="H6" s="249" t="n">
        <v>0.05</v>
      </c>
      <c r="I6" s="250" t="n">
        <v>0.1</v>
      </c>
      <c r="J6" s="249" t="n">
        <v>0.15</v>
      </c>
      <c r="K6" s="250" t="n">
        <f aca="false">SUM(B6:J6)</f>
        <v>1</v>
      </c>
    </row>
    <row r="7" customFormat="false" ht="15.75" hidden="false" customHeight="false" outlineLevel="0" collapsed="false">
      <c r="A7" s="248" t="s">
        <v>260</v>
      </c>
      <c r="B7" s="251" t="n">
        <v>0.1</v>
      </c>
      <c r="C7" s="251" t="n">
        <v>0.05</v>
      </c>
      <c r="D7" s="251" t="n">
        <v>0.2</v>
      </c>
      <c r="E7" s="251" t="n">
        <v>0.15</v>
      </c>
      <c r="F7" s="251" t="n">
        <v>0.05</v>
      </c>
      <c r="G7" s="251" t="n">
        <v>0.1</v>
      </c>
      <c r="H7" s="251" t="n">
        <v>0.05</v>
      </c>
      <c r="I7" s="252" t="n">
        <v>0.1</v>
      </c>
      <c r="J7" s="251" t="n">
        <v>0.2</v>
      </c>
      <c r="K7" s="250" t="n">
        <f aca="false">SUM(B7:J7)</f>
        <v>1</v>
      </c>
    </row>
    <row r="8" customFormat="false" ht="15.75" hidden="false" customHeight="false" outlineLevel="0" collapsed="false">
      <c r="A8" s="145"/>
    </row>
    <row r="9" customFormat="false" ht="15.75" hidden="false" customHeight="false" outlineLevel="0" collapsed="false">
      <c r="A9" s="145"/>
      <c r="D9" s="100"/>
      <c r="E9" s="253"/>
      <c r="F9" s="100"/>
    </row>
    <row r="10" customFormat="false" ht="25.5" hidden="false" customHeight="true" outlineLevel="0" collapsed="false">
      <c r="A10" s="254" t="s">
        <v>261</v>
      </c>
      <c r="B10" s="254"/>
      <c r="C10" s="254"/>
      <c r="D10" s="254"/>
      <c r="E10" s="254"/>
      <c r="F10" s="254"/>
      <c r="G10" s="254"/>
      <c r="H10" s="254"/>
      <c r="I10" s="254"/>
      <c r="J10" s="254"/>
      <c r="K10" s="254"/>
    </row>
    <row r="11" customFormat="false" ht="35.05" hidden="false" customHeight="false" outlineLevel="0" collapsed="false">
      <c r="A11" s="246" t="s">
        <v>248</v>
      </c>
      <c r="B11" s="255" t="s">
        <v>249</v>
      </c>
      <c r="C11" s="247" t="s">
        <v>250</v>
      </c>
      <c r="D11" s="247" t="s">
        <v>251</v>
      </c>
      <c r="E11" s="247" t="s">
        <v>252</v>
      </c>
      <c r="F11" s="247" t="s">
        <v>253</v>
      </c>
      <c r="G11" s="247" t="s">
        <v>254</v>
      </c>
      <c r="H11" s="247" t="s">
        <v>255</v>
      </c>
      <c r="I11" s="247" t="s">
        <v>256</v>
      </c>
      <c r="J11" s="255" t="s">
        <v>257</v>
      </c>
      <c r="K11" s="246" t="s">
        <v>258</v>
      </c>
    </row>
    <row r="12" customFormat="false" ht="15.75" hidden="false" customHeight="false" outlineLevel="0" collapsed="false">
      <c r="A12" s="248" t="s">
        <v>82</v>
      </c>
      <c r="B12" s="250" t="n">
        <v>0.15</v>
      </c>
      <c r="C12" s="250" t="n">
        <v>0.05</v>
      </c>
      <c r="D12" s="250" t="n">
        <v>0.15</v>
      </c>
      <c r="E12" s="250" t="n">
        <v>0.15</v>
      </c>
      <c r="F12" s="250" t="n">
        <v>0.05</v>
      </c>
      <c r="G12" s="250" t="n">
        <v>0.1</v>
      </c>
      <c r="H12" s="250" t="n">
        <v>0.1</v>
      </c>
      <c r="I12" s="250" t="n">
        <v>0.1</v>
      </c>
      <c r="J12" s="250" t="n">
        <v>0.15</v>
      </c>
      <c r="K12" s="250" t="n">
        <f aca="false">SUM(B12:J12)</f>
        <v>1</v>
      </c>
    </row>
    <row r="13" customFormat="false" ht="15.75" hidden="false" customHeight="false" outlineLevel="0" collapsed="false">
      <c r="A13" s="248" t="s">
        <v>80</v>
      </c>
      <c r="B13" s="250" t="n">
        <v>0.15</v>
      </c>
      <c r="C13" s="250" t="n">
        <v>0.05</v>
      </c>
      <c r="D13" s="250" t="n">
        <v>0.15</v>
      </c>
      <c r="E13" s="250" t="n">
        <v>0.15</v>
      </c>
      <c r="F13" s="250" t="n">
        <v>0.1</v>
      </c>
      <c r="G13" s="250" t="n">
        <v>0.1</v>
      </c>
      <c r="H13" s="250" t="n">
        <v>0.05</v>
      </c>
      <c r="I13" s="250" t="n">
        <v>0.1</v>
      </c>
      <c r="J13" s="250" t="n">
        <v>0.15</v>
      </c>
      <c r="K13" s="250" t="n">
        <f aca="false">SUM(B13:J13)</f>
        <v>1</v>
      </c>
    </row>
    <row r="14" customFormat="false" ht="15.75" hidden="false" customHeight="false" outlineLevel="0" collapsed="false">
      <c r="A14" s="248" t="s">
        <v>76</v>
      </c>
      <c r="B14" s="252" t="n">
        <v>0.1</v>
      </c>
      <c r="C14" s="252" t="n">
        <v>0.05</v>
      </c>
      <c r="D14" s="251" t="n">
        <v>0.2</v>
      </c>
      <c r="E14" s="252" t="n">
        <v>0.1</v>
      </c>
      <c r="F14" s="252" t="n">
        <v>0.05</v>
      </c>
      <c r="G14" s="252" t="n">
        <v>0.15</v>
      </c>
      <c r="H14" s="252" t="n">
        <v>0.05</v>
      </c>
      <c r="I14" s="252" t="n">
        <v>0.1</v>
      </c>
      <c r="J14" s="251" t="n">
        <v>0.2</v>
      </c>
      <c r="K14" s="250" t="n">
        <f aca="false">SUM(B14:J14)</f>
        <v>1</v>
      </c>
    </row>
    <row r="15" customFormat="false" ht="15.75" hidden="false" customHeight="false" outlineLevel="0" collapsed="false">
      <c r="A15" s="145"/>
    </row>
    <row r="16" customFormat="false" ht="15.75" hidden="false" customHeight="false" outlineLevel="0" collapsed="false">
      <c r="A16" s="145"/>
    </row>
    <row r="17" customFormat="false" ht="15.75" hidden="false" customHeight="false" outlineLevel="0" collapsed="false">
      <c r="A17" s="256" t="s">
        <v>262</v>
      </c>
      <c r="B17" s="256"/>
      <c r="C17" s="256"/>
      <c r="D17" s="256"/>
      <c r="E17" s="256"/>
      <c r="F17" s="256"/>
      <c r="G17" s="256"/>
      <c r="H17" s="256"/>
      <c r="I17" s="256"/>
      <c r="J17" s="256"/>
      <c r="K17" s="256"/>
    </row>
    <row r="18" customFormat="false" ht="15.75" hidden="false" customHeight="false" outlineLevel="0" collapsed="false">
      <c r="A18" s="257" t="s">
        <v>263</v>
      </c>
      <c r="B18" s="258" t="s">
        <v>264</v>
      </c>
      <c r="C18" s="258"/>
      <c r="D18" s="258"/>
      <c r="E18" s="258"/>
      <c r="F18" s="258"/>
      <c r="G18" s="258"/>
      <c r="H18" s="258"/>
      <c r="I18" s="258"/>
      <c r="J18" s="258"/>
      <c r="K18" s="258"/>
    </row>
    <row r="19" customFormat="false" ht="15.75" hidden="false" customHeight="false" outlineLevel="0" collapsed="false">
      <c r="A19" s="257" t="s">
        <v>265</v>
      </c>
      <c r="B19" s="258" t="s">
        <v>266</v>
      </c>
      <c r="C19" s="258"/>
      <c r="D19" s="258"/>
      <c r="E19" s="258"/>
      <c r="F19" s="258"/>
      <c r="G19" s="258"/>
      <c r="H19" s="258"/>
      <c r="I19" s="258"/>
      <c r="J19" s="258"/>
      <c r="K19" s="258"/>
    </row>
    <row r="20" customFormat="false" ht="15.75" hidden="false" customHeight="false" outlineLevel="0" collapsed="false">
      <c r="A20" s="257" t="s">
        <v>267</v>
      </c>
      <c r="B20" s="258" t="s">
        <v>268</v>
      </c>
      <c r="C20" s="258"/>
      <c r="D20" s="258"/>
      <c r="E20" s="258"/>
      <c r="F20" s="258"/>
      <c r="G20" s="258"/>
      <c r="H20" s="258"/>
      <c r="I20" s="258"/>
      <c r="J20" s="258"/>
      <c r="K20" s="258"/>
    </row>
  </sheetData>
  <mergeCells count="8">
    <mergeCell ref="B1:B2"/>
    <mergeCell ref="J1:K1"/>
    <mergeCell ref="A3:K3"/>
    <mergeCell ref="A10:K10"/>
    <mergeCell ref="A17:K17"/>
    <mergeCell ref="B18:K18"/>
    <mergeCell ref="B19:K19"/>
    <mergeCell ref="B20:K20"/>
  </mergeCells>
  <hyperlinks>
    <hyperlink ref="A1" location="'Tabla de Contenidos'!A1" display="Volver a Tabla de contenidos"/>
    <hyperlink ref="J1" location="'RESULTADO FINAL SOSTENIBILIDAD'!A1" display="Ir a Resultados Finales"/>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1" scale="7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3F75"/>
    <pageSetUpPr fitToPage="false"/>
  </sheetPr>
  <dimension ref="A1:M3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I25" activeCellId="0" sqref="I25"/>
    </sheetView>
  </sheetViews>
  <sheetFormatPr defaultColWidth="11.43359375" defaultRowHeight="15.75" customHeight="false" zeroHeight="false" outlineLevelRow="0" outlineLevelCol="0"/>
  <cols>
    <col collapsed="false" customWidth="true" hidden="false" outlineLevel="0" max="1" min="1" style="259" width="20.57"/>
    <col collapsed="false" customWidth="true" hidden="false" outlineLevel="0" max="2" min="2" style="259" width="13.86"/>
    <col collapsed="false" customWidth="true" hidden="false" outlineLevel="0" max="3" min="3" style="259" width="18.42"/>
    <col collapsed="false" customWidth="true" hidden="false" outlineLevel="0" max="4" min="4" style="259" width="23.14"/>
    <col collapsed="false" customWidth="true" hidden="false" outlineLevel="0" max="5" min="5" style="259" width="16.43"/>
    <col collapsed="false" customWidth="true" hidden="false" outlineLevel="0" max="6" min="6" style="259" width="17.57"/>
    <col collapsed="false" customWidth="true" hidden="false" outlineLevel="0" max="7" min="7" style="259" width="15.71"/>
    <col collapsed="false" customWidth="true" hidden="false" outlineLevel="0" max="10" min="8" style="259" width="20.57"/>
    <col collapsed="false" customWidth="true" hidden="false" outlineLevel="0" max="11" min="11" style="259" width="21.57"/>
    <col collapsed="false" customWidth="false" hidden="false" outlineLevel="0" max="12" min="12" style="259" width="11.43"/>
    <col collapsed="false" customWidth="true" hidden="false" outlineLevel="0" max="13" min="13" style="259" width="15.85"/>
    <col collapsed="false" customWidth="false" hidden="false" outlineLevel="0" max="16384" min="14" style="259" width="11.43"/>
  </cols>
  <sheetData>
    <row r="1" customFormat="false" ht="48.75" hidden="false" customHeight="true" outlineLevel="0" collapsed="false">
      <c r="B1" s="188" t="s">
        <v>246</v>
      </c>
      <c r="C1" s="260" t="s">
        <v>269</v>
      </c>
      <c r="D1" s="260"/>
      <c r="E1" s="260"/>
      <c r="F1" s="261" t="s">
        <v>176</v>
      </c>
    </row>
    <row r="2" customFormat="false" ht="32.25" hidden="false" customHeight="true" outlineLevel="0" collapsed="false">
      <c r="A2" s="262" t="s">
        <v>270</v>
      </c>
      <c r="B2" s="262" t="s">
        <v>271</v>
      </c>
      <c r="C2" s="262" t="s">
        <v>272</v>
      </c>
      <c r="D2" s="262" t="s">
        <v>273</v>
      </c>
      <c r="E2" s="263" t="s">
        <v>274</v>
      </c>
      <c r="F2" s="263" t="s">
        <v>275</v>
      </c>
      <c r="G2" s="264" t="s">
        <v>276</v>
      </c>
      <c r="H2" s="264" t="s">
        <v>277</v>
      </c>
      <c r="I2" s="264" t="s">
        <v>278</v>
      </c>
      <c r="J2" s="264" t="s">
        <v>279</v>
      </c>
      <c r="K2" s="265" t="s">
        <v>280</v>
      </c>
      <c r="L2" s="266" t="s">
        <v>281</v>
      </c>
      <c r="M2" s="266"/>
    </row>
    <row r="3" customFormat="false" ht="15.75" hidden="false" customHeight="false" outlineLevel="0" collapsed="false">
      <c r="A3" s="267" t="s">
        <v>282</v>
      </c>
      <c r="B3" s="267" t="s">
        <v>283</v>
      </c>
      <c r="C3" s="267" t="s">
        <v>284</v>
      </c>
      <c r="D3" s="268" t="s">
        <v>284</v>
      </c>
      <c r="E3" s="269" t="s">
        <v>79</v>
      </c>
      <c r="F3" s="270" t="n">
        <v>1</v>
      </c>
      <c r="G3" s="271"/>
      <c r="H3" s="271"/>
      <c r="I3" s="271"/>
      <c r="J3" s="271"/>
      <c r="K3" s="272" t="s">
        <v>79</v>
      </c>
      <c r="L3" s="273" t="n">
        <v>1</v>
      </c>
      <c r="M3" s="274" t="s">
        <v>285</v>
      </c>
    </row>
    <row r="4" customFormat="false" ht="15.75" hidden="false" customHeight="false" outlineLevel="0" collapsed="false">
      <c r="A4" s="267"/>
      <c r="B4" s="267"/>
      <c r="C4" s="267"/>
      <c r="D4" s="268" t="s">
        <v>45</v>
      </c>
      <c r="E4" s="269"/>
      <c r="F4" s="270"/>
      <c r="G4" s="271"/>
      <c r="H4" s="271"/>
      <c r="I4" s="271"/>
      <c r="J4" s="271"/>
      <c r="K4" s="272" t="s">
        <v>75</v>
      </c>
      <c r="L4" s="273" t="n">
        <v>2</v>
      </c>
      <c r="M4" s="274" t="s">
        <v>286</v>
      </c>
    </row>
    <row r="5" customFormat="false" ht="15.75" hidden="false" customHeight="false" outlineLevel="0" collapsed="false">
      <c r="A5" s="267"/>
      <c r="B5" s="267"/>
      <c r="C5" s="267"/>
      <c r="D5" s="268" t="s">
        <v>287</v>
      </c>
      <c r="E5" s="269"/>
      <c r="F5" s="270"/>
      <c r="G5" s="271"/>
      <c r="H5" s="271"/>
      <c r="I5" s="271"/>
      <c r="J5" s="271"/>
      <c r="K5" s="272" t="s">
        <v>288</v>
      </c>
      <c r="L5" s="273" t="n">
        <v>3</v>
      </c>
      <c r="M5" s="274" t="s">
        <v>260</v>
      </c>
    </row>
    <row r="6" customFormat="false" ht="15.75" hidden="false" customHeight="false" outlineLevel="0" collapsed="false">
      <c r="A6" s="267"/>
      <c r="B6" s="267"/>
      <c r="C6" s="267"/>
      <c r="D6" s="268" t="s">
        <v>49</v>
      </c>
      <c r="E6" s="269"/>
      <c r="F6" s="270"/>
      <c r="G6" s="271"/>
      <c r="H6" s="271"/>
      <c r="I6" s="271"/>
      <c r="J6" s="271"/>
      <c r="K6" s="272" t="s">
        <v>289</v>
      </c>
    </row>
    <row r="7" customFormat="false" ht="15.75" hidden="false" customHeight="false" outlineLevel="0" collapsed="false">
      <c r="A7" s="267"/>
      <c r="B7" s="267"/>
      <c r="C7" s="267"/>
      <c r="D7" s="268" t="s">
        <v>52</v>
      </c>
      <c r="E7" s="269"/>
      <c r="F7" s="270"/>
      <c r="G7" s="271"/>
      <c r="H7" s="271"/>
      <c r="I7" s="271"/>
      <c r="J7" s="271"/>
      <c r="K7" s="272" t="s">
        <v>290</v>
      </c>
      <c r="M7" s="275"/>
    </row>
    <row r="8" customFormat="false" ht="15.75" hidden="false" customHeight="false" outlineLevel="0" collapsed="false">
      <c r="A8" s="267"/>
      <c r="B8" s="267"/>
      <c r="C8" s="267"/>
      <c r="D8" s="268" t="s">
        <v>59</v>
      </c>
      <c r="E8" s="269"/>
      <c r="F8" s="270"/>
      <c r="G8" s="271"/>
      <c r="H8" s="271"/>
      <c r="I8" s="271"/>
      <c r="J8" s="271"/>
      <c r="K8" s="272" t="s">
        <v>291</v>
      </c>
      <c r="M8" s="275"/>
    </row>
    <row r="9" customFormat="false" ht="15.75" hidden="false" customHeight="false" outlineLevel="0" collapsed="false">
      <c r="A9" s="267"/>
      <c r="B9" s="267"/>
      <c r="C9" s="267"/>
      <c r="D9" s="268" t="s">
        <v>63</v>
      </c>
      <c r="E9" s="269"/>
      <c r="F9" s="270"/>
      <c r="G9" s="271"/>
      <c r="H9" s="271"/>
      <c r="I9" s="271"/>
      <c r="J9" s="271"/>
      <c r="K9" s="272" t="s">
        <v>292</v>
      </c>
      <c r="L9" s="276"/>
      <c r="M9" s="275"/>
    </row>
    <row r="10" customFormat="false" ht="15.75" hidden="false" customHeight="false" outlineLevel="0" collapsed="false">
      <c r="A10" s="267"/>
      <c r="B10" s="267"/>
      <c r="C10" s="267"/>
      <c r="D10" s="268" t="s">
        <v>68</v>
      </c>
      <c r="E10" s="269"/>
      <c r="F10" s="270"/>
      <c r="G10" s="271"/>
      <c r="H10" s="271"/>
      <c r="I10" s="271"/>
      <c r="J10" s="271"/>
      <c r="K10" s="272" t="s">
        <v>293</v>
      </c>
    </row>
    <row r="11" customFormat="false" ht="15.75" hidden="false" customHeight="false" outlineLevel="0" collapsed="false">
      <c r="A11" s="267"/>
      <c r="B11" s="267"/>
      <c r="C11" s="267"/>
      <c r="D11" s="268" t="s">
        <v>69</v>
      </c>
      <c r="E11" s="269"/>
      <c r="F11" s="270"/>
      <c r="G11" s="271"/>
      <c r="H11" s="271"/>
      <c r="I11" s="271"/>
      <c r="J11" s="271"/>
      <c r="K11" s="272" t="s">
        <v>294</v>
      </c>
    </row>
    <row r="12" customFormat="false" ht="15.75" hidden="false" customHeight="false" outlineLevel="0" collapsed="false">
      <c r="A12" s="267"/>
      <c r="B12" s="267"/>
      <c r="C12" s="267"/>
      <c r="D12" s="268" t="s">
        <v>295</v>
      </c>
      <c r="E12" s="269"/>
      <c r="F12" s="270"/>
      <c r="G12" s="271"/>
      <c r="H12" s="271"/>
      <c r="I12" s="271"/>
      <c r="J12" s="271"/>
      <c r="K12" s="277"/>
    </row>
    <row r="13" customFormat="false" ht="15.75" hidden="false" customHeight="false" outlineLevel="0" collapsed="false">
      <c r="A13" s="267"/>
      <c r="B13" s="267"/>
      <c r="C13" s="267"/>
      <c r="D13" s="268" t="s">
        <v>296</v>
      </c>
      <c r="E13" s="269"/>
      <c r="F13" s="270"/>
      <c r="G13" s="271"/>
      <c r="H13" s="271"/>
      <c r="I13" s="271"/>
      <c r="J13" s="271"/>
      <c r="K13" s="277"/>
    </row>
    <row r="14" customFormat="false" ht="15.75" hidden="false" customHeight="false" outlineLevel="0" collapsed="false">
      <c r="A14" s="267"/>
      <c r="B14" s="267"/>
      <c r="C14" s="267"/>
      <c r="D14" s="268" t="s">
        <v>297</v>
      </c>
      <c r="E14" s="269"/>
      <c r="F14" s="270"/>
      <c r="G14" s="271"/>
      <c r="H14" s="271"/>
      <c r="I14" s="271"/>
      <c r="J14" s="278"/>
      <c r="K14" s="279"/>
    </row>
    <row r="15" customFormat="false" ht="15.75" hidden="false" customHeight="false" outlineLevel="0" collapsed="false">
      <c r="A15" s="267"/>
      <c r="B15" s="267"/>
      <c r="C15" s="267"/>
      <c r="D15" s="268" t="s">
        <v>298</v>
      </c>
      <c r="E15" s="269"/>
      <c r="F15" s="270"/>
      <c r="G15" s="271"/>
      <c r="H15" s="271"/>
      <c r="I15" s="271"/>
      <c r="J15" s="278"/>
    </row>
    <row r="16" customFormat="false" ht="15.75" hidden="false" customHeight="false" outlineLevel="0" collapsed="false">
      <c r="A16" s="267"/>
      <c r="B16" s="267"/>
      <c r="C16" s="267"/>
      <c r="D16" s="268" t="s">
        <v>299</v>
      </c>
      <c r="E16" s="269"/>
      <c r="F16" s="270"/>
      <c r="G16" s="271"/>
      <c r="H16" s="271"/>
      <c r="I16" s="271"/>
      <c r="J16" s="278"/>
    </row>
    <row r="17" customFormat="false" ht="15.75" hidden="false" customHeight="false" outlineLevel="0" collapsed="false">
      <c r="A17" s="267"/>
      <c r="B17" s="267"/>
      <c r="C17" s="267"/>
      <c r="D17" s="268" t="s">
        <v>300</v>
      </c>
      <c r="E17" s="269"/>
      <c r="F17" s="270"/>
      <c r="G17" s="271"/>
      <c r="H17" s="271"/>
      <c r="I17" s="271"/>
      <c r="J17" s="278"/>
    </row>
    <row r="18" customFormat="false" ht="15.75" hidden="false" customHeight="false" outlineLevel="0" collapsed="false">
      <c r="A18" s="267"/>
      <c r="B18" s="267"/>
      <c r="C18" s="267"/>
      <c r="D18" s="268" t="s">
        <v>301</v>
      </c>
      <c r="E18" s="269"/>
      <c r="F18" s="270"/>
      <c r="G18" s="271"/>
      <c r="H18" s="271"/>
      <c r="I18" s="271"/>
      <c r="J18" s="278"/>
      <c r="L18" s="280"/>
    </row>
    <row r="19" customFormat="false" ht="15.75" hidden="false" customHeight="false" outlineLevel="0" collapsed="false">
      <c r="A19" s="267"/>
      <c r="B19" s="267"/>
      <c r="C19" s="267"/>
      <c r="D19" s="268" t="s">
        <v>302</v>
      </c>
      <c r="E19" s="269"/>
      <c r="F19" s="270"/>
      <c r="G19" s="271"/>
      <c r="H19" s="271"/>
      <c r="I19" s="271"/>
      <c r="J19" s="278"/>
      <c r="L19" s="279"/>
    </row>
    <row r="20" customFormat="false" ht="15.75" hidden="false" customHeight="false" outlineLevel="0" collapsed="false">
      <c r="A20" s="267"/>
      <c r="B20" s="267"/>
      <c r="C20" s="267"/>
      <c r="D20" s="268" t="s">
        <v>303</v>
      </c>
      <c r="E20" s="269"/>
      <c r="F20" s="270"/>
      <c r="G20" s="271"/>
      <c r="H20" s="271"/>
      <c r="I20" s="271"/>
      <c r="J20" s="278"/>
      <c r="L20" s="279"/>
    </row>
    <row r="21" customFormat="false" ht="15.75" hidden="false" customHeight="false" outlineLevel="0" collapsed="false">
      <c r="A21" s="267"/>
      <c r="B21" s="267"/>
      <c r="C21" s="267"/>
      <c r="D21" s="268" t="s">
        <v>304</v>
      </c>
      <c r="E21" s="269"/>
      <c r="F21" s="270"/>
      <c r="G21" s="271"/>
      <c r="H21" s="271"/>
      <c r="I21" s="271"/>
      <c r="J21" s="278"/>
    </row>
    <row r="22" customFormat="false" ht="15.75" hidden="false" customHeight="false" outlineLevel="0" collapsed="false">
      <c r="A22" s="267"/>
      <c r="B22" s="267"/>
      <c r="C22" s="267"/>
      <c r="D22" s="268" t="s">
        <v>305</v>
      </c>
      <c r="E22" s="269"/>
      <c r="F22" s="270"/>
      <c r="G22" s="271"/>
      <c r="H22" s="271"/>
      <c r="I22" s="271"/>
      <c r="J22" s="278"/>
    </row>
    <row r="23" customFormat="false" ht="15.75" hidden="false" customHeight="false" outlineLevel="0" collapsed="false">
      <c r="A23" s="267"/>
      <c r="B23" s="267"/>
      <c r="C23" s="267"/>
      <c r="D23" s="268" t="s">
        <v>306</v>
      </c>
      <c r="E23" s="281"/>
      <c r="F23" s="270"/>
      <c r="G23" s="271"/>
      <c r="H23" s="271"/>
      <c r="I23" s="271"/>
      <c r="J23" s="278"/>
    </row>
    <row r="24" customFormat="false" ht="15.75" hidden="false" customHeight="false" outlineLevel="0" collapsed="false">
      <c r="A24" s="267"/>
      <c r="B24" s="267"/>
      <c r="C24" s="267"/>
      <c r="D24" s="268" t="s">
        <v>307</v>
      </c>
      <c r="E24" s="281"/>
      <c r="F24" s="270"/>
      <c r="G24" s="271"/>
      <c r="H24" s="271"/>
      <c r="I24" s="271"/>
      <c r="J24" s="278"/>
    </row>
    <row r="25" customFormat="false" ht="15.75" hidden="false" customHeight="false" outlineLevel="0" collapsed="false">
      <c r="A25" s="267"/>
      <c r="B25" s="267"/>
      <c r="C25" s="267"/>
      <c r="D25" s="268" t="s">
        <v>308</v>
      </c>
      <c r="E25" s="281"/>
      <c r="F25" s="270"/>
      <c r="G25" s="271"/>
      <c r="H25" s="271"/>
      <c r="I25" s="271"/>
      <c r="J25" s="278"/>
    </row>
    <row r="26" customFormat="false" ht="15.75" hidden="false" customHeight="false" outlineLevel="0" collapsed="false">
      <c r="A26" s="267"/>
      <c r="B26" s="267"/>
      <c r="C26" s="267"/>
      <c r="D26" s="268" t="s">
        <v>309</v>
      </c>
      <c r="E26" s="281"/>
      <c r="F26" s="270"/>
      <c r="G26" s="271"/>
      <c r="H26" s="271"/>
      <c r="I26" s="271"/>
      <c r="J26" s="278"/>
    </row>
    <row r="27" customFormat="false" ht="15.75" hidden="false" customHeight="false" outlineLevel="0" collapsed="false">
      <c r="A27" s="267"/>
      <c r="B27" s="267"/>
      <c r="C27" s="267"/>
      <c r="D27" s="268" t="s">
        <v>310</v>
      </c>
      <c r="E27" s="281"/>
      <c r="F27" s="270"/>
      <c r="G27" s="271"/>
      <c r="H27" s="271"/>
      <c r="I27" s="271"/>
      <c r="J27" s="278"/>
    </row>
    <row r="28" customFormat="false" ht="15.75" hidden="false" customHeight="false" outlineLevel="0" collapsed="false">
      <c r="A28" s="267"/>
      <c r="B28" s="267"/>
      <c r="C28" s="267"/>
      <c r="D28" s="268" t="s">
        <v>311</v>
      </c>
      <c r="E28" s="281"/>
      <c r="F28" s="270"/>
      <c r="G28" s="271"/>
      <c r="H28" s="271"/>
      <c r="I28" s="271"/>
      <c r="J28" s="278"/>
    </row>
    <row r="31" customFormat="false" ht="15.75" hidden="false" customHeight="false" outlineLevel="0" collapsed="false">
      <c r="B31" s="282"/>
      <c r="C31" s="282"/>
    </row>
  </sheetData>
  <mergeCells count="2">
    <mergeCell ref="C1:E1"/>
    <mergeCell ref="L2:M2"/>
  </mergeCells>
  <dataValidations count="2">
    <dataValidation allowBlank="true" errorStyle="stop" operator="between" showDropDown="false" showErrorMessage="true" showInputMessage="true" sqref="F3:F28" type="list">
      <formula1>$L$3:$L$5</formula1>
      <formula2>0</formula2>
    </dataValidation>
    <dataValidation allowBlank="true" errorStyle="stop" operator="between" showDropDown="false" showErrorMessage="true" showInputMessage="true" sqref="E3:E28" type="list">
      <formula1>$K$3:$K$11</formula1>
      <formula2>0</formula2>
    </dataValidation>
  </dataValidations>
  <hyperlinks>
    <hyperlink ref="B1" location="'Tabla de Contenidos'!A1" display="Volver a Tabla de contenidos"/>
    <hyperlink ref="F1" location="'RESULTADO FINAL SOSTENIBILIDAD'!A1" display="Ir a Resultados Finale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Q7" activeCellId="0" sqref="Q7"/>
    </sheetView>
  </sheetViews>
  <sheetFormatPr defaultColWidth="10.6796875" defaultRowHeight="15" customHeight="false" zeroHeight="false" outlineLevelRow="0" outlineLevelCol="0"/>
  <cols>
    <col collapsed="false" customWidth="true" hidden="false" outlineLevel="0" max="1" min="1" style="238" width="13.86"/>
    <col collapsed="false" customWidth="true" hidden="false" outlineLevel="0" max="3" min="2" style="238" width="15.71"/>
    <col collapsed="false" customWidth="true" hidden="false" outlineLevel="0" max="4" min="4" style="238" width="17"/>
    <col collapsed="false" customWidth="true" hidden="false" outlineLevel="0" max="6" min="6" style="238" width="5.71"/>
    <col collapsed="false" customWidth="true" hidden="false" outlineLevel="0" max="7" min="7" style="238" width="5.14"/>
    <col collapsed="false" customWidth="true" hidden="false" outlineLevel="0" max="8" min="8" style="238" width="4.71"/>
    <col collapsed="false" customWidth="true" hidden="false" outlineLevel="0" max="9" min="9" style="238" width="5.42"/>
    <col collapsed="false" customWidth="true" hidden="false" outlineLevel="0" max="10" min="10" style="238" width="4.57"/>
    <col collapsed="false" customWidth="true" hidden="false" outlineLevel="0" max="11" min="11" style="238" width="5"/>
    <col collapsed="false" customWidth="true" hidden="false" outlineLevel="0" max="12" min="12" style="238" width="4.71"/>
    <col collapsed="false" customWidth="true" hidden="false" outlineLevel="0" max="13" min="13" style="238" width="4.29"/>
    <col collapsed="false" customWidth="true" hidden="false" outlineLevel="0" max="15" min="14" style="238" width="5.42"/>
    <col collapsed="false" customWidth="true" hidden="false" outlineLevel="0" max="16" min="16" style="238" width="4.71"/>
    <col collapsed="false" customWidth="true" hidden="false" outlineLevel="0" max="17" min="17" style="238" width="5.29"/>
    <col collapsed="false" customWidth="true" hidden="false" outlineLevel="0" max="18" min="18" style="238" width="4.71"/>
    <col collapsed="false" customWidth="true" hidden="false" outlineLevel="0" max="19" min="19" style="238" width="4.86"/>
    <col collapsed="false" customWidth="true" hidden="false" outlineLevel="0" max="20" min="20" style="238" width="5.42"/>
    <col collapsed="false" customWidth="true" hidden="false" outlineLevel="0" max="21" min="21" style="238" width="5.14"/>
    <col collapsed="false" customWidth="true" hidden="false" outlineLevel="0" max="23" min="22" style="238" width="5.29"/>
    <col collapsed="false" customWidth="true" hidden="false" outlineLevel="0" max="24" min="24" style="238" width="10.29"/>
    <col collapsed="false" customWidth="true" hidden="false" outlineLevel="0" max="26" min="26" style="238" width="13.57"/>
  </cols>
  <sheetData>
    <row r="1" customFormat="false" ht="46.5" hidden="false" customHeight="true" outlineLevel="0" collapsed="false">
      <c r="B1" s="188" t="s">
        <v>246</v>
      </c>
      <c r="C1" s="283" t="s">
        <v>312</v>
      </c>
      <c r="D1" s="283"/>
      <c r="E1" s="283"/>
      <c r="F1" s="283"/>
      <c r="G1" s="283"/>
      <c r="H1" s="283"/>
      <c r="I1" s="283"/>
      <c r="J1" s="283"/>
      <c r="K1" s="283"/>
      <c r="L1" s="283"/>
      <c r="M1" s="283"/>
      <c r="N1" s="283"/>
      <c r="O1" s="283"/>
      <c r="P1" s="283"/>
      <c r="Q1" s="283"/>
      <c r="R1" s="283"/>
      <c r="S1" s="283"/>
      <c r="T1" s="188" t="s">
        <v>176</v>
      </c>
      <c r="U1" s="188"/>
      <c r="V1" s="284"/>
      <c r="W1" s="284"/>
      <c r="X1" s="284"/>
      <c r="Y1" s="284"/>
      <c r="Z1" s="284"/>
    </row>
    <row r="2" customFormat="false" ht="34.5" hidden="false" customHeight="true" outlineLevel="0" collapsed="false">
      <c r="C2" s="285" t="s">
        <v>313</v>
      </c>
      <c r="D2" s="285"/>
      <c r="E2" s="285"/>
      <c r="F2" s="285"/>
      <c r="G2" s="285"/>
      <c r="H2" s="285"/>
      <c r="I2" s="285"/>
      <c r="J2" s="285"/>
      <c r="K2" s="285"/>
      <c r="L2" s="285"/>
    </row>
    <row r="3" customFormat="false" ht="4.5" hidden="false" customHeight="true" outlineLevel="0" collapsed="false">
      <c r="C3" s="285"/>
      <c r="D3" s="285"/>
      <c r="E3" s="285"/>
      <c r="F3" s="285"/>
      <c r="G3" s="285"/>
      <c r="H3" s="285"/>
      <c r="I3" s="285"/>
      <c r="J3" s="285"/>
      <c r="K3" s="285"/>
      <c r="L3" s="285"/>
      <c r="Z3" s="286" t="s">
        <v>314</v>
      </c>
      <c r="AA3" s="286"/>
    </row>
    <row r="4" customFormat="false" ht="15" hidden="false" customHeight="true" outlineLevel="0" collapsed="false">
      <c r="A4" s="287" t="s">
        <v>315</v>
      </c>
      <c r="B4" s="287" t="s">
        <v>316</v>
      </c>
      <c r="C4" s="287" t="s">
        <v>317</v>
      </c>
      <c r="D4" s="288" t="s">
        <v>318</v>
      </c>
      <c r="E4" s="289" t="s">
        <v>319</v>
      </c>
      <c r="F4" s="290" t="s">
        <v>320</v>
      </c>
      <c r="G4" s="290"/>
      <c r="H4" s="290"/>
      <c r="I4" s="290"/>
      <c r="J4" s="290"/>
      <c r="K4" s="290"/>
      <c r="L4" s="290"/>
      <c r="M4" s="290"/>
      <c r="N4" s="290"/>
      <c r="O4" s="290"/>
      <c r="P4" s="290"/>
      <c r="Q4" s="290"/>
      <c r="R4" s="290"/>
      <c r="S4" s="290"/>
      <c r="T4" s="290"/>
      <c r="U4" s="290"/>
      <c r="V4" s="290"/>
      <c r="W4" s="290"/>
      <c r="X4" s="291"/>
      <c r="Y4" s="292"/>
      <c r="Z4" s="286"/>
      <c r="AA4" s="286"/>
    </row>
    <row r="5" customFormat="false" ht="15" hidden="false" customHeight="true" outlineLevel="0" collapsed="false">
      <c r="A5" s="287"/>
      <c r="B5" s="287"/>
      <c r="C5" s="287"/>
      <c r="D5" s="288"/>
      <c r="E5" s="289"/>
      <c r="F5" s="293" t="s">
        <v>321</v>
      </c>
      <c r="G5" s="293"/>
      <c r="H5" s="293" t="s">
        <v>322</v>
      </c>
      <c r="I5" s="293"/>
      <c r="J5" s="293" t="s">
        <v>323</v>
      </c>
      <c r="K5" s="293"/>
      <c r="L5" s="293" t="s">
        <v>324</v>
      </c>
      <c r="M5" s="293"/>
      <c r="N5" s="293" t="s">
        <v>325</v>
      </c>
      <c r="O5" s="293"/>
      <c r="P5" s="293" t="s">
        <v>326</v>
      </c>
      <c r="Q5" s="293"/>
      <c r="R5" s="293" t="s">
        <v>327</v>
      </c>
      <c r="S5" s="293"/>
      <c r="T5" s="293" t="s">
        <v>328</v>
      </c>
      <c r="U5" s="293"/>
      <c r="V5" s="293" t="s">
        <v>329</v>
      </c>
      <c r="W5" s="293"/>
      <c r="X5" s="294" t="s">
        <v>330</v>
      </c>
      <c r="Y5" s="294" t="s">
        <v>331</v>
      </c>
      <c r="Z5" s="294" t="s">
        <v>332</v>
      </c>
      <c r="AA5" s="294" t="s">
        <v>333</v>
      </c>
    </row>
    <row r="6" customFormat="false" ht="44.25" hidden="false" customHeight="true" outlineLevel="0" collapsed="false">
      <c r="A6" s="287"/>
      <c r="B6" s="287"/>
      <c r="C6" s="287"/>
      <c r="D6" s="288"/>
      <c r="E6" s="289"/>
      <c r="F6" s="295" t="s">
        <v>68</v>
      </c>
      <c r="G6" s="295" t="s">
        <v>298</v>
      </c>
      <c r="H6" s="295" t="s">
        <v>68</v>
      </c>
      <c r="I6" s="295" t="s">
        <v>298</v>
      </c>
      <c r="J6" s="295" t="s">
        <v>68</v>
      </c>
      <c r="K6" s="295" t="s">
        <v>298</v>
      </c>
      <c r="L6" s="295" t="s">
        <v>68</v>
      </c>
      <c r="M6" s="295" t="s">
        <v>298</v>
      </c>
      <c r="N6" s="295" t="s">
        <v>68</v>
      </c>
      <c r="O6" s="295" t="s">
        <v>298</v>
      </c>
      <c r="P6" s="295" t="s">
        <v>68</v>
      </c>
      <c r="Q6" s="295" t="s">
        <v>298</v>
      </c>
      <c r="R6" s="295" t="s">
        <v>68</v>
      </c>
      <c r="S6" s="295" t="s">
        <v>298</v>
      </c>
      <c r="T6" s="295" t="s">
        <v>68</v>
      </c>
      <c r="U6" s="295" t="s">
        <v>298</v>
      </c>
      <c r="V6" s="295" t="s">
        <v>68</v>
      </c>
      <c r="W6" s="296" t="s">
        <v>298</v>
      </c>
      <c r="X6" s="294"/>
      <c r="Y6" s="294"/>
      <c r="Z6" s="294"/>
      <c r="AA6" s="294"/>
    </row>
    <row r="7" customFormat="false" ht="24" hidden="false" customHeight="true" outlineLevel="0" collapsed="false">
      <c r="A7" s="297" t="str">
        <f aca="false">'Listado CAPS'!A3</f>
        <v>Madriz</v>
      </c>
      <c r="B7" s="297" t="str">
        <f aca="false">'Listado CAPS'!B3</f>
        <v>Yalaguina</v>
      </c>
      <c r="C7" s="297" t="str">
        <f aca="false">'Listado CAPS'!C3</f>
        <v>Los Encuentros</v>
      </c>
      <c r="D7" s="297" t="str">
        <f aca="false">'Listado CAPS'!D3</f>
        <v>Los Encuentros</v>
      </c>
      <c r="E7" s="298" t="n">
        <v>45083</v>
      </c>
      <c r="F7" s="299" t="n">
        <v>1</v>
      </c>
      <c r="G7" s="299"/>
      <c r="H7" s="299"/>
      <c r="I7" s="299" t="n">
        <v>1</v>
      </c>
      <c r="J7" s="299"/>
      <c r="K7" s="299" t="n">
        <v>1</v>
      </c>
      <c r="L7" s="299" t="n">
        <v>1</v>
      </c>
      <c r="M7" s="299"/>
      <c r="N7" s="299"/>
      <c r="O7" s="299" t="n">
        <v>1</v>
      </c>
      <c r="P7" s="299"/>
      <c r="Q7" s="299"/>
      <c r="R7" s="299"/>
      <c r="S7" s="299"/>
      <c r="T7" s="299"/>
      <c r="U7" s="299"/>
      <c r="V7" s="299"/>
      <c r="W7" s="300"/>
      <c r="X7" s="301" t="n">
        <f aca="false">SUM(F7:W7)</f>
        <v>5</v>
      </c>
      <c r="Y7" s="301" t="n">
        <f aca="false">+SUM(G7+I7+K7+M7+O7+Q7+S7+U7+W7)</f>
        <v>3</v>
      </c>
      <c r="Z7" s="301" t="n">
        <f aca="false">SUM(G7+I7)</f>
        <v>1</v>
      </c>
      <c r="AA7" s="302" t="n">
        <f aca="false">IF(Y7=0,0,(Y7/X7))</f>
        <v>0.6</v>
      </c>
    </row>
    <row r="8" customFormat="false" ht="22.5" hidden="false" customHeight="true" outlineLevel="0" collapsed="false">
      <c r="A8" s="297" t="n">
        <f aca="false">'Listado CAPS'!A4</f>
        <v>0</v>
      </c>
      <c r="B8" s="297" t="n">
        <f aca="false">'Listado CAPS'!B4</f>
        <v>0</v>
      </c>
      <c r="C8" s="297" t="n">
        <f aca="false">'Listado CAPS'!C4</f>
        <v>0</v>
      </c>
      <c r="D8" s="297" t="str">
        <f aca="false">'Listado CAPS'!D4</f>
        <v>B</v>
      </c>
      <c r="E8" s="303"/>
      <c r="F8" s="299"/>
      <c r="G8" s="299"/>
      <c r="H8" s="299"/>
      <c r="I8" s="299"/>
      <c r="J8" s="299"/>
      <c r="K8" s="299"/>
      <c r="L8" s="299"/>
      <c r="M8" s="299"/>
      <c r="N8" s="299"/>
      <c r="O8" s="299"/>
      <c r="P8" s="299"/>
      <c r="Q8" s="299"/>
      <c r="R8" s="299"/>
      <c r="S8" s="299"/>
      <c r="T8" s="299"/>
      <c r="U8" s="299"/>
      <c r="V8" s="299"/>
      <c r="W8" s="300"/>
      <c r="X8" s="301" t="n">
        <f aca="false">SUM(F8:W8)</f>
        <v>0</v>
      </c>
      <c r="Y8" s="301" t="n">
        <f aca="false">+SUM(G8+I8+K8+M8+O8+Q8+S8+U8+W8)</f>
        <v>0</v>
      </c>
      <c r="Z8" s="301" t="n">
        <f aca="false">SUM(G8+I8)</f>
        <v>0</v>
      </c>
      <c r="AA8" s="302" t="n">
        <f aca="false">IF(Y8=0,0,(Y8/X8))</f>
        <v>0</v>
      </c>
    </row>
    <row r="9" customFormat="false" ht="21.75" hidden="false" customHeight="true" outlineLevel="0" collapsed="false">
      <c r="A9" s="297" t="n">
        <f aca="false">'Listado CAPS'!A5</f>
        <v>0</v>
      </c>
      <c r="B9" s="297" t="n">
        <f aca="false">'Listado CAPS'!B5</f>
        <v>0</v>
      </c>
      <c r="C9" s="297" t="n">
        <f aca="false">'Listado CAPS'!C5</f>
        <v>0</v>
      </c>
      <c r="D9" s="297" t="str">
        <f aca="false">'Listado CAPS'!D5</f>
        <v>C</v>
      </c>
      <c r="E9" s="303"/>
      <c r="F9" s="299"/>
      <c r="G9" s="299"/>
      <c r="H9" s="299"/>
      <c r="I9" s="299"/>
      <c r="J9" s="299"/>
      <c r="K9" s="299"/>
      <c r="L9" s="299"/>
      <c r="M9" s="299"/>
      <c r="N9" s="299"/>
      <c r="O9" s="299"/>
      <c r="P9" s="299"/>
      <c r="Q9" s="299"/>
      <c r="R9" s="299"/>
      <c r="S9" s="299"/>
      <c r="T9" s="299"/>
      <c r="U9" s="299"/>
      <c r="V9" s="299"/>
      <c r="W9" s="300"/>
      <c r="X9" s="301" t="n">
        <f aca="false">SUM(F9:W9)</f>
        <v>0</v>
      </c>
      <c r="Y9" s="301" t="n">
        <f aca="false">+SUM(G9+I9+K9+M9+O9+Q9+S9+U9+W9)</f>
        <v>0</v>
      </c>
      <c r="Z9" s="301" t="n">
        <f aca="false">SUM(G9+I9)</f>
        <v>0</v>
      </c>
      <c r="AA9" s="302" t="n">
        <f aca="false">IF(Y9=0,0,(Y9/X9))</f>
        <v>0</v>
      </c>
    </row>
    <row r="10" customFormat="false" ht="22.5" hidden="false" customHeight="true" outlineLevel="0" collapsed="false">
      <c r="A10" s="297" t="n">
        <f aca="false">'Listado CAPS'!A6</f>
        <v>0</v>
      </c>
      <c r="B10" s="297" t="n">
        <f aca="false">'Listado CAPS'!B6</f>
        <v>0</v>
      </c>
      <c r="C10" s="297" t="n">
        <f aca="false">'Listado CAPS'!C6</f>
        <v>0</v>
      </c>
      <c r="D10" s="297" t="str">
        <f aca="false">'Listado CAPS'!D6</f>
        <v>D</v>
      </c>
      <c r="E10" s="303"/>
      <c r="F10" s="299"/>
      <c r="G10" s="299"/>
      <c r="H10" s="299"/>
      <c r="I10" s="299"/>
      <c r="J10" s="299"/>
      <c r="K10" s="299"/>
      <c r="L10" s="299"/>
      <c r="M10" s="299"/>
      <c r="N10" s="299"/>
      <c r="O10" s="299"/>
      <c r="P10" s="299"/>
      <c r="Q10" s="299"/>
      <c r="R10" s="299"/>
      <c r="S10" s="299"/>
      <c r="T10" s="299"/>
      <c r="U10" s="299"/>
      <c r="V10" s="299"/>
      <c r="W10" s="300"/>
      <c r="X10" s="301" t="n">
        <f aca="false">SUM(F10:W10)</f>
        <v>0</v>
      </c>
      <c r="Y10" s="301" t="n">
        <f aca="false">+SUM(G10+I10+K10+M10+O10+Q10+S10+U10+W10)</f>
        <v>0</v>
      </c>
      <c r="Z10" s="301" t="n">
        <f aca="false">SUM(G10+I10)</f>
        <v>0</v>
      </c>
      <c r="AA10" s="302" t="n">
        <f aca="false">IF(Y10=0,0,(Y10/X10))</f>
        <v>0</v>
      </c>
    </row>
    <row r="11" customFormat="false" ht="21.75" hidden="false" customHeight="true" outlineLevel="0" collapsed="false">
      <c r="A11" s="297" t="n">
        <f aca="false">'Listado CAPS'!A7</f>
        <v>0</v>
      </c>
      <c r="B11" s="297" t="n">
        <f aca="false">'Listado CAPS'!B7</f>
        <v>0</v>
      </c>
      <c r="C11" s="297" t="n">
        <f aca="false">'Listado CAPS'!C7</f>
        <v>0</v>
      </c>
      <c r="D11" s="297" t="str">
        <f aca="false">'Listado CAPS'!D7</f>
        <v>E</v>
      </c>
      <c r="E11" s="303"/>
      <c r="F11" s="299"/>
      <c r="G11" s="299"/>
      <c r="H11" s="299"/>
      <c r="I11" s="299"/>
      <c r="J11" s="299"/>
      <c r="K11" s="299"/>
      <c r="L11" s="299"/>
      <c r="M11" s="299"/>
      <c r="N11" s="299"/>
      <c r="O11" s="299"/>
      <c r="P11" s="299"/>
      <c r="Q11" s="299"/>
      <c r="R11" s="299"/>
      <c r="S11" s="299"/>
      <c r="T11" s="299"/>
      <c r="U11" s="299"/>
      <c r="V11" s="299"/>
      <c r="W11" s="300"/>
      <c r="X11" s="301" t="n">
        <f aca="false">SUM(F11:W11)</f>
        <v>0</v>
      </c>
      <c r="Y11" s="301" t="n">
        <f aca="false">+SUM(G11+I11+K11+M11+O11+Q11+S11+U11+W11)</f>
        <v>0</v>
      </c>
      <c r="Z11" s="301" t="n">
        <f aca="false">SUM(G11+I11)</f>
        <v>0</v>
      </c>
      <c r="AA11" s="302" t="n">
        <f aca="false">IF(Y11=0,0,(Y11/X11))</f>
        <v>0</v>
      </c>
    </row>
    <row r="12" customFormat="false" ht="20.25" hidden="false" customHeight="true" outlineLevel="0" collapsed="false">
      <c r="A12" s="297" t="n">
        <f aca="false">'Listado CAPS'!A8</f>
        <v>0</v>
      </c>
      <c r="B12" s="297" t="n">
        <f aca="false">'Listado CAPS'!B8</f>
        <v>0</v>
      </c>
      <c r="C12" s="297" t="n">
        <f aca="false">'Listado CAPS'!C8</f>
        <v>0</v>
      </c>
      <c r="D12" s="297" t="str">
        <f aca="false">'Listado CAPS'!D8</f>
        <v>F</v>
      </c>
      <c r="E12" s="303"/>
      <c r="F12" s="299"/>
      <c r="G12" s="299"/>
      <c r="H12" s="299"/>
      <c r="I12" s="299"/>
      <c r="J12" s="299"/>
      <c r="K12" s="299"/>
      <c r="L12" s="299"/>
      <c r="M12" s="299"/>
      <c r="N12" s="299"/>
      <c r="O12" s="299"/>
      <c r="P12" s="299"/>
      <c r="Q12" s="299"/>
      <c r="R12" s="299"/>
      <c r="S12" s="299"/>
      <c r="T12" s="299"/>
      <c r="U12" s="299"/>
      <c r="V12" s="299"/>
      <c r="W12" s="300"/>
      <c r="X12" s="301" t="n">
        <f aca="false">SUM(F12:W12)</f>
        <v>0</v>
      </c>
      <c r="Y12" s="301" t="n">
        <f aca="false">+SUM(G12+I12+K12+M12+O12+Q12+S12+U12+W12)</f>
        <v>0</v>
      </c>
      <c r="Z12" s="301" t="n">
        <f aca="false">SUM(G12+I12)</f>
        <v>0</v>
      </c>
      <c r="AA12" s="302" t="n">
        <f aca="false">IF(Y12=0,0,(Y12/X12))</f>
        <v>0</v>
      </c>
    </row>
    <row r="13" customFormat="false" ht="24" hidden="false" customHeight="true" outlineLevel="0" collapsed="false">
      <c r="A13" s="297" t="n">
        <f aca="false">'Listado CAPS'!A9</f>
        <v>0</v>
      </c>
      <c r="B13" s="297" t="n">
        <f aca="false">'Listado CAPS'!B9</f>
        <v>0</v>
      </c>
      <c r="C13" s="297" t="n">
        <f aca="false">'Listado CAPS'!C9</f>
        <v>0</v>
      </c>
      <c r="D13" s="297" t="str">
        <f aca="false">'Listado CAPS'!D9</f>
        <v>G</v>
      </c>
      <c r="E13" s="303"/>
      <c r="F13" s="299"/>
      <c r="G13" s="299"/>
      <c r="H13" s="299"/>
      <c r="I13" s="299"/>
      <c r="J13" s="299"/>
      <c r="K13" s="299"/>
      <c r="L13" s="299"/>
      <c r="M13" s="299"/>
      <c r="N13" s="299"/>
      <c r="O13" s="299"/>
      <c r="P13" s="299"/>
      <c r="Q13" s="299"/>
      <c r="R13" s="299"/>
      <c r="S13" s="299"/>
      <c r="T13" s="299"/>
      <c r="U13" s="299"/>
      <c r="V13" s="299"/>
      <c r="W13" s="300"/>
      <c r="X13" s="301" t="n">
        <f aca="false">SUM(F13:W13)</f>
        <v>0</v>
      </c>
      <c r="Y13" s="301" t="n">
        <f aca="false">+SUM(G13+I13+K13+M13+O13+Q13+S13+U13+W13)</f>
        <v>0</v>
      </c>
      <c r="Z13" s="301" t="n">
        <f aca="false">SUM(G13+I13)</f>
        <v>0</v>
      </c>
      <c r="AA13" s="302" t="n">
        <f aca="false">IF(Y13=0,0,(Y13/X13))</f>
        <v>0</v>
      </c>
    </row>
    <row r="14" customFormat="false" ht="23.25" hidden="false" customHeight="true" outlineLevel="0" collapsed="false">
      <c r="A14" s="297" t="n">
        <f aca="false">'Listado CAPS'!A10</f>
        <v>0</v>
      </c>
      <c r="B14" s="297" t="n">
        <f aca="false">'Listado CAPS'!B10</f>
        <v>0</v>
      </c>
      <c r="C14" s="297" t="n">
        <f aca="false">'Listado CAPS'!C10</f>
        <v>0</v>
      </c>
      <c r="D14" s="297" t="str">
        <f aca="false">'Listado CAPS'!D10</f>
        <v>H</v>
      </c>
      <c r="E14" s="303"/>
      <c r="F14" s="299"/>
      <c r="G14" s="299"/>
      <c r="H14" s="299"/>
      <c r="I14" s="299"/>
      <c r="J14" s="299"/>
      <c r="K14" s="299"/>
      <c r="L14" s="299"/>
      <c r="M14" s="299"/>
      <c r="N14" s="299"/>
      <c r="O14" s="299"/>
      <c r="P14" s="299"/>
      <c r="Q14" s="299"/>
      <c r="R14" s="299"/>
      <c r="S14" s="299"/>
      <c r="T14" s="299"/>
      <c r="U14" s="299"/>
      <c r="V14" s="299"/>
      <c r="W14" s="300"/>
      <c r="X14" s="301" t="n">
        <f aca="false">SUM(F14:W14)</f>
        <v>0</v>
      </c>
      <c r="Y14" s="301" t="n">
        <f aca="false">+SUM(G14+I14+K14+M14+O14+Q14+S14+U14+W14)</f>
        <v>0</v>
      </c>
      <c r="Z14" s="301" t="n">
        <f aca="false">SUM(G14+I14)</f>
        <v>0</v>
      </c>
      <c r="AA14" s="302" t="n">
        <f aca="false">IF(Y14=0,0,(Y14/X14))</f>
        <v>0</v>
      </c>
    </row>
    <row r="15" customFormat="false" ht="22.5" hidden="false" customHeight="true" outlineLevel="0" collapsed="false">
      <c r="A15" s="297" t="n">
        <f aca="false">'Listado CAPS'!A11</f>
        <v>0</v>
      </c>
      <c r="B15" s="297" t="n">
        <f aca="false">'Listado CAPS'!B11</f>
        <v>0</v>
      </c>
      <c r="C15" s="297" t="n">
        <f aca="false">'Listado CAPS'!C11</f>
        <v>0</v>
      </c>
      <c r="D15" s="297" t="str">
        <f aca="false">'Listado CAPS'!D11</f>
        <v>I</v>
      </c>
      <c r="E15" s="303"/>
      <c r="F15" s="299"/>
      <c r="G15" s="299"/>
      <c r="H15" s="299"/>
      <c r="I15" s="299"/>
      <c r="J15" s="299"/>
      <c r="K15" s="299"/>
      <c r="L15" s="299"/>
      <c r="M15" s="299"/>
      <c r="N15" s="299"/>
      <c r="O15" s="299"/>
      <c r="P15" s="299"/>
      <c r="Q15" s="299"/>
      <c r="R15" s="299"/>
      <c r="S15" s="299"/>
      <c r="T15" s="299"/>
      <c r="U15" s="299"/>
      <c r="V15" s="299"/>
      <c r="W15" s="300"/>
      <c r="X15" s="301" t="n">
        <f aca="false">SUM(F15:W15)</f>
        <v>0</v>
      </c>
      <c r="Y15" s="301" t="n">
        <f aca="false">+SUM(G15+I15+K15+M15+O15+Q15+S15+U15+W15)</f>
        <v>0</v>
      </c>
      <c r="Z15" s="301" t="n">
        <f aca="false">SUM(G15+I15)</f>
        <v>0</v>
      </c>
      <c r="AA15" s="302" t="n">
        <f aca="false">IF(Y15=0,0,(Y15/X15))</f>
        <v>0</v>
      </c>
    </row>
    <row r="16" customFormat="false" ht="22.5" hidden="false" customHeight="true" outlineLevel="0" collapsed="false">
      <c r="A16" s="297" t="n">
        <f aca="false">'Listado CAPS'!A12</f>
        <v>0</v>
      </c>
      <c r="B16" s="297" t="n">
        <f aca="false">'Listado CAPS'!B12</f>
        <v>0</v>
      </c>
      <c r="C16" s="297" t="n">
        <f aca="false">'Listado CAPS'!C12</f>
        <v>0</v>
      </c>
      <c r="D16" s="297" t="str">
        <f aca="false">'Listado CAPS'!D12</f>
        <v>J</v>
      </c>
      <c r="E16" s="303"/>
      <c r="F16" s="299"/>
      <c r="G16" s="299"/>
      <c r="H16" s="299"/>
      <c r="I16" s="299"/>
      <c r="J16" s="299"/>
      <c r="K16" s="299"/>
      <c r="L16" s="299"/>
      <c r="M16" s="299"/>
      <c r="N16" s="299"/>
      <c r="O16" s="299"/>
      <c r="P16" s="299"/>
      <c r="Q16" s="299"/>
      <c r="R16" s="299"/>
      <c r="S16" s="299"/>
      <c r="T16" s="299"/>
      <c r="U16" s="299"/>
      <c r="V16" s="299"/>
      <c r="W16" s="300"/>
      <c r="X16" s="301" t="n">
        <f aca="false">SUM(F16:W16)</f>
        <v>0</v>
      </c>
      <c r="Y16" s="301" t="n">
        <f aca="false">+SUM(G16+I16+K16+M16+O16+Q16+S16+U16+W16)</f>
        <v>0</v>
      </c>
      <c r="Z16" s="301" t="n">
        <f aca="false">SUM(G16+I16)</f>
        <v>0</v>
      </c>
      <c r="AA16" s="302" t="n">
        <f aca="false">IF(Y16=0,0,(Y16/X16))</f>
        <v>0</v>
      </c>
    </row>
    <row r="17" customFormat="false" ht="21.75" hidden="false" customHeight="true" outlineLevel="0" collapsed="false">
      <c r="A17" s="297" t="n">
        <f aca="false">'Listado CAPS'!A13</f>
        <v>0</v>
      </c>
      <c r="B17" s="297" t="n">
        <f aca="false">'Listado CAPS'!B13</f>
        <v>0</v>
      </c>
      <c r="C17" s="297" t="n">
        <f aca="false">'Listado CAPS'!C13</f>
        <v>0</v>
      </c>
      <c r="D17" s="297" t="str">
        <f aca="false">'Listado CAPS'!D13</f>
        <v>K</v>
      </c>
      <c r="E17" s="303"/>
      <c r="F17" s="299"/>
      <c r="G17" s="299"/>
      <c r="H17" s="299"/>
      <c r="I17" s="299"/>
      <c r="J17" s="299"/>
      <c r="K17" s="299"/>
      <c r="L17" s="299"/>
      <c r="M17" s="299"/>
      <c r="N17" s="299"/>
      <c r="O17" s="299"/>
      <c r="P17" s="299"/>
      <c r="Q17" s="299"/>
      <c r="R17" s="299"/>
      <c r="S17" s="299"/>
      <c r="T17" s="299"/>
      <c r="U17" s="299"/>
      <c r="V17" s="299"/>
      <c r="W17" s="300"/>
      <c r="X17" s="301" t="n">
        <f aca="false">SUM(F17:W17)</f>
        <v>0</v>
      </c>
      <c r="Y17" s="301" t="n">
        <f aca="false">+SUM(G17+I17+K17+M17+O17+Q17+S17+U17+W17)</f>
        <v>0</v>
      </c>
      <c r="Z17" s="301" t="n">
        <f aca="false">SUM(G17+I17)</f>
        <v>0</v>
      </c>
      <c r="AA17" s="302" t="n">
        <f aca="false">IF(Y17=0,0,(Y17/X17))</f>
        <v>0</v>
      </c>
    </row>
    <row r="18" customFormat="false" ht="23.25" hidden="false" customHeight="true" outlineLevel="0" collapsed="false">
      <c r="A18" s="297" t="n">
        <f aca="false">'Listado CAPS'!A14</f>
        <v>0</v>
      </c>
      <c r="B18" s="297" t="n">
        <f aca="false">'Listado CAPS'!B14</f>
        <v>0</v>
      </c>
      <c r="C18" s="297" t="n">
        <f aca="false">'Listado CAPS'!C14</f>
        <v>0</v>
      </c>
      <c r="D18" s="297" t="str">
        <f aca="false">'Listado CAPS'!D14</f>
        <v>L</v>
      </c>
      <c r="E18" s="303"/>
      <c r="F18" s="299"/>
      <c r="G18" s="299"/>
      <c r="H18" s="299"/>
      <c r="I18" s="299"/>
      <c r="J18" s="299"/>
      <c r="K18" s="299"/>
      <c r="L18" s="299"/>
      <c r="M18" s="299"/>
      <c r="N18" s="299"/>
      <c r="O18" s="299"/>
      <c r="P18" s="299"/>
      <c r="Q18" s="299"/>
      <c r="R18" s="299"/>
      <c r="S18" s="299"/>
      <c r="T18" s="299"/>
      <c r="U18" s="299"/>
      <c r="V18" s="299"/>
      <c r="W18" s="300"/>
      <c r="X18" s="301" t="n">
        <f aca="false">SUM(F18:W18)</f>
        <v>0</v>
      </c>
      <c r="Y18" s="301" t="n">
        <f aca="false">+SUM(G18+I18+K18+M18+O18+Q18+S18+U18+W18)</f>
        <v>0</v>
      </c>
      <c r="Z18" s="301" t="n">
        <f aca="false">SUM(G18+I18)</f>
        <v>0</v>
      </c>
      <c r="AA18" s="302" t="n">
        <f aca="false">IF(Y18=0,0,(Y18/X18))</f>
        <v>0</v>
      </c>
    </row>
    <row r="19" customFormat="false" ht="23.25" hidden="false" customHeight="true" outlineLevel="0" collapsed="false">
      <c r="A19" s="297" t="n">
        <f aca="false">'Listado CAPS'!A15</f>
        <v>0</v>
      </c>
      <c r="B19" s="297" t="n">
        <f aca="false">'Listado CAPS'!B15</f>
        <v>0</v>
      </c>
      <c r="C19" s="297" t="n">
        <f aca="false">'Listado CAPS'!C15</f>
        <v>0</v>
      </c>
      <c r="D19" s="297" t="str">
        <f aca="false">'Listado CAPS'!D15</f>
        <v>M</v>
      </c>
      <c r="E19" s="303"/>
      <c r="F19" s="299"/>
      <c r="G19" s="299"/>
      <c r="H19" s="299"/>
      <c r="I19" s="299"/>
      <c r="J19" s="299"/>
      <c r="K19" s="299"/>
      <c r="L19" s="299"/>
      <c r="M19" s="299"/>
      <c r="N19" s="299"/>
      <c r="O19" s="299"/>
      <c r="P19" s="299"/>
      <c r="Q19" s="299"/>
      <c r="R19" s="299"/>
      <c r="S19" s="299"/>
      <c r="T19" s="299"/>
      <c r="U19" s="299"/>
      <c r="V19" s="299"/>
      <c r="W19" s="300"/>
      <c r="X19" s="301" t="n">
        <f aca="false">SUM(F19:W19)</f>
        <v>0</v>
      </c>
      <c r="Y19" s="301" t="n">
        <f aca="false">+SUM(G19+I19+K19+M19+O19+Q19+S19+U19+W19)</f>
        <v>0</v>
      </c>
      <c r="Z19" s="301" t="n">
        <f aca="false">SUM(G19+I19)</f>
        <v>0</v>
      </c>
      <c r="AA19" s="302" t="n">
        <f aca="false">IF(Y19=0,0,(Y19/X19))</f>
        <v>0</v>
      </c>
    </row>
    <row r="20" customFormat="false" ht="21.75" hidden="false" customHeight="true" outlineLevel="0" collapsed="false">
      <c r="A20" s="297" t="n">
        <f aca="false">'Listado CAPS'!A16</f>
        <v>0</v>
      </c>
      <c r="B20" s="297" t="n">
        <f aca="false">'Listado CAPS'!B16</f>
        <v>0</v>
      </c>
      <c r="C20" s="297" t="n">
        <f aca="false">'Listado CAPS'!C16</f>
        <v>0</v>
      </c>
      <c r="D20" s="297" t="str">
        <f aca="false">'Listado CAPS'!D16</f>
        <v>N</v>
      </c>
      <c r="E20" s="303"/>
      <c r="F20" s="299"/>
      <c r="G20" s="299"/>
      <c r="H20" s="299"/>
      <c r="I20" s="299"/>
      <c r="J20" s="299"/>
      <c r="K20" s="299"/>
      <c r="L20" s="299"/>
      <c r="M20" s="299"/>
      <c r="N20" s="299"/>
      <c r="O20" s="299"/>
      <c r="P20" s="299"/>
      <c r="Q20" s="299"/>
      <c r="R20" s="299"/>
      <c r="S20" s="299"/>
      <c r="T20" s="299"/>
      <c r="U20" s="299"/>
      <c r="V20" s="299"/>
      <c r="W20" s="300"/>
      <c r="X20" s="301" t="n">
        <f aca="false">SUM(F20:W20)</f>
        <v>0</v>
      </c>
      <c r="Y20" s="301" t="n">
        <f aca="false">+SUM(G20+I20+K20+M20+O20+Q20+S20+U20+W20)</f>
        <v>0</v>
      </c>
      <c r="Z20" s="301" t="n">
        <f aca="false">SUM(G20+I20)</f>
        <v>0</v>
      </c>
      <c r="AA20" s="302" t="n">
        <f aca="false">IF(Y20=0,0,(Y20/X20))</f>
        <v>0</v>
      </c>
    </row>
    <row r="21" customFormat="false" ht="23.25" hidden="false" customHeight="true" outlineLevel="0" collapsed="false">
      <c r="A21" s="297" t="n">
        <f aca="false">'Listado CAPS'!A17</f>
        <v>0</v>
      </c>
      <c r="B21" s="297" t="n">
        <f aca="false">'Listado CAPS'!B17</f>
        <v>0</v>
      </c>
      <c r="C21" s="297" t="n">
        <f aca="false">'Listado CAPS'!C17</f>
        <v>0</v>
      </c>
      <c r="D21" s="297" t="str">
        <f aca="false">'Listado CAPS'!D17</f>
        <v>Ñ</v>
      </c>
      <c r="E21" s="303"/>
      <c r="F21" s="299"/>
      <c r="G21" s="299"/>
      <c r="H21" s="299"/>
      <c r="I21" s="299"/>
      <c r="J21" s="299"/>
      <c r="K21" s="299"/>
      <c r="L21" s="299"/>
      <c r="M21" s="299"/>
      <c r="N21" s="299"/>
      <c r="O21" s="299"/>
      <c r="P21" s="299"/>
      <c r="Q21" s="299"/>
      <c r="R21" s="299"/>
      <c r="S21" s="299"/>
      <c r="T21" s="299"/>
      <c r="U21" s="299"/>
      <c r="V21" s="299"/>
      <c r="W21" s="300"/>
      <c r="X21" s="301" t="n">
        <f aca="false">SUM(F21:W21)</f>
        <v>0</v>
      </c>
      <c r="Y21" s="301" t="n">
        <f aca="false">+SUM(G21+I21+K21+M21+O21+Q21+S21+U21+W21)</f>
        <v>0</v>
      </c>
      <c r="Z21" s="301" t="n">
        <f aca="false">SUM(G21+I21)</f>
        <v>0</v>
      </c>
      <c r="AA21" s="302" t="n">
        <f aca="false">IF(Y21=0,0,(Y21/X21))</f>
        <v>0</v>
      </c>
    </row>
    <row r="22" customFormat="false" ht="21.75" hidden="false" customHeight="true" outlineLevel="0" collapsed="false">
      <c r="A22" s="297" t="n">
        <f aca="false">'Listado CAPS'!A18</f>
        <v>0</v>
      </c>
      <c r="B22" s="297" t="n">
        <f aca="false">'Listado CAPS'!B18</f>
        <v>0</v>
      </c>
      <c r="C22" s="297" t="n">
        <f aca="false">'Listado CAPS'!C18</f>
        <v>0</v>
      </c>
      <c r="D22" s="297" t="str">
        <f aca="false">'Listado CAPS'!D18</f>
        <v>O</v>
      </c>
      <c r="E22" s="303"/>
      <c r="F22" s="299"/>
      <c r="G22" s="299"/>
      <c r="H22" s="299"/>
      <c r="I22" s="299"/>
      <c r="J22" s="299"/>
      <c r="K22" s="299"/>
      <c r="L22" s="299"/>
      <c r="M22" s="299"/>
      <c r="N22" s="299"/>
      <c r="O22" s="299"/>
      <c r="P22" s="299"/>
      <c r="Q22" s="299"/>
      <c r="R22" s="299"/>
      <c r="S22" s="299"/>
      <c r="T22" s="299"/>
      <c r="U22" s="299"/>
      <c r="V22" s="299"/>
      <c r="W22" s="300"/>
      <c r="X22" s="301" t="n">
        <f aca="false">SUM(F22:W22)</f>
        <v>0</v>
      </c>
      <c r="Y22" s="301" t="n">
        <f aca="false">+SUM(G22+I22+K22+M22+O22+Q22+S22+U22+W22)</f>
        <v>0</v>
      </c>
      <c r="Z22" s="301" t="n">
        <f aca="false">SUM(G22+I22)</f>
        <v>0</v>
      </c>
      <c r="AA22" s="302" t="n">
        <f aca="false">IF(Y22=0,0,(Y22/X22))</f>
        <v>0</v>
      </c>
    </row>
    <row r="23" customFormat="false" ht="22.5" hidden="false" customHeight="true" outlineLevel="0" collapsed="false">
      <c r="A23" s="297" t="n">
        <f aca="false">'Listado CAPS'!A19</f>
        <v>0</v>
      </c>
      <c r="B23" s="297" t="n">
        <f aca="false">'Listado CAPS'!B19</f>
        <v>0</v>
      </c>
      <c r="C23" s="297" t="n">
        <f aca="false">'Listado CAPS'!C19</f>
        <v>0</v>
      </c>
      <c r="D23" s="297" t="str">
        <f aca="false">'Listado CAPS'!D19</f>
        <v>P</v>
      </c>
      <c r="E23" s="303"/>
      <c r="F23" s="299"/>
      <c r="G23" s="299"/>
      <c r="H23" s="299"/>
      <c r="I23" s="299"/>
      <c r="J23" s="299"/>
      <c r="K23" s="299"/>
      <c r="L23" s="299"/>
      <c r="M23" s="299"/>
      <c r="N23" s="299"/>
      <c r="O23" s="299"/>
      <c r="P23" s="299"/>
      <c r="Q23" s="299"/>
      <c r="R23" s="299"/>
      <c r="S23" s="299"/>
      <c r="T23" s="299"/>
      <c r="U23" s="299"/>
      <c r="V23" s="299"/>
      <c r="W23" s="300"/>
      <c r="X23" s="301" t="n">
        <f aca="false">SUM(F23:W23)</f>
        <v>0</v>
      </c>
      <c r="Y23" s="301" t="n">
        <f aca="false">+SUM(G23+I23+K23+M23+O23+Q23+S23+U23+W23)</f>
        <v>0</v>
      </c>
      <c r="Z23" s="301" t="n">
        <f aca="false">SUM(G23+I23)</f>
        <v>0</v>
      </c>
      <c r="AA23" s="302" t="n">
        <f aca="false">IF(Y23=0,0,(Y23/X23))</f>
        <v>0</v>
      </c>
    </row>
    <row r="24" customFormat="false" ht="23.25" hidden="false" customHeight="true" outlineLevel="0" collapsed="false">
      <c r="A24" s="297" t="n">
        <f aca="false">'Listado CAPS'!A20</f>
        <v>0</v>
      </c>
      <c r="B24" s="297" t="n">
        <f aca="false">'Listado CAPS'!B20</f>
        <v>0</v>
      </c>
      <c r="C24" s="297" t="n">
        <f aca="false">'Listado CAPS'!C20</f>
        <v>0</v>
      </c>
      <c r="D24" s="297" t="str">
        <f aca="false">'Listado CAPS'!D20</f>
        <v>Q</v>
      </c>
      <c r="E24" s="303"/>
      <c r="F24" s="299"/>
      <c r="G24" s="299"/>
      <c r="H24" s="299"/>
      <c r="I24" s="299"/>
      <c r="J24" s="299"/>
      <c r="K24" s="299"/>
      <c r="L24" s="299"/>
      <c r="M24" s="299"/>
      <c r="N24" s="299"/>
      <c r="O24" s="299"/>
      <c r="P24" s="299"/>
      <c r="Q24" s="299"/>
      <c r="R24" s="299"/>
      <c r="S24" s="299"/>
      <c r="T24" s="299"/>
      <c r="U24" s="299"/>
      <c r="V24" s="299"/>
      <c r="W24" s="300"/>
      <c r="X24" s="301" t="n">
        <f aca="false">SUM(F24:W24)</f>
        <v>0</v>
      </c>
      <c r="Y24" s="301" t="n">
        <f aca="false">+SUM(G24+I24+K24+M24+O24+Q24+S24+U24+W24)</f>
        <v>0</v>
      </c>
      <c r="Z24" s="301" t="n">
        <f aca="false">SUM(G24+I24)</f>
        <v>0</v>
      </c>
      <c r="AA24" s="302" t="n">
        <f aca="false">IF(Y24=0,0,(Y24/X24))</f>
        <v>0</v>
      </c>
    </row>
    <row r="25" customFormat="false" ht="20.25" hidden="false" customHeight="true" outlineLevel="0" collapsed="false">
      <c r="A25" s="297" t="n">
        <f aca="false">'Listado CAPS'!A21</f>
        <v>0</v>
      </c>
      <c r="B25" s="297" t="n">
        <f aca="false">'Listado CAPS'!B21</f>
        <v>0</v>
      </c>
      <c r="C25" s="297" t="n">
        <f aca="false">'Listado CAPS'!C21</f>
        <v>0</v>
      </c>
      <c r="D25" s="297" t="str">
        <f aca="false">'Listado CAPS'!D21</f>
        <v>R</v>
      </c>
      <c r="E25" s="303"/>
      <c r="F25" s="299"/>
      <c r="G25" s="299"/>
      <c r="H25" s="299"/>
      <c r="I25" s="299"/>
      <c r="J25" s="299"/>
      <c r="K25" s="299"/>
      <c r="L25" s="299"/>
      <c r="M25" s="299"/>
      <c r="N25" s="299"/>
      <c r="O25" s="299"/>
      <c r="P25" s="299"/>
      <c r="Q25" s="299"/>
      <c r="R25" s="299"/>
      <c r="S25" s="299"/>
      <c r="T25" s="299"/>
      <c r="U25" s="299"/>
      <c r="V25" s="299"/>
      <c r="W25" s="300"/>
      <c r="X25" s="301" t="n">
        <f aca="false">SUM(F25:W25)</f>
        <v>0</v>
      </c>
      <c r="Y25" s="301" t="n">
        <f aca="false">+SUM(G25+I25+K25+M25+O25+Q25+S25+U25+W25)</f>
        <v>0</v>
      </c>
      <c r="Z25" s="301" t="n">
        <f aca="false">SUM(G25+I25)</f>
        <v>0</v>
      </c>
      <c r="AA25" s="302" t="n">
        <f aca="false">IF(Y25=0,0,(Y25/X25))</f>
        <v>0</v>
      </c>
    </row>
    <row r="26" customFormat="false" ht="20.25" hidden="false" customHeight="true" outlineLevel="0" collapsed="false">
      <c r="A26" s="297" t="n">
        <f aca="false">'Listado CAPS'!A22</f>
        <v>0</v>
      </c>
      <c r="B26" s="297" t="n">
        <f aca="false">'Listado CAPS'!B22</f>
        <v>0</v>
      </c>
      <c r="C26" s="297" t="n">
        <f aca="false">'Listado CAPS'!C22</f>
        <v>0</v>
      </c>
      <c r="D26" s="297" t="str">
        <f aca="false">'Listado CAPS'!D22</f>
        <v>S</v>
      </c>
      <c r="E26" s="303"/>
      <c r="F26" s="299"/>
      <c r="G26" s="299"/>
      <c r="H26" s="299"/>
      <c r="I26" s="299"/>
      <c r="J26" s="299"/>
      <c r="K26" s="299"/>
      <c r="L26" s="299"/>
      <c r="M26" s="299"/>
      <c r="N26" s="299"/>
      <c r="O26" s="299"/>
      <c r="P26" s="299"/>
      <c r="Q26" s="299"/>
      <c r="R26" s="299"/>
      <c r="S26" s="299"/>
      <c r="T26" s="299"/>
      <c r="U26" s="299"/>
      <c r="V26" s="299"/>
      <c r="W26" s="300"/>
      <c r="X26" s="301" t="n">
        <f aca="false">SUM(F26:W26)</f>
        <v>0</v>
      </c>
      <c r="Y26" s="301" t="n">
        <f aca="false">+SUM(G26+I26+K26+M26+O26+Q26+S26+U26+W26)</f>
        <v>0</v>
      </c>
      <c r="Z26" s="301" t="n">
        <f aca="false">SUM(G26+I26)</f>
        <v>0</v>
      </c>
      <c r="AA26" s="302" t="n">
        <f aca="false">IF(Y26=0,0,(Y26/X26))</f>
        <v>0</v>
      </c>
    </row>
    <row r="27" customFormat="false" ht="20.25" hidden="false" customHeight="true" outlineLevel="0" collapsed="false">
      <c r="A27" s="297" t="n">
        <f aca="false">'Listado CAPS'!A23</f>
        <v>0</v>
      </c>
      <c r="B27" s="297" t="n">
        <f aca="false">'Listado CAPS'!B23</f>
        <v>0</v>
      </c>
      <c r="C27" s="297" t="n">
        <f aca="false">'Listado CAPS'!C23</f>
        <v>0</v>
      </c>
      <c r="D27" s="297" t="str">
        <f aca="false">'Listado CAPS'!D23</f>
        <v>T</v>
      </c>
      <c r="E27" s="303"/>
      <c r="F27" s="299"/>
      <c r="G27" s="299"/>
      <c r="H27" s="299"/>
      <c r="I27" s="299"/>
      <c r="J27" s="299"/>
      <c r="K27" s="299"/>
      <c r="L27" s="299"/>
      <c r="M27" s="299"/>
      <c r="N27" s="299"/>
      <c r="O27" s="299"/>
      <c r="P27" s="299"/>
      <c r="Q27" s="299"/>
      <c r="R27" s="299"/>
      <c r="S27" s="299"/>
      <c r="T27" s="299"/>
      <c r="U27" s="299"/>
      <c r="V27" s="299"/>
      <c r="W27" s="300"/>
      <c r="X27" s="301" t="n">
        <f aca="false">SUM(F27:W27)</f>
        <v>0</v>
      </c>
      <c r="Y27" s="301" t="n">
        <f aca="false">+SUM(G27+I27+K27+M27+O27+Q27+S27+U27+W27)</f>
        <v>0</v>
      </c>
      <c r="Z27" s="301" t="n">
        <f aca="false">SUM(G27+I27)</f>
        <v>0</v>
      </c>
      <c r="AA27" s="302" t="n">
        <f aca="false">IF(Y27=0,0,(Y27/X27))</f>
        <v>0</v>
      </c>
    </row>
    <row r="28" customFormat="false" ht="21.75" hidden="false" customHeight="true" outlineLevel="0" collapsed="false">
      <c r="A28" s="297" t="n">
        <f aca="false">'Listado CAPS'!A24</f>
        <v>0</v>
      </c>
      <c r="B28" s="297" t="n">
        <f aca="false">'Listado CAPS'!B24</f>
        <v>0</v>
      </c>
      <c r="C28" s="297" t="n">
        <f aca="false">'Listado CAPS'!C24</f>
        <v>0</v>
      </c>
      <c r="D28" s="297" t="str">
        <f aca="false">'Listado CAPS'!D24</f>
        <v>U</v>
      </c>
      <c r="E28" s="303"/>
      <c r="F28" s="299"/>
      <c r="G28" s="299"/>
      <c r="H28" s="299"/>
      <c r="I28" s="299"/>
      <c r="J28" s="299"/>
      <c r="K28" s="299"/>
      <c r="L28" s="299"/>
      <c r="M28" s="299"/>
      <c r="N28" s="299"/>
      <c r="O28" s="299"/>
      <c r="P28" s="299"/>
      <c r="Q28" s="299"/>
      <c r="R28" s="299"/>
      <c r="S28" s="299"/>
      <c r="T28" s="299"/>
      <c r="U28" s="299"/>
      <c r="V28" s="299"/>
      <c r="W28" s="300"/>
      <c r="X28" s="301" t="n">
        <f aca="false">SUM(F28:W28)</f>
        <v>0</v>
      </c>
      <c r="Y28" s="301" t="n">
        <f aca="false">+SUM(G28+I28+K28+M28+O28+Q28+S28+U28+W28)</f>
        <v>0</v>
      </c>
      <c r="Z28" s="301" t="n">
        <f aca="false">SUM(G28+I28)</f>
        <v>0</v>
      </c>
      <c r="AA28" s="302" t="n">
        <f aca="false">IF(Y28=0,0,(Y28/X28))</f>
        <v>0</v>
      </c>
    </row>
    <row r="29" customFormat="false" ht="21.75" hidden="false" customHeight="true" outlineLevel="0" collapsed="false">
      <c r="A29" s="297" t="n">
        <f aca="false">'Listado CAPS'!A25</f>
        <v>0</v>
      </c>
      <c r="B29" s="297" t="n">
        <f aca="false">'Listado CAPS'!B25</f>
        <v>0</v>
      </c>
      <c r="C29" s="297" t="n">
        <f aca="false">'Listado CAPS'!C25</f>
        <v>0</v>
      </c>
      <c r="D29" s="297" t="str">
        <f aca="false">'Listado CAPS'!D25</f>
        <v>V</v>
      </c>
      <c r="E29" s="303"/>
      <c r="F29" s="299"/>
      <c r="G29" s="299"/>
      <c r="H29" s="299"/>
      <c r="I29" s="299"/>
      <c r="J29" s="299"/>
      <c r="K29" s="299"/>
      <c r="L29" s="299"/>
      <c r="M29" s="299"/>
      <c r="N29" s="299"/>
      <c r="O29" s="299"/>
      <c r="P29" s="299"/>
      <c r="Q29" s="299"/>
      <c r="R29" s="299"/>
      <c r="S29" s="299"/>
      <c r="T29" s="299"/>
      <c r="U29" s="299"/>
      <c r="V29" s="299"/>
      <c r="W29" s="300"/>
      <c r="X29" s="301" t="n">
        <f aca="false">SUM(F29:W29)</f>
        <v>0</v>
      </c>
      <c r="Y29" s="301" t="n">
        <f aca="false">+SUM(G29+I29+K29+M29+O29+Q29+S29+U29+W29)</f>
        <v>0</v>
      </c>
      <c r="Z29" s="301" t="n">
        <f aca="false">SUM(G29+I29)</f>
        <v>0</v>
      </c>
      <c r="AA29" s="302" t="n">
        <f aca="false">IF(Y29=0,0,(Y29/X29))</f>
        <v>0</v>
      </c>
    </row>
    <row r="30" customFormat="false" ht="23.25" hidden="false" customHeight="true" outlineLevel="0" collapsed="false">
      <c r="A30" s="297" t="n">
        <f aca="false">'Listado CAPS'!A26</f>
        <v>0</v>
      </c>
      <c r="B30" s="297" t="n">
        <f aca="false">'Listado CAPS'!B26</f>
        <v>0</v>
      </c>
      <c r="C30" s="297" t="n">
        <f aca="false">'Listado CAPS'!C26</f>
        <v>0</v>
      </c>
      <c r="D30" s="297" t="str">
        <f aca="false">'Listado CAPS'!D26</f>
        <v>W</v>
      </c>
      <c r="E30" s="303"/>
      <c r="F30" s="299"/>
      <c r="G30" s="299"/>
      <c r="H30" s="299"/>
      <c r="I30" s="299"/>
      <c r="J30" s="299"/>
      <c r="K30" s="299"/>
      <c r="L30" s="299"/>
      <c r="M30" s="299"/>
      <c r="N30" s="299"/>
      <c r="O30" s="299"/>
      <c r="P30" s="299"/>
      <c r="Q30" s="299"/>
      <c r="R30" s="299"/>
      <c r="S30" s="299"/>
      <c r="T30" s="299"/>
      <c r="U30" s="299"/>
      <c r="V30" s="299"/>
      <c r="W30" s="300"/>
      <c r="X30" s="301" t="n">
        <f aca="false">SUM(F30:W30)</f>
        <v>0</v>
      </c>
      <c r="Y30" s="301" t="n">
        <f aca="false">+SUM(G30+I30+K30+M30+O30+Q30+S30+U30+W30)</f>
        <v>0</v>
      </c>
      <c r="Z30" s="301" t="n">
        <f aca="false">SUM(G30+I30)</f>
        <v>0</v>
      </c>
      <c r="AA30" s="302" t="n">
        <f aca="false">IF(Y30=0,0,(Y30/X30))</f>
        <v>0</v>
      </c>
    </row>
    <row r="31" customFormat="false" ht="17.25" hidden="false" customHeight="true" outlineLevel="0" collapsed="false">
      <c r="A31" s="297" t="n">
        <f aca="false">'Listado CAPS'!A27</f>
        <v>0</v>
      </c>
      <c r="B31" s="297" t="n">
        <f aca="false">'Listado CAPS'!B27</f>
        <v>0</v>
      </c>
      <c r="C31" s="297" t="n">
        <f aca="false">'Listado CAPS'!C27</f>
        <v>0</v>
      </c>
      <c r="D31" s="297" t="str">
        <f aca="false">'Listado CAPS'!D27</f>
        <v>X</v>
      </c>
      <c r="E31" s="303"/>
      <c r="F31" s="299"/>
      <c r="G31" s="299"/>
      <c r="H31" s="299"/>
      <c r="I31" s="299"/>
      <c r="J31" s="299"/>
      <c r="K31" s="299"/>
      <c r="L31" s="299"/>
      <c r="M31" s="299"/>
      <c r="N31" s="299"/>
      <c r="O31" s="299"/>
      <c r="P31" s="299"/>
      <c r="Q31" s="299"/>
      <c r="R31" s="299"/>
      <c r="S31" s="299"/>
      <c r="T31" s="299"/>
      <c r="U31" s="299"/>
      <c r="V31" s="299"/>
      <c r="W31" s="300"/>
      <c r="X31" s="301" t="n">
        <f aca="false">SUM(F31:W31)</f>
        <v>0</v>
      </c>
      <c r="Y31" s="301" t="n">
        <f aca="false">+SUM(G31+I31+K31+M31+O31+Q31+S31+U31+W31)</f>
        <v>0</v>
      </c>
      <c r="Z31" s="301" t="n">
        <f aca="false">SUM(G31+I31)</f>
        <v>0</v>
      </c>
      <c r="AA31" s="302" t="n">
        <f aca="false">IF(Y31=0,0,(Y31/X31))</f>
        <v>0</v>
      </c>
    </row>
    <row r="32" customFormat="false" ht="15" hidden="false" customHeight="false" outlineLevel="0" collapsed="false">
      <c r="A32" s="297" t="n">
        <f aca="false">'Listado CAPS'!A28</f>
        <v>0</v>
      </c>
      <c r="B32" s="297" t="n">
        <f aca="false">'Listado CAPS'!B28</f>
        <v>0</v>
      </c>
      <c r="C32" s="297" t="n">
        <f aca="false">'Listado CAPS'!C28</f>
        <v>0</v>
      </c>
      <c r="D32" s="297" t="str">
        <f aca="false">'Listado CAPS'!D28</f>
        <v>Y</v>
      </c>
      <c r="E32" s="304"/>
      <c r="F32" s="299"/>
      <c r="G32" s="299"/>
      <c r="H32" s="299"/>
      <c r="I32" s="299"/>
      <c r="J32" s="299"/>
      <c r="K32" s="299"/>
      <c r="L32" s="299"/>
      <c r="M32" s="299"/>
      <c r="N32" s="299"/>
      <c r="O32" s="299"/>
      <c r="P32" s="299"/>
      <c r="Q32" s="299"/>
      <c r="R32" s="299"/>
      <c r="S32" s="299"/>
      <c r="T32" s="299"/>
      <c r="U32" s="299"/>
      <c r="V32" s="299"/>
      <c r="W32" s="300"/>
      <c r="X32" s="301" t="n">
        <f aca="false">SUM(F32:W32)</f>
        <v>0</v>
      </c>
      <c r="Y32" s="301" t="n">
        <f aca="false">+SUM(G32+I32+K32+M32+O32+Q32+S32+U32+W32)</f>
        <v>0</v>
      </c>
      <c r="Z32" s="301" t="n">
        <f aca="false">SUM(G32+I32)</f>
        <v>0</v>
      </c>
      <c r="AA32" s="302" t="n">
        <f aca="false">IF(Y32=0,0,(Y32/X32))</f>
        <v>0</v>
      </c>
    </row>
    <row r="33" customFormat="false" ht="15" hidden="false" customHeight="false" outlineLevel="0" collapsed="false">
      <c r="A33" s="305"/>
      <c r="B33" s="305"/>
      <c r="C33" s="305"/>
      <c r="D33" s="305"/>
      <c r="E33" s="306" t="s">
        <v>334</v>
      </c>
      <c r="F33" s="307" t="n">
        <f aca="false">SUM(F7:F32)</f>
        <v>1</v>
      </c>
      <c r="G33" s="307" t="n">
        <f aca="false">SUM(G7:G32)</f>
        <v>0</v>
      </c>
      <c r="H33" s="307" t="n">
        <f aca="false">SUM(H7:H32)</f>
        <v>0</v>
      </c>
      <c r="I33" s="307" t="n">
        <f aca="false">SUM(I7:I32)</f>
        <v>1</v>
      </c>
      <c r="J33" s="307" t="n">
        <f aca="false">SUM(J7:J32)</f>
        <v>0</v>
      </c>
      <c r="K33" s="307" t="n">
        <f aca="false">SUM(K7:K32)</f>
        <v>1</v>
      </c>
      <c r="L33" s="307" t="n">
        <f aca="false">SUM(L7:L32)</f>
        <v>1</v>
      </c>
      <c r="M33" s="307" t="n">
        <f aca="false">SUM(M7:M32)</f>
        <v>0</v>
      </c>
      <c r="N33" s="307" t="n">
        <f aca="false">SUM(N7:N32)</f>
        <v>0</v>
      </c>
      <c r="O33" s="307" t="n">
        <f aca="false">SUM(O7:O32)</f>
        <v>1</v>
      </c>
      <c r="P33" s="307" t="n">
        <f aca="false">SUM(P7:P32)</f>
        <v>0</v>
      </c>
      <c r="Q33" s="307" t="n">
        <f aca="false">SUM(Q7:Q32)</f>
        <v>0</v>
      </c>
      <c r="R33" s="307" t="n">
        <f aca="false">SUM(R7:R32)</f>
        <v>0</v>
      </c>
      <c r="S33" s="307" t="n">
        <f aca="false">SUM(S7:S32)</f>
        <v>0</v>
      </c>
      <c r="T33" s="307" t="n">
        <f aca="false">SUM(T7:T32)</f>
        <v>0</v>
      </c>
      <c r="U33" s="307" t="n">
        <f aca="false">SUM(U7:U32)</f>
        <v>0</v>
      </c>
      <c r="V33" s="307" t="n">
        <f aca="false">SUM(V7:V32)</f>
        <v>0</v>
      </c>
      <c r="W33" s="307" t="n">
        <f aca="false">SUM(W7:W32)</f>
        <v>0</v>
      </c>
      <c r="X33" s="308" t="n">
        <f aca="false">SUM(F33:W33)</f>
        <v>5</v>
      </c>
      <c r="Y33" s="309" t="n">
        <f aca="false">+SUM(G33+I33+K33+M33+O33+Q33+S33+U33+W33)</f>
        <v>3</v>
      </c>
      <c r="Z33" s="309" t="n">
        <f aca="false">IF(SUM(Z7:Z32)=0,0,SUM(Z7:Z32)/COUNTIF(X7:X32,"&lt;&gt;0"))</f>
        <v>1</v>
      </c>
      <c r="AA33" s="310" t="n">
        <f aca="false">IF(SUM(AA7:AA32)=0,0,SUM(AA7:AA32)/COUNTIF(Y7:Y32,"&lt;&gt;0"))</f>
        <v>0.6</v>
      </c>
    </row>
  </sheetData>
  <mergeCells count="23">
    <mergeCell ref="C1:S1"/>
    <mergeCell ref="T1:U1"/>
    <mergeCell ref="C2:L3"/>
    <mergeCell ref="Z3:AA4"/>
    <mergeCell ref="A4:A6"/>
    <mergeCell ref="B4:B6"/>
    <mergeCell ref="C4:C6"/>
    <mergeCell ref="D4:D6"/>
    <mergeCell ref="E4:E6"/>
    <mergeCell ref="F4:W4"/>
    <mergeCell ref="F5:G5"/>
    <mergeCell ref="H5:I5"/>
    <mergeCell ref="J5:K5"/>
    <mergeCell ref="L5:M5"/>
    <mergeCell ref="N5:O5"/>
    <mergeCell ref="P5:Q5"/>
    <mergeCell ref="R5:S5"/>
    <mergeCell ref="T5:U5"/>
    <mergeCell ref="V5:W5"/>
    <mergeCell ref="X5:X6"/>
    <mergeCell ref="Y5:Y6"/>
    <mergeCell ref="Z5:Z6"/>
    <mergeCell ref="AA5:AA6"/>
  </mergeCells>
  <hyperlinks>
    <hyperlink ref="B1" location="'Tabla de Contenidos'!A1" display="Volver a Tabla de contenidos"/>
    <hyperlink ref="T1" location="'RESULTADO FINAL SOSTENIBILIDAD'!A1" display="Ir a Resultados Finales"/>
    <hyperlink ref="Z3" location="'I.Genero '!A1" display="Ir a Hoja de I.Género"/>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4F0E4"/>
    <pageSetUpPr fitToPage="false"/>
  </sheetPr>
  <dimension ref="A1:BM408"/>
  <sheetViews>
    <sheetView showFormulas="false" showGridLines="false" showRowColHeaders="true" showZeros="true" rightToLeft="false" tabSelected="false" showOutlineSymbols="true" defaultGridColor="true" view="normal" topLeftCell="D2" colorId="64" zoomScale="90" zoomScaleNormal="90" zoomScalePageLayoutView="100" workbookViewId="0">
      <selection pane="topLeft" activeCell="M6" activeCellId="0" sqref="M6"/>
    </sheetView>
  </sheetViews>
  <sheetFormatPr defaultColWidth="11.43359375" defaultRowHeight="12.75" customHeight="false" zeroHeight="false" outlineLevelRow="0" outlineLevelCol="0"/>
  <cols>
    <col collapsed="false" customWidth="true" hidden="false" outlineLevel="0" max="1" min="1" style="184" width="16"/>
    <col collapsed="false" customWidth="false" hidden="false" outlineLevel="0" max="2" min="2" style="184" width="11.43"/>
    <col collapsed="false" customWidth="true" hidden="false" outlineLevel="0" max="3" min="3" style="311" width="12"/>
    <col collapsed="false" customWidth="true" hidden="false" outlineLevel="0" max="5" min="4" style="311" width="17.29"/>
    <col collapsed="false" customWidth="true" hidden="false" outlineLevel="0" max="6" min="6" style="311" width="12.15"/>
    <col collapsed="false" customWidth="true" hidden="false" outlineLevel="0" max="7" min="7" style="311" width="14.57"/>
    <col collapsed="false" customWidth="true" hidden="false" outlineLevel="0" max="8" min="8" style="311" width="16"/>
    <col collapsed="false" customWidth="true" hidden="false" outlineLevel="0" max="9" min="9" style="311" width="14.86"/>
    <col collapsed="false" customWidth="true" hidden="false" outlineLevel="0" max="10" min="10" style="311" width="22.29"/>
    <col collapsed="false" customWidth="true" hidden="false" outlineLevel="0" max="11" min="11" style="311" width="8.29"/>
    <col collapsed="false" customWidth="true" hidden="false" outlineLevel="0" max="12" min="12" style="311" width="13.86"/>
    <col collapsed="false" customWidth="true" hidden="false" outlineLevel="0" max="13" min="13" style="184" width="21.57"/>
    <col collapsed="false" customWidth="true" hidden="false" outlineLevel="0" max="14" min="14" style="184" width="31.57"/>
    <col collapsed="false" customWidth="false" hidden="false" outlineLevel="0" max="64" min="15" style="184" width="11.43"/>
    <col collapsed="false" customWidth="true" hidden="false" outlineLevel="0" max="65" min="65" style="184" width="26"/>
    <col collapsed="false" customWidth="false" hidden="false" outlineLevel="0" max="16384" min="66" style="184" width="11.43"/>
  </cols>
  <sheetData>
    <row r="1" customFormat="false" ht="5.25" hidden="true" customHeight="true" outlineLevel="0" collapsed="false"/>
    <row r="2" s="312" customFormat="true" ht="48.75" hidden="false" customHeight="true" outlineLevel="0" collapsed="false">
      <c r="C2" s="188" t="s">
        <v>246</v>
      </c>
      <c r="D2" s="313" t="s">
        <v>335</v>
      </c>
      <c r="E2" s="313"/>
      <c r="F2" s="313"/>
      <c r="G2" s="313"/>
      <c r="H2" s="313"/>
      <c r="I2" s="313"/>
      <c r="J2" s="313"/>
      <c r="K2" s="313"/>
      <c r="L2" s="313"/>
      <c r="M2" s="188" t="s">
        <v>176</v>
      </c>
    </row>
    <row r="3" s="314" customFormat="true" ht="27.75" hidden="false" customHeight="true" outlineLevel="0" collapsed="false">
      <c r="C3" s="315"/>
      <c r="D3" s="316"/>
      <c r="E3" s="316"/>
      <c r="F3" s="317" t="s">
        <v>336</v>
      </c>
      <c r="G3" s="317"/>
      <c r="H3" s="317"/>
      <c r="I3" s="317"/>
      <c r="J3" s="317"/>
      <c r="K3" s="318" t="s">
        <v>337</v>
      </c>
      <c r="L3" s="318"/>
      <c r="M3" s="318"/>
    </row>
    <row r="4" customFormat="false" ht="32.25" hidden="false" customHeight="true" outlineLevel="0" collapsed="false">
      <c r="C4" s="319"/>
      <c r="D4" s="319"/>
      <c r="E4" s="319"/>
      <c r="F4" s="317"/>
      <c r="G4" s="317"/>
      <c r="H4" s="317"/>
      <c r="I4" s="317"/>
      <c r="J4" s="317"/>
      <c r="K4" s="318"/>
      <c r="L4" s="318"/>
      <c r="M4" s="318"/>
    </row>
    <row r="5" s="186" customFormat="true" ht="75" hidden="false" customHeight="true" outlineLevel="0" collapsed="false">
      <c r="A5" s="320" t="s">
        <v>315</v>
      </c>
      <c r="B5" s="320" t="s">
        <v>17</v>
      </c>
      <c r="C5" s="320" t="s">
        <v>317</v>
      </c>
      <c r="D5" s="321" t="s">
        <v>318</v>
      </c>
      <c r="E5" s="321" t="s">
        <v>280</v>
      </c>
      <c r="F5" s="322" t="s">
        <v>338</v>
      </c>
      <c r="G5" s="322" t="s">
        <v>339</v>
      </c>
      <c r="H5" s="322" t="s">
        <v>340</v>
      </c>
      <c r="I5" s="322" t="s">
        <v>341</v>
      </c>
      <c r="J5" s="322" t="s">
        <v>342</v>
      </c>
      <c r="K5" s="323" t="s">
        <v>343</v>
      </c>
      <c r="L5" s="324" t="s">
        <v>344</v>
      </c>
      <c r="M5" s="324" t="s">
        <v>345</v>
      </c>
    </row>
    <row r="6" s="331" customFormat="true" ht="22.5" hidden="false" customHeight="true" outlineLevel="0" collapsed="false">
      <c r="A6" s="325" t="str">
        <f aca="false">'Listado CAPS'!A3</f>
        <v>Madriz</v>
      </c>
      <c r="B6" s="325" t="str">
        <f aca="false">'Listado CAPS'!B3</f>
        <v>Yalaguina</v>
      </c>
      <c r="C6" s="325" t="str">
        <f aca="false">'Listado CAPS'!C3</f>
        <v>Los Encuentros</v>
      </c>
      <c r="D6" s="326" t="str">
        <f aca="false">'Listado CAPS'!D3</f>
        <v>Los Encuentros</v>
      </c>
      <c r="E6" s="326" t="str">
        <f aca="false">'Listado CAPS'!E3</f>
        <v>MAG</v>
      </c>
      <c r="F6" s="327" t="n">
        <v>1</v>
      </c>
      <c r="G6" s="327" t="n">
        <v>1</v>
      </c>
      <c r="H6" s="327"/>
      <c r="I6" s="327"/>
      <c r="J6" s="327" t="n">
        <v>1</v>
      </c>
      <c r="K6" s="328" t="n">
        <f aca="false">IF(J6&lt;&gt;1,0,IF(E6="MABE",IF(SUM(F6:J6)&gt;=3,1,0),IF(E6="MAG",IF(SUM(F6:J6)&gt;=2,1,0),IF(E6&lt;&gt;"MAG, MABE",IF(SUM(F6:J6)&gt;=2,1,0)))))</f>
        <v>1</v>
      </c>
      <c r="L6" s="329"/>
      <c r="M6" s="330"/>
    </row>
    <row r="7" s="331" customFormat="true" ht="22.5" hidden="false" customHeight="true" outlineLevel="0" collapsed="false">
      <c r="A7" s="325" t="n">
        <f aca="false">'Listado CAPS'!A4</f>
        <v>0</v>
      </c>
      <c r="B7" s="325" t="n">
        <f aca="false">'Listado CAPS'!B4</f>
        <v>0</v>
      </c>
      <c r="C7" s="325" t="n">
        <f aca="false">'Listado CAPS'!C4</f>
        <v>0</v>
      </c>
      <c r="D7" s="326" t="str">
        <f aca="false">'Listado CAPS'!D4</f>
        <v>B</v>
      </c>
      <c r="E7" s="326"/>
      <c r="F7" s="327"/>
      <c r="G7" s="327"/>
      <c r="H7" s="327"/>
      <c r="I7" s="327"/>
      <c r="J7" s="327"/>
      <c r="K7" s="328" t="n">
        <f aca="false">IF(J7&lt;&gt;1,0,IF(E7="MABE",IF(SUM(F7:J7)&gt;=3,1,0),IF(E7="MAG",IF(SUM(F7:J7)&gt;=2,1,0),IF(E7&lt;&gt;"MAG, MABE",IF(SUM(F7:J7)&gt;=2,1,0)))))</f>
        <v>0</v>
      </c>
      <c r="L7" s="329"/>
      <c r="M7" s="332"/>
    </row>
    <row r="8" s="331" customFormat="true" ht="22.5" hidden="false" customHeight="true" outlineLevel="0" collapsed="false">
      <c r="A8" s="325" t="n">
        <f aca="false">'Listado CAPS'!A5</f>
        <v>0</v>
      </c>
      <c r="B8" s="325" t="n">
        <f aca="false">'Listado CAPS'!B5</f>
        <v>0</v>
      </c>
      <c r="C8" s="325" t="n">
        <f aca="false">'Listado CAPS'!C5</f>
        <v>0</v>
      </c>
      <c r="D8" s="326" t="str">
        <f aca="false">'Listado CAPS'!D5</f>
        <v>C</v>
      </c>
      <c r="E8" s="326"/>
      <c r="F8" s="327"/>
      <c r="G8" s="327"/>
      <c r="H8" s="327"/>
      <c r="I8" s="327"/>
      <c r="J8" s="327"/>
      <c r="K8" s="328" t="n">
        <f aca="false">IF(J8&lt;&gt;1,0,IF(E8="MABE",IF(SUM(F8:J8)&gt;=3,1,0),IF(E8="MAG",IF(SUM(F8:J8)&gt;=2,1,0),IF(E8&lt;&gt;"MAG, MABE",IF(SUM(F8:J8)&gt;=2,1,0)))))</f>
        <v>0</v>
      </c>
      <c r="L8" s="329"/>
      <c r="M8" s="332"/>
    </row>
    <row r="9" s="331" customFormat="true" ht="22.5" hidden="false" customHeight="true" outlineLevel="0" collapsed="false">
      <c r="A9" s="325" t="n">
        <f aca="false">'Listado CAPS'!A6</f>
        <v>0</v>
      </c>
      <c r="B9" s="325" t="n">
        <f aca="false">'Listado CAPS'!B6</f>
        <v>0</v>
      </c>
      <c r="C9" s="325" t="n">
        <f aca="false">'Listado CAPS'!C6</f>
        <v>0</v>
      </c>
      <c r="D9" s="326" t="str">
        <f aca="false">'Listado CAPS'!D6</f>
        <v>D</v>
      </c>
      <c r="E9" s="326"/>
      <c r="F9" s="327"/>
      <c r="G9" s="327"/>
      <c r="H9" s="327"/>
      <c r="I9" s="327"/>
      <c r="J9" s="327"/>
      <c r="K9" s="328" t="n">
        <f aca="false">IF(J9&lt;&gt;1,0,IF(E9="MABE",IF(SUM(F9:J9)&gt;=3,1,0),IF(E9="MAG",IF(SUM(F9:J9)&gt;=2,1,0),IF(E9&lt;&gt;"MAG, MABE",IF(SUM(F9:J9)&gt;=2,1,0)))))</f>
        <v>0</v>
      </c>
      <c r="L9" s="329"/>
      <c r="M9" s="332"/>
    </row>
    <row r="10" s="331" customFormat="true" ht="22.5" hidden="false" customHeight="true" outlineLevel="0" collapsed="false">
      <c r="A10" s="325" t="n">
        <f aca="false">'Listado CAPS'!A7</f>
        <v>0</v>
      </c>
      <c r="B10" s="325" t="n">
        <f aca="false">'Listado CAPS'!B7</f>
        <v>0</v>
      </c>
      <c r="C10" s="325" t="n">
        <f aca="false">'Listado CAPS'!C7</f>
        <v>0</v>
      </c>
      <c r="D10" s="326" t="str">
        <f aca="false">'Listado CAPS'!D7</f>
        <v>E</v>
      </c>
      <c r="E10" s="326"/>
      <c r="F10" s="327"/>
      <c r="G10" s="327"/>
      <c r="H10" s="327"/>
      <c r="I10" s="327"/>
      <c r="J10" s="327"/>
      <c r="K10" s="328" t="n">
        <f aca="false">IF(J10&lt;&gt;1,0,IF(E10="MABE",IF(SUM(F10:J10)&gt;=3,1,0),IF(E10="MAG",IF(SUM(F10:J10)&gt;=2,1,0),IF(E10&lt;&gt;"MAG, MABE",IF(SUM(F10:J10)&gt;=2,1,0)))))</f>
        <v>0</v>
      </c>
      <c r="L10" s="329"/>
      <c r="M10" s="332"/>
    </row>
    <row r="11" s="331" customFormat="true" ht="22.5" hidden="false" customHeight="true" outlineLevel="0" collapsed="false">
      <c r="A11" s="325" t="n">
        <f aca="false">'Listado CAPS'!A8</f>
        <v>0</v>
      </c>
      <c r="B11" s="325" t="n">
        <f aca="false">'Listado CAPS'!B8</f>
        <v>0</v>
      </c>
      <c r="C11" s="325" t="n">
        <f aca="false">'Listado CAPS'!C8</f>
        <v>0</v>
      </c>
      <c r="D11" s="326" t="str">
        <f aca="false">'Listado CAPS'!D8</f>
        <v>F</v>
      </c>
      <c r="E11" s="326"/>
      <c r="F11" s="327"/>
      <c r="G11" s="327"/>
      <c r="H11" s="327"/>
      <c r="I11" s="327"/>
      <c r="J11" s="327"/>
      <c r="K11" s="328" t="n">
        <f aca="false">IF(J11&lt;&gt;1,0,IF(E11="MABE",IF(SUM(F11:J11)&gt;=3,1,0),IF(E11="MAG",IF(SUM(F11:J11)&gt;=2,1,0),IF(E11&lt;&gt;"MAG, MABE",IF(SUM(F11:J11)&gt;=2,1,0)))))</f>
        <v>0</v>
      </c>
      <c r="L11" s="329"/>
      <c r="M11" s="332"/>
    </row>
    <row r="12" s="331" customFormat="true" ht="22.5" hidden="false" customHeight="true" outlineLevel="0" collapsed="false">
      <c r="A12" s="325" t="n">
        <f aca="false">'Listado CAPS'!A9</f>
        <v>0</v>
      </c>
      <c r="B12" s="325" t="n">
        <f aca="false">'Listado CAPS'!B9</f>
        <v>0</v>
      </c>
      <c r="C12" s="325" t="n">
        <f aca="false">'Listado CAPS'!C9</f>
        <v>0</v>
      </c>
      <c r="D12" s="326" t="str">
        <f aca="false">'Listado CAPS'!D9</f>
        <v>G</v>
      </c>
      <c r="E12" s="326"/>
      <c r="F12" s="327"/>
      <c r="G12" s="327"/>
      <c r="H12" s="327"/>
      <c r="I12" s="327"/>
      <c r="J12" s="327"/>
      <c r="K12" s="328" t="n">
        <f aca="false">IF(J12&lt;&gt;1,0,IF(E12="MABE",IF(SUM(F12:J12)&gt;=3,1,0),IF(E12="MAG",IF(SUM(F12:J12)&gt;=2,1,0),IF(E12&lt;&gt;"MAG, MABE",IF(SUM(F12:J12)&gt;=2,1,0)))))</f>
        <v>0</v>
      </c>
      <c r="L12" s="329"/>
      <c r="M12" s="332"/>
    </row>
    <row r="13" s="331" customFormat="true" ht="22.5" hidden="false" customHeight="true" outlineLevel="0" collapsed="false">
      <c r="A13" s="325" t="n">
        <f aca="false">'Listado CAPS'!A10</f>
        <v>0</v>
      </c>
      <c r="B13" s="325" t="n">
        <f aca="false">'Listado CAPS'!B10</f>
        <v>0</v>
      </c>
      <c r="C13" s="325" t="n">
        <f aca="false">'Listado CAPS'!C10</f>
        <v>0</v>
      </c>
      <c r="D13" s="326" t="str">
        <f aca="false">'Listado CAPS'!D10</f>
        <v>H</v>
      </c>
      <c r="E13" s="326"/>
      <c r="F13" s="327"/>
      <c r="G13" s="327"/>
      <c r="H13" s="327"/>
      <c r="I13" s="327"/>
      <c r="J13" s="327"/>
      <c r="K13" s="328" t="n">
        <f aca="false">IF(J13&lt;&gt;1,0,IF(E13="MABE",IF(SUM(F13:J13)&gt;=3,1,0),IF(E13="MAG",IF(SUM(F13:J13)&gt;=2,1,0),IF(E13&lt;&gt;"MAG, MABE",IF(SUM(F13:J13)&gt;=2,1,0)))))</f>
        <v>0</v>
      </c>
      <c r="L13" s="329"/>
      <c r="M13" s="332"/>
    </row>
    <row r="14" s="331" customFormat="true" ht="22.5" hidden="false" customHeight="true" outlineLevel="0" collapsed="false">
      <c r="A14" s="325" t="n">
        <f aca="false">'Listado CAPS'!A11</f>
        <v>0</v>
      </c>
      <c r="B14" s="325" t="n">
        <f aca="false">'Listado CAPS'!B11</f>
        <v>0</v>
      </c>
      <c r="C14" s="325" t="n">
        <f aca="false">'Listado CAPS'!C11</f>
        <v>0</v>
      </c>
      <c r="D14" s="326" t="str">
        <f aca="false">'Listado CAPS'!D11</f>
        <v>I</v>
      </c>
      <c r="E14" s="326"/>
      <c r="F14" s="327"/>
      <c r="G14" s="327"/>
      <c r="H14" s="327"/>
      <c r="I14" s="327"/>
      <c r="J14" s="327"/>
      <c r="K14" s="328" t="n">
        <f aca="false">IF(J14&lt;&gt;1,0,IF(E14="MABE",IF(SUM(F14:J14)&gt;=3,1,0),IF(E14="MAG",IF(SUM(F14:J14)&gt;=2,1,0),IF(E14&lt;&gt;"MAG, MABE",IF(SUM(F14:J14)&gt;=2,1,0)))))</f>
        <v>0</v>
      </c>
      <c r="L14" s="329"/>
      <c r="M14" s="332"/>
    </row>
    <row r="15" s="331" customFormat="true" ht="22.5" hidden="false" customHeight="true" outlineLevel="0" collapsed="false">
      <c r="A15" s="325" t="n">
        <f aca="false">'Listado CAPS'!A12</f>
        <v>0</v>
      </c>
      <c r="B15" s="325" t="n">
        <f aca="false">'Listado CAPS'!B12</f>
        <v>0</v>
      </c>
      <c r="C15" s="325" t="n">
        <f aca="false">'Listado CAPS'!C12</f>
        <v>0</v>
      </c>
      <c r="D15" s="326" t="str">
        <f aca="false">'Listado CAPS'!D12</f>
        <v>J</v>
      </c>
      <c r="E15" s="326"/>
      <c r="F15" s="327"/>
      <c r="G15" s="327"/>
      <c r="H15" s="327"/>
      <c r="I15" s="327"/>
      <c r="J15" s="327"/>
      <c r="K15" s="328" t="n">
        <f aca="false">IF(J15&lt;&gt;1,0,IF(E15="MABE",IF(SUM(F15:J15)&gt;=3,1,0),IF(E15="MAG",IF(SUM(F15:J15)&gt;=2,1,0),IF(E15&lt;&gt;"MAG, MABE",IF(SUM(F15:J15)&gt;=2,1,0)))))</f>
        <v>0</v>
      </c>
      <c r="L15" s="329"/>
      <c r="M15" s="332"/>
    </row>
    <row r="16" s="334" customFormat="true" ht="22.5" hidden="false" customHeight="true" outlineLevel="0" collapsed="false">
      <c r="A16" s="325" t="n">
        <f aca="false">'Listado CAPS'!A13</f>
        <v>0</v>
      </c>
      <c r="B16" s="325" t="n">
        <f aca="false">'Listado CAPS'!B13</f>
        <v>0</v>
      </c>
      <c r="C16" s="325" t="n">
        <f aca="false">'Listado CAPS'!C13</f>
        <v>0</v>
      </c>
      <c r="D16" s="326" t="str">
        <f aca="false">'Listado CAPS'!D13</f>
        <v>K</v>
      </c>
      <c r="E16" s="326"/>
      <c r="F16" s="327"/>
      <c r="G16" s="327"/>
      <c r="H16" s="327"/>
      <c r="I16" s="327"/>
      <c r="J16" s="327"/>
      <c r="K16" s="328" t="n">
        <f aca="false">IF(J16&lt;&gt;1,0,IF(E16="MABE",IF(SUM(F16:J16)&gt;=3,1,0),IF(E16="MAG",IF(SUM(F16:J16)&gt;=2,1,0),IF(E16&lt;&gt;"MAG, MABE",IF(SUM(F16:J16)&gt;=2,1,0)))))</f>
        <v>0</v>
      </c>
      <c r="L16" s="329"/>
      <c r="M16" s="333"/>
    </row>
    <row r="17" s="331" customFormat="true" ht="22.5" hidden="false" customHeight="true" outlineLevel="0" collapsed="false">
      <c r="A17" s="325" t="n">
        <f aca="false">'Listado CAPS'!A14</f>
        <v>0</v>
      </c>
      <c r="B17" s="325" t="n">
        <f aca="false">'Listado CAPS'!B14</f>
        <v>0</v>
      </c>
      <c r="C17" s="325" t="n">
        <f aca="false">'Listado CAPS'!C14</f>
        <v>0</v>
      </c>
      <c r="D17" s="326" t="str">
        <f aca="false">'Listado CAPS'!D14</f>
        <v>L</v>
      </c>
      <c r="E17" s="326"/>
      <c r="F17" s="327"/>
      <c r="G17" s="327"/>
      <c r="H17" s="327"/>
      <c r="I17" s="327"/>
      <c r="J17" s="327"/>
      <c r="K17" s="328" t="n">
        <f aca="false">IF(J17&lt;&gt;1,0,IF(E17="MABE",IF(SUM(F17:J17)&gt;=3,1,0),IF(E17="MAG",IF(SUM(F17:J17)&gt;=2,1,0),IF(E17&lt;&gt;"MAG, MABE",IF(SUM(F17:J17)&gt;=2,1,0)))))</f>
        <v>0</v>
      </c>
      <c r="L17" s="329"/>
      <c r="M17" s="332"/>
    </row>
    <row r="18" s="331" customFormat="true" ht="22.5" hidden="false" customHeight="true" outlineLevel="0" collapsed="false">
      <c r="A18" s="325" t="n">
        <f aca="false">'Listado CAPS'!A15</f>
        <v>0</v>
      </c>
      <c r="B18" s="325" t="n">
        <f aca="false">'Listado CAPS'!B15</f>
        <v>0</v>
      </c>
      <c r="C18" s="325" t="n">
        <f aca="false">'Listado CAPS'!C15</f>
        <v>0</v>
      </c>
      <c r="D18" s="326" t="str">
        <f aca="false">'Listado CAPS'!D15</f>
        <v>M</v>
      </c>
      <c r="E18" s="326"/>
      <c r="F18" s="327"/>
      <c r="G18" s="327"/>
      <c r="H18" s="327"/>
      <c r="I18" s="327"/>
      <c r="J18" s="327"/>
      <c r="K18" s="328" t="n">
        <f aca="false">IF(J18&lt;&gt;1,0,IF(E18="MABE",IF(SUM(F18:J18)&gt;=3,1,0),IF(E18="MAG",IF(SUM(F18:J18)&gt;=2,1,0),IF(E18&lt;&gt;"MAG, MABE",IF(SUM(F18:J18)&gt;=2,1,0)))))</f>
        <v>0</v>
      </c>
      <c r="L18" s="329"/>
      <c r="M18" s="332"/>
    </row>
    <row r="19" s="331" customFormat="true" ht="22.5" hidden="false" customHeight="true" outlineLevel="0" collapsed="false">
      <c r="A19" s="325" t="n">
        <f aca="false">'Listado CAPS'!A16</f>
        <v>0</v>
      </c>
      <c r="B19" s="325" t="n">
        <f aca="false">'Listado CAPS'!B16</f>
        <v>0</v>
      </c>
      <c r="C19" s="325" t="n">
        <f aca="false">'Listado CAPS'!C16</f>
        <v>0</v>
      </c>
      <c r="D19" s="326" t="str">
        <f aca="false">'Listado CAPS'!D16</f>
        <v>N</v>
      </c>
      <c r="E19" s="326"/>
      <c r="F19" s="327"/>
      <c r="G19" s="327"/>
      <c r="H19" s="327"/>
      <c r="I19" s="327"/>
      <c r="J19" s="327"/>
      <c r="K19" s="328" t="n">
        <f aca="false">IF(J19&lt;&gt;1,0,IF(E19="MABE",IF(SUM(F19:J19)&gt;=3,1,0),IF(E19="MAG",IF(SUM(F19:J19)&gt;=2,1,0),IF(E19&lt;&gt;"MAG, MABE",IF(SUM(F19:J19)&gt;=2,1,0)))))</f>
        <v>0</v>
      </c>
      <c r="L19" s="329"/>
      <c r="M19" s="332"/>
    </row>
    <row r="20" s="331" customFormat="true" ht="22.5" hidden="false" customHeight="true" outlineLevel="0" collapsed="false">
      <c r="A20" s="325" t="n">
        <f aca="false">'Listado CAPS'!A17</f>
        <v>0</v>
      </c>
      <c r="B20" s="325" t="n">
        <f aca="false">'Listado CAPS'!B17</f>
        <v>0</v>
      </c>
      <c r="C20" s="325" t="n">
        <f aca="false">'Listado CAPS'!C17</f>
        <v>0</v>
      </c>
      <c r="D20" s="326" t="str">
        <f aca="false">'Listado CAPS'!D17</f>
        <v>Ñ</v>
      </c>
      <c r="E20" s="326"/>
      <c r="F20" s="327"/>
      <c r="G20" s="327"/>
      <c r="H20" s="327"/>
      <c r="I20" s="327"/>
      <c r="J20" s="327"/>
      <c r="K20" s="328" t="n">
        <f aca="false">IF(J20&lt;&gt;1,0,IF(E20="MABE",IF(SUM(F20:J20)&gt;=3,1,0),IF(E20="MAG",IF(SUM(F20:J20)&gt;=2,1,0),IF(E20&lt;&gt;"MAG, MABE",IF(SUM(F20:J20)&gt;=2,1,0)))))</f>
        <v>0</v>
      </c>
      <c r="L20" s="329"/>
      <c r="M20" s="332"/>
    </row>
    <row r="21" s="331" customFormat="true" ht="22.5" hidden="false" customHeight="true" outlineLevel="0" collapsed="false">
      <c r="A21" s="325" t="n">
        <f aca="false">'Listado CAPS'!A18</f>
        <v>0</v>
      </c>
      <c r="B21" s="325" t="n">
        <f aca="false">'Listado CAPS'!B18</f>
        <v>0</v>
      </c>
      <c r="C21" s="325" t="n">
        <f aca="false">'Listado CAPS'!C18</f>
        <v>0</v>
      </c>
      <c r="D21" s="326" t="str">
        <f aca="false">'Listado CAPS'!D18</f>
        <v>O</v>
      </c>
      <c r="E21" s="326"/>
      <c r="F21" s="327"/>
      <c r="G21" s="327"/>
      <c r="H21" s="327"/>
      <c r="I21" s="327"/>
      <c r="J21" s="327"/>
      <c r="K21" s="328" t="n">
        <f aca="false">IF(J21&lt;&gt;1,0,IF(E21="MABE",IF(SUM(F21:J21)&gt;=3,1,0),IF(E21="MAG",IF(SUM(F21:J21)&gt;=2,1,0),IF(E21&lt;&gt;"MAG, MABE",IF(SUM(F21:J21)&gt;=2,1,0)))))</f>
        <v>0</v>
      </c>
      <c r="L21" s="329"/>
      <c r="M21" s="332"/>
    </row>
    <row r="22" s="331" customFormat="true" ht="22.5" hidden="false" customHeight="true" outlineLevel="0" collapsed="false">
      <c r="A22" s="325" t="n">
        <f aca="false">'Listado CAPS'!A19</f>
        <v>0</v>
      </c>
      <c r="B22" s="325" t="n">
        <f aca="false">'Listado CAPS'!B19</f>
        <v>0</v>
      </c>
      <c r="C22" s="325" t="n">
        <f aca="false">'Listado CAPS'!C19</f>
        <v>0</v>
      </c>
      <c r="D22" s="326" t="str">
        <f aca="false">'Listado CAPS'!D19</f>
        <v>P</v>
      </c>
      <c r="E22" s="326"/>
      <c r="F22" s="327"/>
      <c r="G22" s="327"/>
      <c r="H22" s="327"/>
      <c r="I22" s="327"/>
      <c r="J22" s="327"/>
      <c r="K22" s="328" t="n">
        <f aca="false">IF(J22&lt;&gt;1,0,IF(E22="MABE",IF(SUM(F22:J22)&gt;=3,1,0),IF(E22="MAG",IF(SUM(F22:J22)&gt;=2,1,0),IF(E22&lt;&gt;"MAG, MABE",IF(SUM(F22:J22)&gt;=2,1,0)))))</f>
        <v>0</v>
      </c>
      <c r="L22" s="329"/>
      <c r="M22" s="332"/>
    </row>
    <row r="23" s="331" customFormat="true" ht="22.5" hidden="false" customHeight="true" outlineLevel="0" collapsed="false">
      <c r="A23" s="325" t="n">
        <f aca="false">'Listado CAPS'!A20</f>
        <v>0</v>
      </c>
      <c r="B23" s="325" t="n">
        <f aca="false">'Listado CAPS'!B20</f>
        <v>0</v>
      </c>
      <c r="C23" s="325" t="n">
        <f aca="false">'Listado CAPS'!C20</f>
        <v>0</v>
      </c>
      <c r="D23" s="326" t="str">
        <f aca="false">'Listado CAPS'!D20</f>
        <v>Q</v>
      </c>
      <c r="E23" s="326"/>
      <c r="F23" s="327"/>
      <c r="G23" s="327"/>
      <c r="H23" s="327"/>
      <c r="I23" s="327"/>
      <c r="J23" s="327"/>
      <c r="K23" s="328" t="n">
        <f aca="false">IF(J23&lt;&gt;1,0,IF(E23="MABE",IF(SUM(F23:J23)&gt;=3,1,0),IF(E23="MAG",IF(SUM(F23:J23)&gt;=2,1,0),IF(E23&lt;&gt;"MAG, MABE",IF(SUM(F23:J23)&gt;=2,1,0)))))</f>
        <v>0</v>
      </c>
      <c r="L23" s="329"/>
      <c r="M23" s="332"/>
    </row>
    <row r="24" s="331" customFormat="true" ht="22.5" hidden="false" customHeight="true" outlineLevel="0" collapsed="false">
      <c r="A24" s="325" t="n">
        <f aca="false">'Listado CAPS'!A21</f>
        <v>0</v>
      </c>
      <c r="B24" s="325" t="n">
        <f aca="false">'Listado CAPS'!B21</f>
        <v>0</v>
      </c>
      <c r="C24" s="325" t="n">
        <f aca="false">'Listado CAPS'!C21</f>
        <v>0</v>
      </c>
      <c r="D24" s="326" t="str">
        <f aca="false">'Listado CAPS'!D21</f>
        <v>R</v>
      </c>
      <c r="E24" s="326"/>
      <c r="F24" s="327"/>
      <c r="G24" s="327"/>
      <c r="H24" s="327"/>
      <c r="I24" s="327"/>
      <c r="J24" s="327"/>
      <c r="K24" s="328" t="n">
        <f aca="false">IF(J24&lt;&gt;1,0,IF(E24="MABE",IF(SUM(F24:J24)&gt;=3,1,0),IF(E24="MAG",IF(SUM(F24:J24)&gt;=2,1,0),IF(E24&lt;&gt;"MAG, MABE",IF(SUM(F24:J24)&gt;=2,1,0)))))</f>
        <v>0</v>
      </c>
      <c r="L24" s="329"/>
      <c r="M24" s="332"/>
    </row>
    <row r="25" s="331" customFormat="true" ht="22.5" hidden="false" customHeight="true" outlineLevel="0" collapsed="false">
      <c r="A25" s="325" t="n">
        <f aca="false">'Listado CAPS'!A22</f>
        <v>0</v>
      </c>
      <c r="B25" s="325" t="n">
        <f aca="false">'Listado CAPS'!B22</f>
        <v>0</v>
      </c>
      <c r="C25" s="325" t="n">
        <f aca="false">'Listado CAPS'!C22</f>
        <v>0</v>
      </c>
      <c r="D25" s="326" t="str">
        <f aca="false">'Listado CAPS'!D22</f>
        <v>S</v>
      </c>
      <c r="E25" s="326"/>
      <c r="F25" s="327"/>
      <c r="G25" s="327"/>
      <c r="H25" s="327"/>
      <c r="I25" s="327"/>
      <c r="J25" s="327"/>
      <c r="K25" s="328" t="n">
        <f aca="false">IF(J25&lt;&gt;1,0,IF(E25="MABE",IF(SUM(F25:J25)&gt;=3,1,0),IF(E25="MAG",IF(SUM(F25:J25)&gt;=2,1,0),IF(E25&lt;&gt;"MAG, MABE",IF(SUM(F25:J25)&gt;=2,1,0)))))</f>
        <v>0</v>
      </c>
      <c r="L25" s="329"/>
      <c r="M25" s="332"/>
    </row>
    <row r="26" s="331" customFormat="true" ht="22.5" hidden="false" customHeight="true" outlineLevel="0" collapsed="false">
      <c r="A26" s="325" t="n">
        <f aca="false">'Listado CAPS'!A23</f>
        <v>0</v>
      </c>
      <c r="B26" s="325" t="n">
        <f aca="false">'Listado CAPS'!B23</f>
        <v>0</v>
      </c>
      <c r="C26" s="325" t="n">
        <f aca="false">'Listado CAPS'!C23</f>
        <v>0</v>
      </c>
      <c r="D26" s="326" t="str">
        <f aca="false">'Listado CAPS'!D23</f>
        <v>T</v>
      </c>
      <c r="E26" s="326"/>
      <c r="F26" s="335"/>
      <c r="G26" s="335"/>
      <c r="H26" s="335"/>
      <c r="I26" s="335"/>
      <c r="J26" s="335"/>
      <c r="K26" s="328" t="n">
        <f aca="false">IF(E26="MABE",IF(SUM(F26:J26)&gt;=3,1,0),IF(E26="MAG",IF(SUM(F26:J26)&gt;=2,1,0),IF(E26&lt;&gt;"MAG, MABE",IF(SUM(F26:J26)&gt;=2,1,0))))</f>
        <v>0</v>
      </c>
      <c r="L26" s="329"/>
      <c r="M26" s="332"/>
    </row>
    <row r="27" s="331" customFormat="true" ht="22.5" hidden="false" customHeight="true" outlineLevel="0" collapsed="false">
      <c r="A27" s="325" t="n">
        <f aca="false">'Listado CAPS'!A24</f>
        <v>0</v>
      </c>
      <c r="B27" s="325" t="n">
        <f aca="false">'Listado CAPS'!B24</f>
        <v>0</v>
      </c>
      <c r="C27" s="325" t="n">
        <f aca="false">'Listado CAPS'!C24</f>
        <v>0</v>
      </c>
      <c r="D27" s="326" t="str">
        <f aca="false">'Listado CAPS'!D24</f>
        <v>U</v>
      </c>
      <c r="E27" s="326"/>
      <c r="F27" s="335"/>
      <c r="G27" s="335"/>
      <c r="H27" s="335"/>
      <c r="I27" s="335"/>
      <c r="J27" s="335"/>
      <c r="K27" s="328" t="n">
        <f aca="false">IF(E27="MABE",IF(SUM(F27:J27)&gt;=3,1,0),IF(E27="MAG",IF(SUM(F27:J27)&gt;=2,1,0),IF(E27&lt;&gt;"MAG, MABE",IF(SUM(F27:J27)&gt;=2,1,0))))</f>
        <v>0</v>
      </c>
      <c r="L27" s="329"/>
      <c r="M27" s="332"/>
    </row>
    <row r="28" s="331" customFormat="true" ht="22.5" hidden="false" customHeight="true" outlineLevel="0" collapsed="false">
      <c r="A28" s="325" t="n">
        <f aca="false">'Listado CAPS'!A25</f>
        <v>0</v>
      </c>
      <c r="B28" s="325" t="n">
        <f aca="false">'Listado CAPS'!B25</f>
        <v>0</v>
      </c>
      <c r="C28" s="325" t="n">
        <f aca="false">'Listado CAPS'!C25</f>
        <v>0</v>
      </c>
      <c r="D28" s="326" t="str">
        <f aca="false">'Listado CAPS'!D25</f>
        <v>V</v>
      </c>
      <c r="E28" s="326"/>
      <c r="F28" s="335"/>
      <c r="G28" s="335"/>
      <c r="H28" s="335"/>
      <c r="I28" s="335"/>
      <c r="J28" s="335"/>
      <c r="K28" s="328" t="n">
        <f aca="false">IF(E28="MABE",IF(SUM(F28:J28)&gt;=3,1,0),IF(E28="MAG",IF(SUM(F28:J28)&gt;=2,1,0),IF(E28&lt;&gt;"MAG, MABE",IF(SUM(F28:J28)&gt;=2,1,0))))</f>
        <v>0</v>
      </c>
      <c r="L28" s="329"/>
      <c r="M28" s="332"/>
    </row>
    <row r="29" s="331" customFormat="true" ht="22.5" hidden="false" customHeight="true" outlineLevel="0" collapsed="false">
      <c r="A29" s="325" t="n">
        <f aca="false">'Listado CAPS'!A26</f>
        <v>0</v>
      </c>
      <c r="B29" s="325" t="n">
        <f aca="false">'Listado CAPS'!B26</f>
        <v>0</v>
      </c>
      <c r="C29" s="325" t="n">
        <f aca="false">'Listado CAPS'!C26</f>
        <v>0</v>
      </c>
      <c r="D29" s="326" t="str">
        <f aca="false">'Listado CAPS'!D26</f>
        <v>W</v>
      </c>
      <c r="E29" s="326"/>
      <c r="F29" s="335"/>
      <c r="G29" s="335"/>
      <c r="H29" s="335"/>
      <c r="I29" s="335"/>
      <c r="J29" s="335"/>
      <c r="K29" s="328" t="n">
        <f aca="false">IF(E29="MABE",IF(SUM(F29:J29)&gt;=3,1,0),IF(E29="MAG",IF(SUM(F29:J29)&gt;=2,1,0),IF(E29&lt;&gt;"MAG, MABE",IF(SUM(F29:J29)&gt;=2,1,0))))</f>
        <v>0</v>
      </c>
      <c r="L29" s="329"/>
      <c r="M29" s="332"/>
    </row>
    <row r="30" s="331" customFormat="true" ht="22.5" hidden="false" customHeight="true" outlineLevel="0" collapsed="false">
      <c r="A30" s="325" t="n">
        <f aca="false">'Listado CAPS'!A27</f>
        <v>0</v>
      </c>
      <c r="B30" s="325" t="n">
        <f aca="false">'Listado CAPS'!B27</f>
        <v>0</v>
      </c>
      <c r="C30" s="325" t="n">
        <f aca="false">'Listado CAPS'!C27</f>
        <v>0</v>
      </c>
      <c r="D30" s="326" t="str">
        <f aca="false">'Listado CAPS'!D27</f>
        <v>X</v>
      </c>
      <c r="E30" s="326"/>
      <c r="F30" s="335"/>
      <c r="G30" s="335"/>
      <c r="H30" s="335"/>
      <c r="I30" s="335"/>
      <c r="J30" s="335"/>
      <c r="K30" s="328" t="n">
        <f aca="false">IF(E30="MABE",IF(SUM(F30:J30)&gt;=3,1,0),IF(E30="MAG",IF(SUM(F30:J30)&gt;=2,1,0),IF(E30&lt;&gt;"MAG, MABE",IF(SUM(F30:J30)&gt;=2,1,0))))</f>
        <v>0</v>
      </c>
      <c r="L30" s="329"/>
      <c r="M30" s="332"/>
    </row>
    <row r="31" s="331" customFormat="true" ht="22.5" hidden="false" customHeight="true" outlineLevel="0" collapsed="false">
      <c r="A31" s="325" t="n">
        <f aca="false">'Listado CAPS'!A28</f>
        <v>0</v>
      </c>
      <c r="B31" s="325" t="n">
        <f aca="false">'Listado CAPS'!B28</f>
        <v>0</v>
      </c>
      <c r="C31" s="325" t="n">
        <f aca="false">'Listado CAPS'!C28</f>
        <v>0</v>
      </c>
      <c r="D31" s="326" t="str">
        <f aca="false">'Listado CAPS'!D28</f>
        <v>Y</v>
      </c>
      <c r="E31" s="326"/>
      <c r="F31" s="335"/>
      <c r="G31" s="335"/>
      <c r="H31" s="335"/>
      <c r="I31" s="335"/>
      <c r="J31" s="335"/>
      <c r="K31" s="328" t="n">
        <f aca="false">IF(E31="MABE",IF(SUM(F31:J31)&gt;=3,1,0),IF(E31="MAG",IF(SUM(F31:J31)&gt;=2,1,0),IF(E31&lt;&gt;"MAG, MABE",IF(SUM(F31:J31)&gt;=2,1,0))))</f>
        <v>0</v>
      </c>
      <c r="L31" s="329"/>
      <c r="M31" s="332"/>
    </row>
    <row r="32" customFormat="false" ht="12.75" hidden="false" customHeight="false" outlineLevel="0" collapsed="false">
      <c r="K32" s="336"/>
    </row>
    <row r="33" customFormat="false" ht="12.75" hidden="false" customHeight="false" outlineLevel="0" collapsed="false">
      <c r="K33" s="336"/>
    </row>
    <row r="123" customFormat="false" ht="12.75" hidden="false" customHeight="false" outlineLevel="0" collapsed="false">
      <c r="BM123" s="337" t="s">
        <v>146</v>
      </c>
    </row>
    <row r="124" customFormat="false" ht="12.75" hidden="false" customHeight="false" outlineLevel="0" collapsed="false">
      <c r="BM124" s="337" t="s">
        <v>78</v>
      </c>
    </row>
    <row r="125" customFormat="false" ht="12.75" hidden="false" customHeight="false" outlineLevel="0" collapsed="false">
      <c r="BM125" s="337" t="s">
        <v>81</v>
      </c>
    </row>
    <row r="126" customFormat="false" ht="12.75" hidden="false" customHeight="false" outlineLevel="0" collapsed="false">
      <c r="BM126" s="337" t="s">
        <v>83</v>
      </c>
    </row>
    <row r="127" customFormat="false" ht="12.75" hidden="false" customHeight="false" outlineLevel="0" collapsed="false">
      <c r="BM127" s="337" t="s">
        <v>84</v>
      </c>
    </row>
    <row r="128" customFormat="false" ht="12.75" hidden="false" customHeight="false" outlineLevel="0" collapsed="false">
      <c r="BM128" s="337" t="s">
        <v>85</v>
      </c>
    </row>
    <row r="129" customFormat="false" ht="12.75" hidden="false" customHeight="false" outlineLevel="0" collapsed="false">
      <c r="BM129" s="337" t="s">
        <v>86</v>
      </c>
    </row>
    <row r="130" customFormat="false" ht="12.75" hidden="false" customHeight="false" outlineLevel="0" collapsed="false">
      <c r="BM130" s="337" t="s">
        <v>87</v>
      </c>
    </row>
    <row r="131" customFormat="false" ht="12.75" hidden="false" customHeight="false" outlineLevel="0" collapsed="false">
      <c r="BM131" s="337" t="s">
        <v>88</v>
      </c>
    </row>
    <row r="132" customFormat="false" ht="12.75" hidden="false" customHeight="false" outlineLevel="0" collapsed="false">
      <c r="BM132" s="337" t="s">
        <v>91</v>
      </c>
    </row>
    <row r="133" customFormat="false" ht="12.75" hidden="false" customHeight="false" outlineLevel="0" collapsed="false">
      <c r="BM133" s="337" t="s">
        <v>93</v>
      </c>
    </row>
    <row r="134" customFormat="false" ht="12.75" hidden="false" customHeight="false" outlineLevel="0" collapsed="false">
      <c r="BM134" s="337" t="s">
        <v>94</v>
      </c>
    </row>
    <row r="135" customFormat="false" ht="12.75" hidden="false" customHeight="false" outlineLevel="0" collapsed="false">
      <c r="BM135" s="337" t="s">
        <v>95</v>
      </c>
    </row>
    <row r="136" customFormat="false" ht="12.75" hidden="false" customHeight="false" outlineLevel="0" collapsed="false">
      <c r="BM136" s="337" t="s">
        <v>96</v>
      </c>
    </row>
    <row r="137" customFormat="false" ht="12.75" hidden="false" customHeight="false" outlineLevel="0" collapsed="false">
      <c r="BM137" s="337" t="s">
        <v>97</v>
      </c>
    </row>
    <row r="138" customFormat="false" ht="12.75" hidden="false" customHeight="false" outlineLevel="0" collapsed="false">
      <c r="BM138" s="337" t="s">
        <v>98</v>
      </c>
    </row>
    <row r="139" customFormat="false" ht="12.75" hidden="false" customHeight="false" outlineLevel="0" collapsed="false">
      <c r="BM139" s="337" t="s">
        <v>100</v>
      </c>
    </row>
    <row r="140" customFormat="false" ht="12.75" hidden="false" customHeight="false" outlineLevel="0" collapsed="false">
      <c r="BM140" s="337" t="s">
        <v>101</v>
      </c>
    </row>
    <row r="141" customFormat="false" ht="12.75" hidden="false" customHeight="false" outlineLevel="0" collapsed="false">
      <c r="BM141" s="337" t="s">
        <v>103</v>
      </c>
    </row>
    <row r="142" customFormat="false" ht="12.75" hidden="false" customHeight="false" outlineLevel="0" collapsed="false">
      <c r="BM142" s="337" t="s">
        <v>104</v>
      </c>
    </row>
    <row r="143" customFormat="false" ht="12.75" hidden="false" customHeight="false" outlineLevel="0" collapsed="false">
      <c r="BM143" s="337" t="s">
        <v>105</v>
      </c>
    </row>
    <row r="144" customFormat="false" ht="12.75" hidden="false" customHeight="false" outlineLevel="0" collapsed="false">
      <c r="BM144" s="337" t="s">
        <v>106</v>
      </c>
    </row>
    <row r="145" customFormat="false" ht="12.75" hidden="false" customHeight="false" outlineLevel="0" collapsed="false">
      <c r="BM145" s="337" t="s">
        <v>108</v>
      </c>
    </row>
    <row r="146" customFormat="false" ht="12.75" hidden="false" customHeight="false" outlineLevel="0" collapsed="false">
      <c r="BM146" s="337" t="s">
        <v>109</v>
      </c>
    </row>
    <row r="147" customFormat="false" ht="12.75" hidden="false" customHeight="false" outlineLevel="0" collapsed="false">
      <c r="BM147" s="337" t="s">
        <v>110</v>
      </c>
    </row>
    <row r="148" customFormat="false" ht="12.75" hidden="false" customHeight="false" outlineLevel="0" collapsed="false">
      <c r="BM148" s="337" t="s">
        <v>111</v>
      </c>
    </row>
    <row r="383" customFormat="false" ht="12.75" hidden="false" customHeight="false" outlineLevel="0" collapsed="false">
      <c r="N383" s="338" t="s">
        <v>146</v>
      </c>
    </row>
    <row r="384" customFormat="false" ht="12.75" hidden="false" customHeight="false" outlineLevel="0" collapsed="false">
      <c r="N384" s="338" t="s">
        <v>78</v>
      </c>
    </row>
    <row r="385" customFormat="false" ht="12.75" hidden="false" customHeight="false" outlineLevel="0" collapsed="false">
      <c r="N385" s="338" t="s">
        <v>81</v>
      </c>
    </row>
    <row r="386" customFormat="false" ht="12.75" hidden="false" customHeight="false" outlineLevel="0" collapsed="false">
      <c r="N386" s="338" t="s">
        <v>83</v>
      </c>
    </row>
    <row r="387" customFormat="false" ht="12.75" hidden="false" customHeight="false" outlineLevel="0" collapsed="false">
      <c r="N387" s="338" t="s">
        <v>84</v>
      </c>
    </row>
    <row r="388" customFormat="false" ht="12.75" hidden="false" customHeight="false" outlineLevel="0" collapsed="false">
      <c r="N388" s="338" t="s">
        <v>85</v>
      </c>
    </row>
    <row r="389" customFormat="false" ht="12.75" hidden="false" customHeight="false" outlineLevel="0" collapsed="false">
      <c r="N389" s="338" t="s">
        <v>86</v>
      </c>
    </row>
    <row r="390" customFormat="false" ht="12.75" hidden="false" customHeight="false" outlineLevel="0" collapsed="false">
      <c r="N390" s="338" t="s">
        <v>87</v>
      </c>
    </row>
    <row r="391" customFormat="false" ht="12.75" hidden="false" customHeight="false" outlineLevel="0" collapsed="false">
      <c r="N391" s="338" t="s">
        <v>88</v>
      </c>
    </row>
    <row r="392" customFormat="false" ht="12.75" hidden="false" customHeight="false" outlineLevel="0" collapsed="false">
      <c r="N392" s="338" t="s">
        <v>91</v>
      </c>
    </row>
    <row r="393" customFormat="false" ht="12.75" hidden="false" customHeight="false" outlineLevel="0" collapsed="false">
      <c r="N393" s="338" t="s">
        <v>93</v>
      </c>
    </row>
    <row r="394" customFormat="false" ht="12.75" hidden="false" customHeight="false" outlineLevel="0" collapsed="false">
      <c r="N394" s="338" t="s">
        <v>94</v>
      </c>
    </row>
    <row r="395" customFormat="false" ht="12.75" hidden="false" customHeight="false" outlineLevel="0" collapsed="false">
      <c r="N395" s="338" t="s">
        <v>95</v>
      </c>
    </row>
    <row r="396" customFormat="false" ht="12.75" hidden="false" customHeight="false" outlineLevel="0" collapsed="false">
      <c r="N396" s="338" t="s">
        <v>96</v>
      </c>
    </row>
    <row r="397" customFormat="false" ht="12.75" hidden="false" customHeight="false" outlineLevel="0" collapsed="false">
      <c r="N397" s="338" t="s">
        <v>97</v>
      </c>
    </row>
    <row r="398" customFormat="false" ht="12.75" hidden="false" customHeight="false" outlineLevel="0" collapsed="false">
      <c r="N398" s="338" t="s">
        <v>98</v>
      </c>
    </row>
    <row r="399" customFormat="false" ht="12.75" hidden="false" customHeight="false" outlineLevel="0" collapsed="false">
      <c r="N399" s="338" t="s">
        <v>100</v>
      </c>
    </row>
    <row r="400" customFormat="false" ht="12.75" hidden="false" customHeight="false" outlineLevel="0" collapsed="false">
      <c r="N400" s="338" t="s">
        <v>101</v>
      </c>
    </row>
    <row r="401" customFormat="false" ht="12.75" hidden="false" customHeight="false" outlineLevel="0" collapsed="false">
      <c r="N401" s="338" t="s">
        <v>103</v>
      </c>
    </row>
    <row r="402" customFormat="false" ht="12.75" hidden="false" customHeight="false" outlineLevel="0" collapsed="false">
      <c r="N402" s="338" t="s">
        <v>104</v>
      </c>
    </row>
    <row r="403" customFormat="false" ht="12.75" hidden="false" customHeight="false" outlineLevel="0" collapsed="false">
      <c r="N403" s="338" t="s">
        <v>105</v>
      </c>
    </row>
    <row r="404" customFormat="false" ht="12.75" hidden="false" customHeight="false" outlineLevel="0" collapsed="false">
      <c r="N404" s="338" t="s">
        <v>106</v>
      </c>
    </row>
    <row r="405" customFormat="false" ht="12.75" hidden="false" customHeight="false" outlineLevel="0" collapsed="false">
      <c r="N405" s="338" t="s">
        <v>108</v>
      </c>
    </row>
    <row r="406" customFormat="false" ht="12.75" hidden="false" customHeight="false" outlineLevel="0" collapsed="false">
      <c r="N406" s="338" t="s">
        <v>109</v>
      </c>
    </row>
    <row r="407" customFormat="false" ht="12.75" hidden="false" customHeight="false" outlineLevel="0" collapsed="false">
      <c r="N407" s="338" t="s">
        <v>110</v>
      </c>
    </row>
    <row r="408" customFormat="false" ht="12.75" hidden="false" customHeight="false" outlineLevel="0" collapsed="false">
      <c r="N408" s="338" t="s">
        <v>111</v>
      </c>
    </row>
  </sheetData>
  <mergeCells count="3">
    <mergeCell ref="D2:L2"/>
    <mergeCell ref="F3:J4"/>
    <mergeCell ref="K3:M4"/>
  </mergeCells>
  <dataValidations count="1">
    <dataValidation allowBlank="true" errorStyle="stop" operator="between" showDropDown="false" showErrorMessage="true" showInputMessage="true" sqref="L6:L31" type="list">
      <formula1>"SI,NO"</formula1>
      <formula2>0</formula2>
    </dataValidation>
  </dataValidations>
  <hyperlinks>
    <hyperlink ref="C2" location="'Tabla de Contenidos'!A1" display="Volver a Tabla de contenidos"/>
    <hyperlink ref="M2" location="'RESULTADO FINAL SOSTENIBILIDAD'!A1" display="Ir a Resultados Finales"/>
  </hyperlinks>
  <printOptions headings="false" gridLines="false" gridLinesSet="true" horizontalCentered="false" verticalCentered="false"/>
  <pageMargins left="0.551388888888889" right="0.708333333333333" top="0.354166666666667" bottom="0.551388888888889" header="0.511811023622047" footer="0.315277777777778"/>
  <pageSetup paperSize="1" scale="75" fitToWidth="1" fitToHeight="1" pageOrder="downThenOver" orientation="landscape" blackAndWhite="false" draft="false" cellComments="none" horizontalDpi="300" verticalDpi="300" copies="1"/>
  <headerFooter differentFirst="false" differentOddEven="false">
    <oddHeader/>
    <oddFooter>&amp;C&amp;Pde&amp;N&amp;R&amp;F</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EEB"/>
    <pageSetUpPr fitToPage="false"/>
  </sheetPr>
  <dimension ref="A1:AJ366"/>
  <sheetViews>
    <sheetView showFormulas="false" showGridLines="true" showRowColHeaders="true" showZeros="true" rightToLeft="false" tabSelected="false" showOutlineSymbols="true" defaultGridColor="true" view="normal" topLeftCell="F1" colorId="64" zoomScale="90" zoomScaleNormal="90" zoomScalePageLayoutView="100" workbookViewId="0">
      <selection pane="topLeft" activeCell="F6" activeCellId="0" sqref="F6"/>
    </sheetView>
  </sheetViews>
  <sheetFormatPr defaultColWidth="11.43359375" defaultRowHeight="12" customHeight="false" zeroHeight="false" outlineLevelRow="0" outlineLevelCol="0"/>
  <cols>
    <col collapsed="false" customWidth="true" hidden="false" outlineLevel="0" max="2" min="1" style="186" width="15.42"/>
    <col collapsed="false" customWidth="true" hidden="false" outlineLevel="0" max="3" min="3" style="186" width="12"/>
    <col collapsed="false" customWidth="true" hidden="false" outlineLevel="0" max="4" min="4" style="186" width="14.71"/>
    <col collapsed="false" customWidth="true" hidden="false" outlineLevel="0" max="5" min="5" style="186" width="7.29"/>
    <col collapsed="false" customWidth="true" hidden="false" outlineLevel="0" max="6" min="6" style="186" width="48.57"/>
    <col collapsed="false" customWidth="true" hidden="false" outlineLevel="0" max="7" min="7" style="186" width="14"/>
    <col collapsed="false" customWidth="true" hidden="false" outlineLevel="0" max="8" min="8" style="236" width="18.14"/>
    <col collapsed="false" customWidth="true" hidden="false" outlineLevel="0" max="9" min="9" style="339" width="8"/>
    <col collapsed="false" customWidth="true" hidden="false" outlineLevel="0" max="10" min="10" style="339" width="10.42"/>
    <col collapsed="false" customWidth="true" hidden="false" outlineLevel="0" max="11" min="11" style="339" width="16"/>
    <col collapsed="false" customWidth="true" hidden="false" outlineLevel="0" max="12" min="12" style="339" width="6.85"/>
    <col collapsed="false" customWidth="true" hidden="false" outlineLevel="0" max="13" min="13" style="186" width="6.85"/>
    <col collapsed="false" customWidth="true" hidden="false" outlineLevel="0" max="14" min="14" style="186" width="5.71"/>
    <col collapsed="false" customWidth="true" hidden="false" outlineLevel="0" max="15" min="15" style="186" width="6.85"/>
    <col collapsed="false" customWidth="true" hidden="false" outlineLevel="0" max="16" min="16" style="186" width="5.71"/>
    <col collapsed="false" customWidth="true" hidden="false" outlineLevel="0" max="17" min="17" style="186" width="6.57"/>
    <col collapsed="false" customWidth="true" hidden="false" outlineLevel="0" max="18" min="18" style="186" width="6.14"/>
    <col collapsed="false" customWidth="true" hidden="false" outlineLevel="0" max="19" min="19" style="186" width="5.57"/>
    <col collapsed="false" customWidth="true" hidden="false" outlineLevel="0" max="29" min="20" style="186" width="5.71"/>
    <col collapsed="false" customWidth="true" hidden="false" outlineLevel="0" max="31" min="30" style="186" width="12.42"/>
    <col collapsed="false" customWidth="true" hidden="false" outlineLevel="0" max="32" min="32" style="186" width="18.42"/>
    <col collapsed="false" customWidth="true" hidden="false" outlineLevel="0" max="33" min="33" style="186" width="16.14"/>
    <col collapsed="false" customWidth="true" hidden="false" outlineLevel="0" max="34" min="34" style="186" width="46.15"/>
    <col collapsed="false" customWidth="true" hidden="false" outlineLevel="0" max="35" min="35" style="186" width="17.15"/>
    <col collapsed="false" customWidth="true" hidden="false" outlineLevel="0" max="36" min="36" style="186" width="18.14"/>
    <col collapsed="false" customWidth="false" hidden="false" outlineLevel="0" max="16384" min="37" style="186" width="11.43"/>
  </cols>
  <sheetData>
    <row r="1" s="312" customFormat="true" ht="51" hidden="false" customHeight="true" outlineLevel="0" collapsed="false">
      <c r="C1" s="188" t="s">
        <v>246</v>
      </c>
      <c r="D1" s="283" t="s">
        <v>346</v>
      </c>
      <c r="E1" s="283"/>
      <c r="F1" s="283"/>
      <c r="G1" s="283"/>
      <c r="H1" s="283"/>
      <c r="I1" s="283"/>
      <c r="J1" s="283"/>
      <c r="K1" s="283"/>
      <c r="L1" s="283"/>
      <c r="M1" s="283"/>
      <c r="N1" s="283"/>
      <c r="O1" s="283"/>
      <c r="P1" s="283"/>
      <c r="Q1" s="283"/>
      <c r="R1" s="283"/>
      <c r="S1" s="283"/>
      <c r="T1" s="283"/>
      <c r="U1" s="283"/>
      <c r="V1" s="283"/>
      <c r="W1" s="283"/>
      <c r="X1" s="283"/>
      <c r="Y1" s="283"/>
      <c r="Z1" s="283"/>
      <c r="AA1" s="283"/>
      <c r="AB1" s="283"/>
      <c r="AC1" s="283"/>
      <c r="AD1" s="283"/>
      <c r="AE1" s="340"/>
      <c r="AF1" s="188" t="s">
        <v>176</v>
      </c>
    </row>
    <row r="2" customFormat="false" ht="90" hidden="false" customHeight="true" outlineLevel="0" collapsed="false">
      <c r="C2" s="341"/>
      <c r="D2" s="317" t="s">
        <v>347</v>
      </c>
      <c r="E2" s="317"/>
      <c r="F2" s="317"/>
      <c r="G2" s="317"/>
      <c r="H2" s="317"/>
      <c r="I2" s="317"/>
      <c r="J2" s="317"/>
      <c r="K2" s="317"/>
      <c r="L2" s="317"/>
      <c r="M2" s="317"/>
      <c r="N2" s="317"/>
      <c r="O2" s="317"/>
      <c r="P2" s="317"/>
      <c r="Q2" s="317"/>
      <c r="R2" s="342" t="s">
        <v>348</v>
      </c>
      <c r="S2" s="342"/>
      <c r="T2" s="342"/>
      <c r="U2" s="342"/>
      <c r="V2" s="342"/>
      <c r="W2" s="342"/>
      <c r="X2" s="342"/>
      <c r="Y2" s="342"/>
      <c r="Z2" s="342"/>
      <c r="AA2" s="342"/>
      <c r="AB2" s="342"/>
      <c r="AC2" s="342"/>
      <c r="AD2" s="343"/>
      <c r="AE2" s="343"/>
      <c r="AF2" s="343"/>
      <c r="AG2" s="343"/>
    </row>
    <row r="3" s="184" customFormat="true" ht="21.75" hidden="false" customHeight="true" outlineLevel="0" collapsed="false">
      <c r="A3" s="287" t="s">
        <v>315</v>
      </c>
      <c r="B3" s="287" t="s">
        <v>316</v>
      </c>
      <c r="C3" s="287" t="s">
        <v>317</v>
      </c>
      <c r="D3" s="288" t="s">
        <v>318</v>
      </c>
      <c r="E3" s="344" t="s">
        <v>349</v>
      </c>
      <c r="F3" s="345" t="s">
        <v>350</v>
      </c>
      <c r="G3" s="346" t="s">
        <v>351</v>
      </c>
      <c r="H3" s="347" t="s">
        <v>352</v>
      </c>
      <c r="I3" s="348" t="s">
        <v>353</v>
      </c>
      <c r="J3" s="348" t="s">
        <v>354</v>
      </c>
      <c r="K3" s="347" t="s">
        <v>355</v>
      </c>
      <c r="L3" s="346" t="s">
        <v>320</v>
      </c>
      <c r="M3" s="346"/>
      <c r="N3" s="346"/>
      <c r="O3" s="346"/>
      <c r="P3" s="346"/>
      <c r="Q3" s="346"/>
      <c r="R3" s="346"/>
      <c r="S3" s="346"/>
      <c r="T3" s="346"/>
      <c r="U3" s="346"/>
      <c r="V3" s="346"/>
      <c r="W3" s="346"/>
      <c r="X3" s="346"/>
      <c r="Y3" s="346"/>
      <c r="Z3" s="346"/>
      <c r="AA3" s="346"/>
      <c r="AB3" s="346"/>
      <c r="AC3" s="346"/>
      <c r="AD3" s="349"/>
      <c r="AE3" s="349"/>
      <c r="AF3" s="349"/>
      <c r="AG3" s="349"/>
    </row>
    <row r="4" s="233" customFormat="true" ht="29.25" hidden="false" customHeight="true" outlineLevel="0" collapsed="false">
      <c r="A4" s="287"/>
      <c r="B4" s="287"/>
      <c r="C4" s="287"/>
      <c r="D4" s="288"/>
      <c r="E4" s="344"/>
      <c r="F4" s="345"/>
      <c r="G4" s="346"/>
      <c r="H4" s="347"/>
      <c r="I4" s="348"/>
      <c r="J4" s="348"/>
      <c r="K4" s="347"/>
      <c r="L4" s="293" t="s">
        <v>321</v>
      </c>
      <c r="M4" s="293"/>
      <c r="N4" s="293" t="s">
        <v>356</v>
      </c>
      <c r="O4" s="293"/>
      <c r="P4" s="293" t="s">
        <v>357</v>
      </c>
      <c r="Q4" s="293"/>
      <c r="R4" s="293" t="s">
        <v>324</v>
      </c>
      <c r="S4" s="293"/>
      <c r="T4" s="293" t="s">
        <v>325</v>
      </c>
      <c r="U4" s="293"/>
      <c r="V4" s="293" t="s">
        <v>326</v>
      </c>
      <c r="W4" s="293"/>
      <c r="X4" s="293" t="s">
        <v>327</v>
      </c>
      <c r="Y4" s="293"/>
      <c r="Z4" s="293" t="s">
        <v>328</v>
      </c>
      <c r="AA4" s="293"/>
      <c r="AB4" s="293" t="s">
        <v>329</v>
      </c>
      <c r="AC4" s="293"/>
      <c r="AD4" s="350" t="s">
        <v>358</v>
      </c>
      <c r="AE4" s="350" t="s">
        <v>359</v>
      </c>
      <c r="AF4" s="350" t="s">
        <v>360</v>
      </c>
      <c r="AG4" s="350" t="s">
        <v>361</v>
      </c>
      <c r="AH4" s="351" t="s">
        <v>362</v>
      </c>
    </row>
    <row r="5" s="352" customFormat="true" ht="29.25" hidden="false" customHeight="true" outlineLevel="0" collapsed="false">
      <c r="A5" s="287"/>
      <c r="B5" s="287"/>
      <c r="C5" s="287"/>
      <c r="D5" s="288"/>
      <c r="E5" s="344"/>
      <c r="F5" s="345"/>
      <c r="G5" s="346"/>
      <c r="H5" s="347"/>
      <c r="I5" s="348"/>
      <c r="J5" s="348"/>
      <c r="K5" s="347"/>
      <c r="L5" s="295" t="s">
        <v>68</v>
      </c>
      <c r="M5" s="295" t="s">
        <v>298</v>
      </c>
      <c r="N5" s="295" t="s">
        <v>68</v>
      </c>
      <c r="O5" s="295" t="s">
        <v>298</v>
      </c>
      <c r="P5" s="295" t="s">
        <v>68</v>
      </c>
      <c r="Q5" s="295" t="s">
        <v>298</v>
      </c>
      <c r="R5" s="295" t="s">
        <v>68</v>
      </c>
      <c r="S5" s="295" t="s">
        <v>298</v>
      </c>
      <c r="T5" s="295" t="s">
        <v>68</v>
      </c>
      <c r="U5" s="295" t="s">
        <v>298</v>
      </c>
      <c r="V5" s="295" t="s">
        <v>68</v>
      </c>
      <c r="W5" s="295" t="s">
        <v>298</v>
      </c>
      <c r="X5" s="295" t="s">
        <v>68</v>
      </c>
      <c r="Y5" s="295" t="s">
        <v>298</v>
      </c>
      <c r="Z5" s="295" t="s">
        <v>68</v>
      </c>
      <c r="AA5" s="295" t="s">
        <v>298</v>
      </c>
      <c r="AB5" s="295" t="s">
        <v>68</v>
      </c>
      <c r="AC5" s="296" t="s">
        <v>298</v>
      </c>
      <c r="AD5" s="350"/>
      <c r="AE5" s="350"/>
      <c r="AF5" s="350"/>
      <c r="AG5" s="350"/>
      <c r="AH5" s="351"/>
      <c r="AJ5" s="336" t="s">
        <v>318</v>
      </c>
    </row>
    <row r="6" s="336" customFormat="true" ht="24" hidden="false" customHeight="true" outlineLevel="0" collapsed="false">
      <c r="A6" s="353" t="str">
        <f aca="false">'Listado CAPS'!A3</f>
        <v>Madriz</v>
      </c>
      <c r="B6" s="353" t="str">
        <f aca="false">'Listado CAPS'!B3</f>
        <v>Yalaguina</v>
      </c>
      <c r="C6" s="353" t="str">
        <f aca="false">'Listado CAPS'!C3</f>
        <v>Los Encuentros</v>
      </c>
      <c r="D6" s="353" t="str">
        <f aca="false">'Listado CAPS'!D3</f>
        <v>Los Encuentros</v>
      </c>
      <c r="E6" s="299" t="n">
        <v>1</v>
      </c>
      <c r="F6" s="354" t="s">
        <v>363</v>
      </c>
      <c r="G6" s="304" t="n">
        <v>45064</v>
      </c>
      <c r="H6" s="355" t="s">
        <v>364</v>
      </c>
      <c r="I6" s="299" t="n">
        <v>1</v>
      </c>
      <c r="J6" s="300" t="n">
        <f aca="false">IF(H6&lt;&gt;"OTROS",1,0)*IF(I6=1,1,0)</f>
        <v>1</v>
      </c>
      <c r="K6" s="356" t="n">
        <v>0.6</v>
      </c>
      <c r="L6" s="299" t="n">
        <v>1</v>
      </c>
      <c r="M6" s="299"/>
      <c r="N6" s="299"/>
      <c r="O6" s="299" t="n">
        <v>1</v>
      </c>
      <c r="P6" s="299"/>
      <c r="Q6" s="299" t="n">
        <v>1</v>
      </c>
      <c r="R6" s="299"/>
      <c r="S6" s="299"/>
      <c r="T6" s="299"/>
      <c r="U6" s="299" t="n">
        <v>1</v>
      </c>
      <c r="V6" s="299"/>
      <c r="W6" s="299"/>
      <c r="X6" s="299"/>
      <c r="Y6" s="299"/>
      <c r="Z6" s="299"/>
      <c r="AA6" s="299"/>
      <c r="AB6" s="299"/>
      <c r="AC6" s="300"/>
      <c r="AD6" s="302" t="n">
        <f aca="false">IF(SUM(L6:AC6)=0,0,SUM(L6:AC6)/'Conformación JD'!$X$7)</f>
        <v>0.8</v>
      </c>
      <c r="AE6" s="301" t="n">
        <f aca="false">SUM(L6:AC6)</f>
        <v>4</v>
      </c>
      <c r="AF6" s="301" t="n">
        <f aca="false">+AC6+AA6+Y6+W6+U6+S6+Q6+O6+M6</f>
        <v>3</v>
      </c>
      <c r="AG6" s="357" t="n">
        <f aca="false">IF(AE6=0,0,AF6/AE6)</f>
        <v>0.75</v>
      </c>
      <c r="AH6" s="299"/>
      <c r="AJ6" s="336" t="s">
        <v>364</v>
      </c>
    </row>
    <row r="7" s="336" customFormat="true" ht="22.5" hidden="false" customHeight="true" outlineLevel="0" collapsed="false">
      <c r="A7" s="353"/>
      <c r="B7" s="353"/>
      <c r="C7" s="353"/>
      <c r="D7" s="353"/>
      <c r="E7" s="299" t="n">
        <v>2</v>
      </c>
      <c r="F7" s="354"/>
      <c r="G7" s="304"/>
      <c r="H7" s="355"/>
      <c r="I7" s="299"/>
      <c r="J7" s="300" t="n">
        <f aca="false">IF(H7&lt;&gt;"OTROS",1,0)*IF(I7=1,1,0)</f>
        <v>0</v>
      </c>
      <c r="K7" s="356"/>
      <c r="L7" s="299"/>
      <c r="M7" s="299"/>
      <c r="N7" s="299"/>
      <c r="O7" s="299"/>
      <c r="P7" s="299"/>
      <c r="Q7" s="299"/>
      <c r="R7" s="299"/>
      <c r="S7" s="299"/>
      <c r="T7" s="299"/>
      <c r="U7" s="299"/>
      <c r="V7" s="299"/>
      <c r="W7" s="299"/>
      <c r="X7" s="299"/>
      <c r="Y7" s="299"/>
      <c r="Z7" s="299"/>
      <c r="AA7" s="299"/>
      <c r="AB7" s="299"/>
      <c r="AC7" s="300"/>
      <c r="AD7" s="302" t="n">
        <f aca="false">IF(SUM(L7:AC7)=0,0,SUM(L7:AC7)/'Conformación JD'!$X$7)</f>
        <v>0</v>
      </c>
      <c r="AE7" s="301" t="n">
        <f aca="false">SUM(L7:AC7)</f>
        <v>0</v>
      </c>
      <c r="AF7" s="301" t="n">
        <f aca="false">+AC7+AA7+Y7+W7+U7+S7+Q7+O7+M7</f>
        <v>0</v>
      </c>
      <c r="AG7" s="357" t="n">
        <f aca="false">IF(AE7=0,0,AF7/AE7)</f>
        <v>0</v>
      </c>
      <c r="AH7" s="358"/>
      <c r="AJ7" s="336" t="s">
        <v>365</v>
      </c>
    </row>
    <row r="8" s="336" customFormat="true" ht="20.25" hidden="false" customHeight="true" outlineLevel="0" collapsed="false">
      <c r="A8" s="353"/>
      <c r="B8" s="353"/>
      <c r="C8" s="353"/>
      <c r="D8" s="353"/>
      <c r="E8" s="299" t="n">
        <v>3</v>
      </c>
      <c r="F8" s="354"/>
      <c r="G8" s="304"/>
      <c r="H8" s="355"/>
      <c r="I8" s="299"/>
      <c r="J8" s="300" t="n">
        <f aca="false">IF(H8&lt;&gt;"OTROS",1,0)*IF(I8=1,1,0)</f>
        <v>0</v>
      </c>
      <c r="K8" s="356"/>
      <c r="L8" s="299"/>
      <c r="M8" s="299"/>
      <c r="N8" s="299"/>
      <c r="O8" s="299"/>
      <c r="P8" s="299"/>
      <c r="Q8" s="299"/>
      <c r="R8" s="299"/>
      <c r="S8" s="299"/>
      <c r="T8" s="299"/>
      <c r="U8" s="299"/>
      <c r="V8" s="299"/>
      <c r="W8" s="299"/>
      <c r="X8" s="299"/>
      <c r="Y8" s="299"/>
      <c r="Z8" s="299"/>
      <c r="AA8" s="299"/>
      <c r="AB8" s="299"/>
      <c r="AC8" s="300"/>
      <c r="AD8" s="302" t="n">
        <f aca="false">IF(SUM(L8:AC8)=0,0,SUM(L8:AC8)/'Conformación JD'!$X$7)</f>
        <v>0</v>
      </c>
      <c r="AE8" s="301" t="n">
        <f aca="false">SUM(L8:AC8)</f>
        <v>0</v>
      </c>
      <c r="AF8" s="301" t="n">
        <f aca="false">+AC8+AA8+Y8+W8+U8+S8+Q8+O8+M8</f>
        <v>0</v>
      </c>
      <c r="AG8" s="357" t="n">
        <f aca="false">IF(AE8=0,0,AF8/AE8)</f>
        <v>0</v>
      </c>
      <c r="AH8" s="359"/>
    </row>
    <row r="9" s="336" customFormat="true" ht="22.5" hidden="false" customHeight="true" outlineLevel="0" collapsed="false">
      <c r="A9" s="353"/>
      <c r="B9" s="353"/>
      <c r="C9" s="353"/>
      <c r="D9" s="353"/>
      <c r="E9" s="299" t="n">
        <v>4</v>
      </c>
      <c r="F9" s="354"/>
      <c r="G9" s="355"/>
      <c r="H9" s="355"/>
      <c r="I9" s="299"/>
      <c r="J9" s="300" t="n">
        <f aca="false">IF(H9&lt;&gt;"OTROS",1,0)*IF(I9=1,1,0)</f>
        <v>0</v>
      </c>
      <c r="K9" s="356"/>
      <c r="L9" s="299"/>
      <c r="M9" s="299"/>
      <c r="N9" s="299"/>
      <c r="O9" s="299"/>
      <c r="P9" s="299"/>
      <c r="Q9" s="299"/>
      <c r="R9" s="299"/>
      <c r="S9" s="299"/>
      <c r="T9" s="299"/>
      <c r="U9" s="299"/>
      <c r="V9" s="299"/>
      <c r="W9" s="299"/>
      <c r="X9" s="299"/>
      <c r="Y9" s="299"/>
      <c r="Z9" s="299"/>
      <c r="AA9" s="299"/>
      <c r="AB9" s="299"/>
      <c r="AC9" s="300"/>
      <c r="AD9" s="302" t="n">
        <f aca="false">IF(SUM(L9:AC9)=0,0,SUM(L9:AC9)/'Conformación JD'!$X$7)</f>
        <v>0</v>
      </c>
      <c r="AE9" s="301" t="n">
        <f aca="false">SUM(L9:AC9)</f>
        <v>0</v>
      </c>
      <c r="AF9" s="301" t="n">
        <f aca="false">+AC9+AA9+Y9+W9+U9+S9+Q9+O9+M9</f>
        <v>0</v>
      </c>
      <c r="AG9" s="357" t="n">
        <f aca="false">IF(AE9=0,0,AF9/AE9)</f>
        <v>0</v>
      </c>
      <c r="AH9" s="358"/>
    </row>
    <row r="10" s="336" customFormat="true" ht="22.5" hidden="false" customHeight="true" outlineLevel="0" collapsed="false">
      <c r="A10" s="353"/>
      <c r="B10" s="353"/>
      <c r="C10" s="353"/>
      <c r="D10" s="353"/>
      <c r="E10" s="299" t="n">
        <v>5</v>
      </c>
      <c r="F10" s="354"/>
      <c r="G10" s="355"/>
      <c r="H10" s="355"/>
      <c r="I10" s="299"/>
      <c r="J10" s="300" t="n">
        <f aca="false">IF(H10&lt;&gt;"OTROS",1,0)*IF(I10=1,1,0)</f>
        <v>0</v>
      </c>
      <c r="K10" s="356"/>
      <c r="L10" s="299"/>
      <c r="M10" s="299"/>
      <c r="N10" s="299"/>
      <c r="O10" s="299"/>
      <c r="P10" s="299"/>
      <c r="Q10" s="299"/>
      <c r="R10" s="299"/>
      <c r="S10" s="299"/>
      <c r="T10" s="299"/>
      <c r="U10" s="299"/>
      <c r="V10" s="299"/>
      <c r="W10" s="299"/>
      <c r="X10" s="299"/>
      <c r="Y10" s="299"/>
      <c r="Z10" s="299"/>
      <c r="AA10" s="299"/>
      <c r="AB10" s="299"/>
      <c r="AC10" s="300"/>
      <c r="AD10" s="302" t="n">
        <f aca="false">IF(SUM(L10:AC10)=0,0,SUM(L10:AC10)/'Conformación JD'!$X$7)</f>
        <v>0</v>
      </c>
      <c r="AE10" s="301" t="n">
        <f aca="false">SUM(L10:AC10)</f>
        <v>0</v>
      </c>
      <c r="AF10" s="301" t="n">
        <f aca="false">+AC10+AA10+Y10+W10+U10+S10+Q10+O10+M10</f>
        <v>0</v>
      </c>
      <c r="AG10" s="357" t="n">
        <f aca="false">IF(AE10=0,0,AF10/AE10)</f>
        <v>0</v>
      </c>
      <c r="AH10" s="358"/>
    </row>
    <row r="11" s="336" customFormat="true" ht="22.5" hidden="false" customHeight="true" outlineLevel="0" collapsed="false">
      <c r="A11" s="353"/>
      <c r="B11" s="353"/>
      <c r="C11" s="353"/>
      <c r="D11" s="353"/>
      <c r="E11" s="299" t="n">
        <v>6</v>
      </c>
      <c r="F11" s="354"/>
      <c r="G11" s="355"/>
      <c r="H11" s="355"/>
      <c r="I11" s="299"/>
      <c r="J11" s="300" t="n">
        <f aca="false">IF(H11&lt;&gt;"OTROS",1,0)*IF(I11=1,1,0)</f>
        <v>0</v>
      </c>
      <c r="K11" s="356"/>
      <c r="L11" s="299"/>
      <c r="M11" s="299"/>
      <c r="N11" s="299"/>
      <c r="O11" s="299"/>
      <c r="P11" s="299"/>
      <c r="Q11" s="299"/>
      <c r="R11" s="299"/>
      <c r="S11" s="299"/>
      <c r="T11" s="299"/>
      <c r="U11" s="299"/>
      <c r="V11" s="299"/>
      <c r="W11" s="299"/>
      <c r="X11" s="299"/>
      <c r="Y11" s="299"/>
      <c r="Z11" s="299"/>
      <c r="AA11" s="299"/>
      <c r="AB11" s="299"/>
      <c r="AC11" s="300"/>
      <c r="AD11" s="302" t="n">
        <f aca="false">IF(SUM(L11:AC11)=0,0,SUM(L11:AC11)/'Conformación JD'!$X$7)</f>
        <v>0</v>
      </c>
      <c r="AE11" s="301" t="n">
        <f aca="false">SUM(L11:AC11)</f>
        <v>0</v>
      </c>
      <c r="AF11" s="301" t="n">
        <f aca="false">+AC11+AA11+Y11+W11+U11+S11+Q11+O11+M11</f>
        <v>0</v>
      </c>
      <c r="AG11" s="357" t="n">
        <f aca="false">IF(AE11=0,0,AF11/AE11)</f>
        <v>0</v>
      </c>
      <c r="AH11" s="358"/>
    </row>
    <row r="12" s="336" customFormat="true" ht="22.5" hidden="false" customHeight="true" outlineLevel="0" collapsed="false">
      <c r="A12" s="353"/>
      <c r="B12" s="353"/>
      <c r="C12" s="353"/>
      <c r="D12" s="353"/>
      <c r="E12" s="299" t="n">
        <v>7</v>
      </c>
      <c r="F12" s="354"/>
      <c r="G12" s="355"/>
      <c r="H12" s="355"/>
      <c r="I12" s="299"/>
      <c r="J12" s="300" t="n">
        <f aca="false">IF(H12&lt;&gt;"OTROS",1,0)*IF(I12=1,1,0)</f>
        <v>0</v>
      </c>
      <c r="K12" s="356"/>
      <c r="L12" s="299"/>
      <c r="M12" s="299"/>
      <c r="N12" s="299"/>
      <c r="O12" s="299"/>
      <c r="P12" s="299"/>
      <c r="Q12" s="299"/>
      <c r="R12" s="299"/>
      <c r="S12" s="299"/>
      <c r="T12" s="299"/>
      <c r="U12" s="299"/>
      <c r="V12" s="299"/>
      <c r="W12" s="299"/>
      <c r="X12" s="299"/>
      <c r="Y12" s="299"/>
      <c r="Z12" s="299"/>
      <c r="AA12" s="299"/>
      <c r="AB12" s="299"/>
      <c r="AC12" s="300"/>
      <c r="AD12" s="302" t="n">
        <f aca="false">IF(SUM(L12:AC12)=0,0,SUM(L12:AC12)/'Conformación JD'!$X$7)</f>
        <v>0</v>
      </c>
      <c r="AE12" s="301" t="n">
        <f aca="false">SUM(L12:AC12)</f>
        <v>0</v>
      </c>
      <c r="AF12" s="301" t="n">
        <f aca="false">+AC12+AA12+Y12+W12+U12+S12+Q12+O12+M12</f>
        <v>0</v>
      </c>
      <c r="AG12" s="357" t="n">
        <f aca="false">IF(AE12=0,0,AF12/AE12)</f>
        <v>0</v>
      </c>
      <c r="AH12" s="358"/>
    </row>
    <row r="13" s="336" customFormat="true" ht="22.5" hidden="false" customHeight="true" outlineLevel="0" collapsed="false">
      <c r="A13" s="353"/>
      <c r="B13" s="353"/>
      <c r="C13" s="353"/>
      <c r="D13" s="353"/>
      <c r="E13" s="299" t="n">
        <v>8</v>
      </c>
      <c r="F13" s="354"/>
      <c r="G13" s="355"/>
      <c r="H13" s="355"/>
      <c r="I13" s="299"/>
      <c r="J13" s="300" t="n">
        <f aca="false">IF(H13&lt;&gt;"OTROS",1,0)*IF(I13=1,1,0)</f>
        <v>0</v>
      </c>
      <c r="K13" s="356"/>
      <c r="L13" s="299"/>
      <c r="M13" s="299"/>
      <c r="N13" s="299"/>
      <c r="O13" s="299"/>
      <c r="P13" s="299"/>
      <c r="Q13" s="299"/>
      <c r="R13" s="299"/>
      <c r="S13" s="299"/>
      <c r="T13" s="299"/>
      <c r="U13" s="299"/>
      <c r="V13" s="299"/>
      <c r="W13" s="299"/>
      <c r="X13" s="299"/>
      <c r="Y13" s="299"/>
      <c r="Z13" s="299"/>
      <c r="AA13" s="299"/>
      <c r="AB13" s="299"/>
      <c r="AC13" s="300"/>
      <c r="AD13" s="302" t="n">
        <f aca="false">IF(SUM(L13:AC13)=0,0,SUM(L13:AC13)/'Conformación JD'!$X$7)</f>
        <v>0</v>
      </c>
      <c r="AE13" s="301" t="n">
        <f aca="false">SUM(L13:AC13)</f>
        <v>0</v>
      </c>
      <c r="AF13" s="301" t="n">
        <f aca="false">+AC13+AA13+Y13+W13+U13+S13+Q13+O13+M13</f>
        <v>0</v>
      </c>
      <c r="AG13" s="357" t="n">
        <f aca="false">IF(AE13=0,0,AF13/AE13)</f>
        <v>0</v>
      </c>
      <c r="AH13" s="358"/>
    </row>
    <row r="14" s="336" customFormat="true" ht="22.5" hidden="false" customHeight="true" outlineLevel="0" collapsed="false">
      <c r="A14" s="353"/>
      <c r="B14" s="353"/>
      <c r="C14" s="353"/>
      <c r="D14" s="353"/>
      <c r="E14" s="299" t="n">
        <v>9</v>
      </c>
      <c r="F14" s="354"/>
      <c r="G14" s="355"/>
      <c r="H14" s="355"/>
      <c r="I14" s="299"/>
      <c r="J14" s="300" t="n">
        <f aca="false">IF(H14&lt;&gt;"OTROS",1,0)*IF(I14=1,1,0)</f>
        <v>0</v>
      </c>
      <c r="K14" s="356"/>
      <c r="L14" s="299"/>
      <c r="M14" s="299"/>
      <c r="N14" s="299"/>
      <c r="O14" s="299"/>
      <c r="P14" s="299"/>
      <c r="Q14" s="299"/>
      <c r="R14" s="299"/>
      <c r="S14" s="299"/>
      <c r="T14" s="299"/>
      <c r="U14" s="299"/>
      <c r="V14" s="299"/>
      <c r="W14" s="299"/>
      <c r="X14" s="299"/>
      <c r="Y14" s="299"/>
      <c r="Z14" s="299"/>
      <c r="AA14" s="299"/>
      <c r="AB14" s="299"/>
      <c r="AC14" s="300"/>
      <c r="AD14" s="302" t="n">
        <f aca="false">IF(SUM(L14:AC14)=0,0,SUM(L14:AC14)/'Conformación JD'!$X$7)</f>
        <v>0</v>
      </c>
      <c r="AE14" s="301" t="n">
        <f aca="false">SUM(L14:AC14)</f>
        <v>0</v>
      </c>
      <c r="AF14" s="301" t="n">
        <f aca="false">+AC14+AA14+Y14+W14+U14+S14+Q14+O14+M14</f>
        <v>0</v>
      </c>
      <c r="AG14" s="357" t="n">
        <f aca="false">IF(AE14=0,0,AF14/AE14)</f>
        <v>0</v>
      </c>
      <c r="AH14" s="358"/>
    </row>
    <row r="15" s="336" customFormat="true" ht="22.5" hidden="false" customHeight="true" outlineLevel="0" collapsed="false">
      <c r="A15" s="353"/>
      <c r="B15" s="353"/>
      <c r="C15" s="353"/>
      <c r="D15" s="353"/>
      <c r="E15" s="360" t="n">
        <v>10</v>
      </c>
      <c r="F15" s="361"/>
      <c r="G15" s="362"/>
      <c r="H15" s="362"/>
      <c r="I15" s="360"/>
      <c r="J15" s="300" t="n">
        <f aca="false">IF(H15&lt;&gt;"OTROS",1,0)*IF(I15=1,1,0)</f>
        <v>0</v>
      </c>
      <c r="K15" s="356"/>
      <c r="L15" s="360"/>
      <c r="M15" s="360"/>
      <c r="N15" s="360"/>
      <c r="O15" s="360"/>
      <c r="P15" s="360"/>
      <c r="Q15" s="360"/>
      <c r="R15" s="360"/>
      <c r="S15" s="360"/>
      <c r="T15" s="360"/>
      <c r="U15" s="360"/>
      <c r="V15" s="360"/>
      <c r="W15" s="360"/>
      <c r="X15" s="360"/>
      <c r="Y15" s="360"/>
      <c r="Z15" s="360"/>
      <c r="AA15" s="360"/>
      <c r="AB15" s="360"/>
      <c r="AC15" s="363"/>
      <c r="AD15" s="302" t="n">
        <f aca="false">IF(SUM(L15:AC15)=0,0,SUM(L15:AC15)/'Conformación JD'!$X$7)</f>
        <v>0</v>
      </c>
      <c r="AE15" s="301" t="n">
        <f aca="false">SUM(L15:AC15)</f>
        <v>0</v>
      </c>
      <c r="AF15" s="301" t="n">
        <f aca="false">+AC15+AA15+Y15+W15+U15+S15+Q15+O15+M15</f>
        <v>0</v>
      </c>
      <c r="AG15" s="357" t="n">
        <f aca="false">IF(AE15=0,0,AF15/AE15)</f>
        <v>0</v>
      </c>
      <c r="AH15" s="358"/>
    </row>
    <row r="16" s="238" customFormat="true" ht="21.75" hidden="false" customHeight="true" outlineLevel="0" collapsed="false">
      <c r="A16" s="305"/>
      <c r="B16" s="305"/>
      <c r="C16" s="305"/>
      <c r="D16" s="305"/>
      <c r="E16" s="364" t="s">
        <v>366</v>
      </c>
      <c r="F16" s="364"/>
      <c r="G16" s="364"/>
      <c r="H16" s="364"/>
      <c r="I16" s="365" t="n">
        <f aca="false">IF((COUNTIF(G6:G15,"&lt;&gt;"))&lt;&gt;0,SUM(I6:I15)/COUNTIF(G6:G15,"&lt;&gt;"),0)</f>
        <v>1</v>
      </c>
      <c r="J16" s="366" t="n">
        <f aca="false">IF((COUNTIF(H6:H15,"&lt;&gt;"))&lt;&gt;0,SUM(J6:J15)/COUNTIF(H6:H15,"&lt;&gt;"),0)</f>
        <v>1</v>
      </c>
      <c r="K16" s="310" t="n">
        <f aca="false">IF((COUNTIF(H6:H15,"&lt;&gt;"))&lt;&gt;0,SUM(K6:K15)/COUNTIF(H6:H15,"&lt;&gt;"),0)</f>
        <v>0.6</v>
      </c>
      <c r="L16" s="307" t="n">
        <f aca="false">SUM(L6:L15)</f>
        <v>1</v>
      </c>
      <c r="M16" s="307" t="n">
        <f aca="false">SUM(M6:M15)</f>
        <v>0</v>
      </c>
      <c r="N16" s="307" t="n">
        <f aca="false">SUM(N6:N15)</f>
        <v>0</v>
      </c>
      <c r="O16" s="307" t="n">
        <f aca="false">SUM(O6:O15)</f>
        <v>1</v>
      </c>
      <c r="P16" s="307" t="n">
        <f aca="false">SUM(P6:P15)</f>
        <v>0</v>
      </c>
      <c r="Q16" s="307" t="n">
        <f aca="false">SUM(Q6:Q15)</f>
        <v>1</v>
      </c>
      <c r="R16" s="307" t="n">
        <f aca="false">SUM(R6:R15)</f>
        <v>0</v>
      </c>
      <c r="S16" s="307" t="n">
        <f aca="false">SUM(S6:S15)</f>
        <v>0</v>
      </c>
      <c r="T16" s="307" t="n">
        <f aca="false">SUM(T6:T15)</f>
        <v>0</v>
      </c>
      <c r="U16" s="307" t="n">
        <f aca="false">SUM(U6:U15)</f>
        <v>1</v>
      </c>
      <c r="V16" s="307" t="n">
        <f aca="false">SUM(V6:V15)</f>
        <v>0</v>
      </c>
      <c r="W16" s="307" t="n">
        <f aca="false">SUM(W6:W15)</f>
        <v>0</v>
      </c>
      <c r="X16" s="307" t="n">
        <f aca="false">SUM(X6:X15)</f>
        <v>0</v>
      </c>
      <c r="Y16" s="307" t="n">
        <f aca="false">SUM(Y6:Y15)</f>
        <v>0</v>
      </c>
      <c r="Z16" s="307" t="n">
        <f aca="false">SUM(Z6:Z15)</f>
        <v>0</v>
      </c>
      <c r="AA16" s="307" t="n">
        <f aca="false">SUM(AA6:AA15)</f>
        <v>0</v>
      </c>
      <c r="AB16" s="307" t="n">
        <f aca="false">SUM(AB6:AB15)</f>
        <v>0</v>
      </c>
      <c r="AC16" s="307" t="n">
        <f aca="false">SUM(AC6:AC15)</f>
        <v>0</v>
      </c>
      <c r="AD16" s="310" t="n">
        <f aca="false">IF(SUM(AD6:AD15)=0,0,SUM(AD6:AD15)/COUNTIF(AD6:AD15,"&lt;&gt;0"))</f>
        <v>0.8</v>
      </c>
      <c r="AE16" s="365" t="n">
        <f aca="false">IF(SUM(AE6:AE15)=0,0,SUM(AE6:AE15)/COUNTIF(AE6:AE15,"&lt;&gt;0"))</f>
        <v>4</v>
      </c>
      <c r="AF16" s="365" t="n">
        <f aca="false">IF(SUM(AF6:AF15)=0,0,SUM(AF6:AF15)/COUNTIF(AF6:AF15,"&lt;&gt;0"))</f>
        <v>3</v>
      </c>
      <c r="AG16" s="310" t="n">
        <f aca="false">IF(SUM(AG6:AG15)=0,0,SUM(AG6:AG15)/COUNTIF(AD6:AD15,"&lt;&gt;0"))</f>
        <v>0.75</v>
      </c>
      <c r="AH16" s="367"/>
    </row>
    <row r="17" customFormat="false" ht="12.75" hidden="false" customHeight="true" outlineLevel="0" collapsed="false">
      <c r="A17" s="287" t="s">
        <v>315</v>
      </c>
      <c r="B17" s="287" t="s">
        <v>316</v>
      </c>
      <c r="C17" s="287" t="s">
        <v>317</v>
      </c>
      <c r="D17" s="288" t="s">
        <v>318</v>
      </c>
      <c r="E17" s="344" t="s">
        <v>349</v>
      </c>
      <c r="F17" s="345" t="s">
        <v>350</v>
      </c>
      <c r="G17" s="346" t="s">
        <v>351</v>
      </c>
      <c r="H17" s="347" t="s">
        <v>352</v>
      </c>
      <c r="I17" s="348" t="s">
        <v>353</v>
      </c>
      <c r="J17" s="348" t="s">
        <v>354</v>
      </c>
      <c r="K17" s="347" t="s">
        <v>355</v>
      </c>
      <c r="L17" s="346" t="s">
        <v>320</v>
      </c>
      <c r="M17" s="346"/>
      <c r="N17" s="346"/>
      <c r="O17" s="346"/>
      <c r="P17" s="346"/>
      <c r="Q17" s="346"/>
      <c r="R17" s="346"/>
      <c r="S17" s="346"/>
      <c r="T17" s="346"/>
      <c r="U17" s="346"/>
      <c r="V17" s="346"/>
      <c r="W17" s="346"/>
      <c r="X17" s="346"/>
      <c r="Y17" s="346"/>
      <c r="Z17" s="346"/>
      <c r="AA17" s="346"/>
      <c r="AB17" s="346"/>
      <c r="AC17" s="346"/>
      <c r="AD17" s="349"/>
      <c r="AE17" s="349"/>
      <c r="AF17" s="349"/>
      <c r="AG17" s="349"/>
      <c r="AH17" s="184"/>
    </row>
    <row r="18" s="369" customFormat="true" ht="24.75" hidden="false" customHeight="true" outlineLevel="0" collapsed="false">
      <c r="A18" s="287"/>
      <c r="B18" s="287"/>
      <c r="C18" s="287"/>
      <c r="D18" s="288"/>
      <c r="E18" s="344"/>
      <c r="F18" s="345"/>
      <c r="G18" s="346"/>
      <c r="H18" s="347"/>
      <c r="I18" s="348"/>
      <c r="J18" s="348"/>
      <c r="K18" s="347"/>
      <c r="L18" s="293" t="s">
        <v>321</v>
      </c>
      <c r="M18" s="293"/>
      <c r="N18" s="293" t="s">
        <v>356</v>
      </c>
      <c r="O18" s="293"/>
      <c r="P18" s="293" t="s">
        <v>357</v>
      </c>
      <c r="Q18" s="293"/>
      <c r="R18" s="293" t="s">
        <v>324</v>
      </c>
      <c r="S18" s="293"/>
      <c r="T18" s="293" t="s">
        <v>325</v>
      </c>
      <c r="U18" s="293"/>
      <c r="V18" s="293" t="s">
        <v>326</v>
      </c>
      <c r="W18" s="293"/>
      <c r="X18" s="293" t="s">
        <v>327</v>
      </c>
      <c r="Y18" s="293"/>
      <c r="Z18" s="293" t="s">
        <v>328</v>
      </c>
      <c r="AA18" s="293"/>
      <c r="AB18" s="293" t="s">
        <v>329</v>
      </c>
      <c r="AC18" s="293"/>
      <c r="AD18" s="368" t="s">
        <v>358</v>
      </c>
      <c r="AE18" s="350" t="s">
        <v>359</v>
      </c>
      <c r="AF18" s="350" t="s">
        <v>360</v>
      </c>
      <c r="AG18" s="350" t="s">
        <v>361</v>
      </c>
      <c r="AH18" s="351" t="s">
        <v>362</v>
      </c>
    </row>
    <row r="19" customFormat="false" ht="33.75" hidden="false" customHeight="true" outlineLevel="0" collapsed="false">
      <c r="A19" s="287"/>
      <c r="B19" s="287"/>
      <c r="C19" s="287"/>
      <c r="D19" s="288"/>
      <c r="E19" s="344"/>
      <c r="F19" s="345"/>
      <c r="G19" s="346"/>
      <c r="H19" s="347"/>
      <c r="I19" s="348"/>
      <c r="J19" s="348"/>
      <c r="K19" s="347"/>
      <c r="L19" s="295" t="s">
        <v>68</v>
      </c>
      <c r="M19" s="295" t="s">
        <v>298</v>
      </c>
      <c r="N19" s="295" t="s">
        <v>68</v>
      </c>
      <c r="O19" s="295" t="s">
        <v>298</v>
      </c>
      <c r="P19" s="295" t="s">
        <v>68</v>
      </c>
      <c r="Q19" s="295" t="s">
        <v>298</v>
      </c>
      <c r="R19" s="295" t="s">
        <v>68</v>
      </c>
      <c r="S19" s="295" t="s">
        <v>298</v>
      </c>
      <c r="T19" s="295" t="s">
        <v>68</v>
      </c>
      <c r="U19" s="295" t="s">
        <v>298</v>
      </c>
      <c r="V19" s="295" t="s">
        <v>68</v>
      </c>
      <c r="W19" s="295" t="s">
        <v>298</v>
      </c>
      <c r="X19" s="295" t="s">
        <v>68</v>
      </c>
      <c r="Y19" s="295" t="s">
        <v>298</v>
      </c>
      <c r="Z19" s="295" t="s">
        <v>68</v>
      </c>
      <c r="AA19" s="295" t="s">
        <v>298</v>
      </c>
      <c r="AB19" s="295" t="s">
        <v>68</v>
      </c>
      <c r="AC19" s="296" t="s">
        <v>298</v>
      </c>
      <c r="AD19" s="368"/>
      <c r="AE19" s="350"/>
      <c r="AF19" s="350"/>
      <c r="AG19" s="350"/>
      <c r="AH19" s="351"/>
    </row>
    <row r="20" customFormat="false" ht="15.75" hidden="false" customHeight="true" outlineLevel="0" collapsed="false">
      <c r="A20" s="353" t="n">
        <f aca="false">'Listado CAPS'!A17</f>
        <v>0</v>
      </c>
      <c r="B20" s="353" t="n">
        <f aca="false">'Listado CAPS'!B17</f>
        <v>0</v>
      </c>
      <c r="C20" s="353" t="n">
        <f aca="false">'Listado CAPS'!C17</f>
        <v>0</v>
      </c>
      <c r="D20" s="353" t="str">
        <f aca="false">'Listado CAPS'!D4</f>
        <v>B</v>
      </c>
      <c r="E20" s="299" t="n">
        <v>1</v>
      </c>
      <c r="F20" s="354"/>
      <c r="G20" s="304"/>
      <c r="H20" s="355"/>
      <c r="I20" s="299"/>
      <c r="J20" s="300" t="n">
        <f aca="false">IF(H20&lt;&gt;"OTROS",1,0)*IF(I20=1,1,0)</f>
        <v>0</v>
      </c>
      <c r="K20" s="356"/>
      <c r="L20" s="299"/>
      <c r="M20" s="299"/>
      <c r="N20" s="299"/>
      <c r="O20" s="299"/>
      <c r="P20" s="299"/>
      <c r="Q20" s="299"/>
      <c r="R20" s="299"/>
      <c r="S20" s="299"/>
      <c r="T20" s="299"/>
      <c r="U20" s="299"/>
      <c r="V20" s="299"/>
      <c r="W20" s="299"/>
      <c r="X20" s="299"/>
      <c r="Y20" s="299"/>
      <c r="Z20" s="299"/>
      <c r="AA20" s="299"/>
      <c r="AB20" s="299"/>
      <c r="AC20" s="300"/>
      <c r="AD20" s="302" t="n">
        <f aca="false">IF(SUM(L20:AC20)=0,0,SUM(L20:AC20)/'Conformación JD'!$X$8)</f>
        <v>0</v>
      </c>
      <c r="AE20" s="301" t="n">
        <f aca="false">SUM(L20:AC20)</f>
        <v>0</v>
      </c>
      <c r="AF20" s="301" t="n">
        <f aca="false">+AC20+AA20+Y20+W20+U20+S20+Q20+O20+M20</f>
        <v>0</v>
      </c>
      <c r="AG20" s="357" t="n">
        <f aca="false">IF(AE20=0,0,AF20/AE20)</f>
        <v>0</v>
      </c>
      <c r="AH20" s="299"/>
    </row>
    <row r="21" customFormat="false" ht="15.75" hidden="false" customHeight="true" outlineLevel="0" collapsed="false">
      <c r="A21" s="353"/>
      <c r="B21" s="353"/>
      <c r="C21" s="353"/>
      <c r="D21" s="353"/>
      <c r="E21" s="299" t="n">
        <v>2</v>
      </c>
      <c r="F21" s="354"/>
      <c r="G21" s="304"/>
      <c r="H21" s="355"/>
      <c r="I21" s="299"/>
      <c r="J21" s="300" t="n">
        <f aca="false">IF(H21&lt;&gt;"OTROS",1,0)*IF(I21=1,1,0)</f>
        <v>0</v>
      </c>
      <c r="K21" s="356"/>
      <c r="L21" s="299"/>
      <c r="M21" s="299"/>
      <c r="N21" s="299"/>
      <c r="O21" s="299"/>
      <c r="P21" s="299"/>
      <c r="Q21" s="299"/>
      <c r="R21" s="299"/>
      <c r="S21" s="299"/>
      <c r="T21" s="299"/>
      <c r="U21" s="299"/>
      <c r="V21" s="299"/>
      <c r="W21" s="299"/>
      <c r="X21" s="299"/>
      <c r="Y21" s="299"/>
      <c r="Z21" s="299"/>
      <c r="AA21" s="299"/>
      <c r="AB21" s="299"/>
      <c r="AC21" s="300"/>
      <c r="AD21" s="302" t="n">
        <f aca="false">IF(SUM(L21:AC21)=0,0,SUM(L21:AC21)/'Conformación JD'!$X$8)</f>
        <v>0</v>
      </c>
      <c r="AE21" s="301" t="n">
        <f aca="false">SUM(L21:AC21)</f>
        <v>0</v>
      </c>
      <c r="AF21" s="301" t="n">
        <f aca="false">+AC21+AA21+Y21+W21+U21+S21+Q21+O21+M21</f>
        <v>0</v>
      </c>
      <c r="AG21" s="357" t="n">
        <f aca="false">IF(AE21=0,0,AF21/AE21)</f>
        <v>0</v>
      </c>
      <c r="AH21" s="358"/>
    </row>
    <row r="22" customFormat="false" ht="15.75" hidden="false" customHeight="true" outlineLevel="0" collapsed="false">
      <c r="A22" s="353"/>
      <c r="B22" s="353"/>
      <c r="C22" s="353"/>
      <c r="D22" s="353"/>
      <c r="E22" s="299" t="n">
        <v>3</v>
      </c>
      <c r="F22" s="354"/>
      <c r="G22" s="304"/>
      <c r="H22" s="355"/>
      <c r="I22" s="299"/>
      <c r="J22" s="300" t="n">
        <f aca="false">IF(H22&lt;&gt;"OTROS",1,0)*IF(I22=1,1,0)</f>
        <v>0</v>
      </c>
      <c r="K22" s="356"/>
      <c r="L22" s="299"/>
      <c r="M22" s="299"/>
      <c r="N22" s="299"/>
      <c r="O22" s="299"/>
      <c r="P22" s="299"/>
      <c r="Q22" s="299"/>
      <c r="R22" s="299"/>
      <c r="S22" s="299"/>
      <c r="T22" s="299"/>
      <c r="U22" s="299"/>
      <c r="V22" s="299"/>
      <c r="W22" s="299"/>
      <c r="X22" s="299"/>
      <c r="Y22" s="299"/>
      <c r="Z22" s="299"/>
      <c r="AA22" s="299"/>
      <c r="AB22" s="299"/>
      <c r="AC22" s="300"/>
      <c r="AD22" s="302" t="n">
        <f aca="false">IF(SUM(L22:AC22)=0,0,SUM(L22:AC22)/'Conformación JD'!$X$8)</f>
        <v>0</v>
      </c>
      <c r="AE22" s="301" t="n">
        <f aca="false">SUM(L22:AC22)</f>
        <v>0</v>
      </c>
      <c r="AF22" s="301" t="n">
        <f aca="false">+AC22+AA22+Y22+W22+U22+S22+Q22+O22+M22</f>
        <v>0</v>
      </c>
      <c r="AG22" s="357" t="n">
        <f aca="false">IF(AE22=0,0,AF22/AE22)</f>
        <v>0</v>
      </c>
      <c r="AH22" s="359"/>
    </row>
    <row r="23" customFormat="false" ht="15.75" hidden="false" customHeight="true" outlineLevel="0" collapsed="false">
      <c r="A23" s="353"/>
      <c r="B23" s="353"/>
      <c r="C23" s="353"/>
      <c r="D23" s="353"/>
      <c r="E23" s="299" t="n">
        <v>4</v>
      </c>
      <c r="F23" s="354"/>
      <c r="G23" s="355"/>
      <c r="H23" s="355"/>
      <c r="I23" s="299"/>
      <c r="J23" s="300" t="n">
        <f aca="false">IF(H23&lt;&gt;"OTROS",1,0)*IF(I23=1,1,0)</f>
        <v>0</v>
      </c>
      <c r="K23" s="356"/>
      <c r="L23" s="299"/>
      <c r="M23" s="299"/>
      <c r="N23" s="299"/>
      <c r="O23" s="299"/>
      <c r="P23" s="299"/>
      <c r="Q23" s="299"/>
      <c r="R23" s="299"/>
      <c r="S23" s="299"/>
      <c r="T23" s="299"/>
      <c r="U23" s="299"/>
      <c r="V23" s="299"/>
      <c r="W23" s="299"/>
      <c r="X23" s="299"/>
      <c r="Y23" s="299"/>
      <c r="Z23" s="299"/>
      <c r="AA23" s="299"/>
      <c r="AB23" s="299"/>
      <c r="AC23" s="300"/>
      <c r="AD23" s="302" t="n">
        <f aca="false">IF(SUM(L23:AC23)=0,0,SUM(L23:AC23)/'Conformación JD'!$X$8)</f>
        <v>0</v>
      </c>
      <c r="AE23" s="301" t="n">
        <f aca="false">SUM(L23:AC23)</f>
        <v>0</v>
      </c>
      <c r="AF23" s="301" t="n">
        <f aca="false">+AC23+AA23+Y23+W23+U23+S23+Q23+O23+M23</f>
        <v>0</v>
      </c>
      <c r="AG23" s="357" t="n">
        <f aca="false">IF(AE23=0,0,AF23/AE23)</f>
        <v>0</v>
      </c>
      <c r="AH23" s="358"/>
    </row>
    <row r="24" customFormat="false" ht="15.75" hidden="false" customHeight="true" outlineLevel="0" collapsed="false">
      <c r="A24" s="353"/>
      <c r="B24" s="353"/>
      <c r="C24" s="353"/>
      <c r="D24" s="353"/>
      <c r="E24" s="299" t="n">
        <v>5</v>
      </c>
      <c r="F24" s="354"/>
      <c r="G24" s="355"/>
      <c r="H24" s="355"/>
      <c r="I24" s="299"/>
      <c r="J24" s="300" t="n">
        <f aca="false">IF(H24&lt;&gt;"OTROS",1,0)*IF(I24=1,1,0)</f>
        <v>0</v>
      </c>
      <c r="K24" s="356"/>
      <c r="L24" s="299"/>
      <c r="M24" s="299"/>
      <c r="N24" s="299"/>
      <c r="O24" s="299"/>
      <c r="P24" s="299"/>
      <c r="Q24" s="299"/>
      <c r="R24" s="299"/>
      <c r="S24" s="299"/>
      <c r="T24" s="299"/>
      <c r="U24" s="299"/>
      <c r="V24" s="299"/>
      <c r="W24" s="299"/>
      <c r="X24" s="299"/>
      <c r="Y24" s="299"/>
      <c r="Z24" s="299"/>
      <c r="AA24" s="299"/>
      <c r="AB24" s="299"/>
      <c r="AC24" s="300"/>
      <c r="AD24" s="302" t="n">
        <f aca="false">IF(SUM(L24:AC24)=0,0,SUM(L24:AC24)/'Conformación JD'!$X$8)</f>
        <v>0</v>
      </c>
      <c r="AE24" s="301" t="n">
        <f aca="false">SUM(L24:AC24)</f>
        <v>0</v>
      </c>
      <c r="AF24" s="301" t="n">
        <f aca="false">+AC24+AA24+Y24+W24+U24+S24+Q24+O24+M24</f>
        <v>0</v>
      </c>
      <c r="AG24" s="357" t="n">
        <f aca="false">IF(AE24=0,0,AF24/AE24)</f>
        <v>0</v>
      </c>
      <c r="AH24" s="358"/>
    </row>
    <row r="25" customFormat="false" ht="15.75" hidden="false" customHeight="true" outlineLevel="0" collapsed="false">
      <c r="A25" s="353"/>
      <c r="B25" s="353"/>
      <c r="C25" s="353"/>
      <c r="D25" s="353"/>
      <c r="E25" s="299" t="n">
        <v>6</v>
      </c>
      <c r="F25" s="354"/>
      <c r="G25" s="355"/>
      <c r="H25" s="355"/>
      <c r="I25" s="299"/>
      <c r="J25" s="300" t="n">
        <f aca="false">IF(H25&lt;&gt;"OTROS",1,0)*IF(I25=1,1,0)</f>
        <v>0</v>
      </c>
      <c r="K25" s="356"/>
      <c r="L25" s="299"/>
      <c r="M25" s="299"/>
      <c r="N25" s="299"/>
      <c r="O25" s="299"/>
      <c r="P25" s="299"/>
      <c r="Q25" s="299"/>
      <c r="R25" s="299"/>
      <c r="S25" s="299"/>
      <c r="T25" s="299"/>
      <c r="U25" s="299"/>
      <c r="V25" s="299"/>
      <c r="W25" s="299"/>
      <c r="X25" s="299"/>
      <c r="Y25" s="299"/>
      <c r="Z25" s="299"/>
      <c r="AA25" s="299"/>
      <c r="AB25" s="299"/>
      <c r="AC25" s="300"/>
      <c r="AD25" s="302" t="n">
        <f aca="false">IF(SUM(L25:AC25)=0,0,SUM(L25:AC25)/'Conformación JD'!$X$8)</f>
        <v>0</v>
      </c>
      <c r="AE25" s="301" t="n">
        <f aca="false">SUM(L25:AC25)</f>
        <v>0</v>
      </c>
      <c r="AF25" s="301" t="n">
        <f aca="false">+AC25+AA25+Y25+W25+U25+S25+Q25+O25+M25</f>
        <v>0</v>
      </c>
      <c r="AG25" s="357" t="n">
        <f aca="false">IF(AE25=0,0,AF25/AE25)</f>
        <v>0</v>
      </c>
      <c r="AH25" s="358"/>
    </row>
    <row r="26" customFormat="false" ht="15.75" hidden="false" customHeight="true" outlineLevel="0" collapsed="false">
      <c r="A26" s="353"/>
      <c r="B26" s="353"/>
      <c r="C26" s="353"/>
      <c r="D26" s="353"/>
      <c r="E26" s="299" t="n">
        <v>7</v>
      </c>
      <c r="F26" s="354"/>
      <c r="G26" s="355"/>
      <c r="H26" s="355"/>
      <c r="I26" s="299"/>
      <c r="J26" s="300" t="n">
        <f aca="false">IF(H26&lt;&gt;"OTROS",1,0)*IF(I26=1,1,0)</f>
        <v>0</v>
      </c>
      <c r="K26" s="356"/>
      <c r="L26" s="299"/>
      <c r="M26" s="299"/>
      <c r="N26" s="299"/>
      <c r="O26" s="299"/>
      <c r="P26" s="299"/>
      <c r="Q26" s="299"/>
      <c r="R26" s="299"/>
      <c r="S26" s="299"/>
      <c r="T26" s="299"/>
      <c r="U26" s="299"/>
      <c r="V26" s="299"/>
      <c r="W26" s="299"/>
      <c r="X26" s="299"/>
      <c r="Y26" s="299"/>
      <c r="Z26" s="299"/>
      <c r="AA26" s="299"/>
      <c r="AB26" s="299"/>
      <c r="AC26" s="300"/>
      <c r="AD26" s="302" t="n">
        <f aca="false">IF(SUM(L26:AC26)=0,0,SUM(L26:AC26)/'Conformación JD'!$X$8)</f>
        <v>0</v>
      </c>
      <c r="AE26" s="301" t="n">
        <f aca="false">SUM(L26:AC26)</f>
        <v>0</v>
      </c>
      <c r="AF26" s="301" t="n">
        <f aca="false">+AC26+AA26+Y26+W26+U26+S26+Q26+O26+M26</f>
        <v>0</v>
      </c>
      <c r="AG26" s="357" t="n">
        <f aca="false">IF(AE26=0,0,AF26/AE26)</f>
        <v>0</v>
      </c>
      <c r="AH26" s="358"/>
    </row>
    <row r="27" customFormat="false" ht="15.75" hidden="false" customHeight="true" outlineLevel="0" collapsed="false">
      <c r="A27" s="353"/>
      <c r="B27" s="353"/>
      <c r="C27" s="353"/>
      <c r="D27" s="353"/>
      <c r="E27" s="299" t="n">
        <v>8</v>
      </c>
      <c r="F27" s="354"/>
      <c r="G27" s="355"/>
      <c r="H27" s="355"/>
      <c r="I27" s="299"/>
      <c r="J27" s="300" t="n">
        <f aca="false">IF(H27&lt;&gt;"OTROS",1,0)*IF(I27=1,1,0)</f>
        <v>0</v>
      </c>
      <c r="K27" s="356"/>
      <c r="L27" s="299"/>
      <c r="M27" s="299"/>
      <c r="N27" s="299"/>
      <c r="O27" s="299"/>
      <c r="P27" s="299"/>
      <c r="Q27" s="299"/>
      <c r="R27" s="299"/>
      <c r="S27" s="299"/>
      <c r="T27" s="299"/>
      <c r="U27" s="299"/>
      <c r="V27" s="299"/>
      <c r="W27" s="299"/>
      <c r="X27" s="299"/>
      <c r="Y27" s="299"/>
      <c r="Z27" s="299"/>
      <c r="AA27" s="299"/>
      <c r="AB27" s="299"/>
      <c r="AC27" s="300"/>
      <c r="AD27" s="302" t="n">
        <f aca="false">IF(SUM(L27:AC27)=0,0,SUM(L27:AC27)/'Conformación JD'!$X$8)</f>
        <v>0</v>
      </c>
      <c r="AE27" s="301" t="n">
        <f aca="false">SUM(L27:AC27)</f>
        <v>0</v>
      </c>
      <c r="AF27" s="301" t="n">
        <f aca="false">+AC27+AA27+Y27+W27+U27+S27+Q27+O27+M27</f>
        <v>0</v>
      </c>
      <c r="AG27" s="357" t="n">
        <f aca="false">IF(AE27=0,0,AF27/AE27)</f>
        <v>0</v>
      </c>
      <c r="AH27" s="358"/>
    </row>
    <row r="28" customFormat="false" ht="15.75" hidden="false" customHeight="true" outlineLevel="0" collapsed="false">
      <c r="A28" s="353"/>
      <c r="B28" s="353"/>
      <c r="C28" s="353"/>
      <c r="D28" s="353"/>
      <c r="E28" s="299" t="n">
        <v>9</v>
      </c>
      <c r="F28" s="354"/>
      <c r="G28" s="355"/>
      <c r="H28" s="355"/>
      <c r="I28" s="299"/>
      <c r="J28" s="300" t="n">
        <f aca="false">IF(H28&lt;&gt;"OTROS",1,0)*IF(I28=1,1,0)</f>
        <v>0</v>
      </c>
      <c r="K28" s="356"/>
      <c r="L28" s="299"/>
      <c r="M28" s="299"/>
      <c r="N28" s="299"/>
      <c r="O28" s="299"/>
      <c r="P28" s="299"/>
      <c r="Q28" s="299"/>
      <c r="R28" s="299"/>
      <c r="S28" s="299"/>
      <c r="T28" s="299"/>
      <c r="U28" s="299"/>
      <c r="V28" s="299"/>
      <c r="W28" s="299"/>
      <c r="X28" s="299"/>
      <c r="Y28" s="299"/>
      <c r="Z28" s="299"/>
      <c r="AA28" s="299"/>
      <c r="AB28" s="299"/>
      <c r="AC28" s="300"/>
      <c r="AD28" s="302" t="n">
        <f aca="false">IF(SUM(L28:AC28)=0,0,SUM(L28:AC28)/'Conformación JD'!$X$8)</f>
        <v>0</v>
      </c>
      <c r="AE28" s="301" t="n">
        <f aca="false">SUM(L28:AC28)</f>
        <v>0</v>
      </c>
      <c r="AF28" s="301" t="n">
        <f aca="false">+AC28+AA28+Y28+W28+U28+S28+Q28+O28+M28</f>
        <v>0</v>
      </c>
      <c r="AG28" s="357" t="n">
        <f aca="false">IF(AE28=0,0,AF28/AE28)</f>
        <v>0</v>
      </c>
      <c r="AH28" s="358"/>
    </row>
    <row r="29" customFormat="false" ht="15.75" hidden="false" customHeight="true" outlineLevel="0" collapsed="false">
      <c r="A29" s="353"/>
      <c r="B29" s="353"/>
      <c r="C29" s="353"/>
      <c r="D29" s="353"/>
      <c r="E29" s="360" t="n">
        <v>10</v>
      </c>
      <c r="F29" s="361"/>
      <c r="G29" s="362"/>
      <c r="H29" s="362"/>
      <c r="I29" s="360"/>
      <c r="J29" s="300" t="n">
        <f aca="false">IF(H29&lt;&gt;"OTROS",1,0)*IF(I29=1,1,0)</f>
        <v>0</v>
      </c>
      <c r="K29" s="356"/>
      <c r="L29" s="360"/>
      <c r="M29" s="360"/>
      <c r="N29" s="360"/>
      <c r="O29" s="360"/>
      <c r="P29" s="360"/>
      <c r="Q29" s="360"/>
      <c r="R29" s="360"/>
      <c r="S29" s="360"/>
      <c r="T29" s="360"/>
      <c r="U29" s="360"/>
      <c r="V29" s="360"/>
      <c r="W29" s="360"/>
      <c r="X29" s="360"/>
      <c r="Y29" s="360"/>
      <c r="Z29" s="360"/>
      <c r="AA29" s="360"/>
      <c r="AB29" s="360"/>
      <c r="AC29" s="363"/>
      <c r="AD29" s="302" t="n">
        <f aca="false">IF(SUM(L29:AC29)=0,0,SUM(L29:AC29)/'Conformación JD'!$X$8)</f>
        <v>0</v>
      </c>
      <c r="AE29" s="301" t="n">
        <f aca="false">SUM(L29:AC29)</f>
        <v>0</v>
      </c>
      <c r="AF29" s="301" t="n">
        <f aca="false">+AC29+AA29+Y29+W29+U29+S29+Q29+O29+M29</f>
        <v>0</v>
      </c>
      <c r="AG29" s="357" t="n">
        <f aca="false">IF(AE29=0,0,AF29/AE29)</f>
        <v>0</v>
      </c>
      <c r="AH29" s="358"/>
    </row>
    <row r="30" customFormat="false" ht="15.75" hidden="false" customHeight="true" outlineLevel="0" collapsed="false">
      <c r="A30" s="305"/>
      <c r="B30" s="305"/>
      <c r="C30" s="305"/>
      <c r="D30" s="305"/>
      <c r="E30" s="364" t="s">
        <v>366</v>
      </c>
      <c r="F30" s="364"/>
      <c r="G30" s="364"/>
      <c r="H30" s="364"/>
      <c r="I30" s="365" t="n">
        <f aca="false">IF((COUNTIF(G20:G29,"&lt;&gt;"))&lt;&gt;0,SUM(I20:I29)/COUNTIF(G20:G29,"&lt;&gt;"),0)</f>
        <v>0</v>
      </c>
      <c r="J30" s="366" t="n">
        <f aca="false">IF((COUNTIF(H20:H29,"&lt;&gt;"))&lt;&gt;0,SUM(J20:J29)/COUNTIF(H20:H29,"&lt;&gt;"),0)</f>
        <v>0</v>
      </c>
      <c r="K30" s="310" t="n">
        <f aca="false">IF((COUNTIF(H20:H29,"&lt;&gt;"))&lt;&gt;0,SUM(K20:K29)/COUNTIF(H20:H29,"&lt;&gt;"),0)</f>
        <v>0</v>
      </c>
      <c r="L30" s="307" t="n">
        <f aca="false">SUM(L20:L29)</f>
        <v>0</v>
      </c>
      <c r="M30" s="307" t="n">
        <f aca="false">SUM(M20:M29)</f>
        <v>0</v>
      </c>
      <c r="N30" s="307" t="n">
        <f aca="false">SUM(N20:N29)</f>
        <v>0</v>
      </c>
      <c r="O30" s="307" t="n">
        <f aca="false">SUM(O20:O29)</f>
        <v>0</v>
      </c>
      <c r="P30" s="307" t="n">
        <f aca="false">SUM(P20:P29)</f>
        <v>0</v>
      </c>
      <c r="Q30" s="307" t="n">
        <f aca="false">SUM(Q20:Q29)</f>
        <v>0</v>
      </c>
      <c r="R30" s="307" t="n">
        <f aca="false">SUM(R20:R29)</f>
        <v>0</v>
      </c>
      <c r="S30" s="307" t="n">
        <f aca="false">SUM(S20:S29)</f>
        <v>0</v>
      </c>
      <c r="T30" s="307" t="n">
        <f aca="false">SUM(T20:T29)</f>
        <v>0</v>
      </c>
      <c r="U30" s="307" t="n">
        <f aca="false">SUM(U20:U29)</f>
        <v>0</v>
      </c>
      <c r="V30" s="307" t="n">
        <f aca="false">SUM(V20:V29)</f>
        <v>0</v>
      </c>
      <c r="W30" s="307" t="n">
        <f aca="false">SUM(W20:W29)</f>
        <v>0</v>
      </c>
      <c r="X30" s="307" t="n">
        <f aca="false">SUM(X20:X29)</f>
        <v>0</v>
      </c>
      <c r="Y30" s="307" t="n">
        <f aca="false">SUM(Y20:Y29)</f>
        <v>0</v>
      </c>
      <c r="Z30" s="307" t="n">
        <f aca="false">SUM(Z20:Z29)</f>
        <v>0</v>
      </c>
      <c r="AA30" s="307" t="n">
        <f aca="false">SUM(AA20:AA29)</f>
        <v>0</v>
      </c>
      <c r="AB30" s="307" t="n">
        <f aca="false">SUM(AB20:AB29)</f>
        <v>0</v>
      </c>
      <c r="AC30" s="307" t="n">
        <f aca="false">SUM(AC20:AC29)</f>
        <v>0</v>
      </c>
      <c r="AD30" s="310" t="n">
        <f aca="false">IF(SUM(AD20:AD29)=0,0,SUM(AD20:AD29)/COUNTIF(AD20:AD29,"&lt;&gt;0"))</f>
        <v>0</v>
      </c>
      <c r="AE30" s="365" t="n">
        <f aca="false">IF(SUM(AE20:AE29)=0,0,SUM(AE20:AE29)/COUNTIF(AE20:AE29,"&lt;&gt;0"))</f>
        <v>0</v>
      </c>
      <c r="AF30" s="365" t="n">
        <f aca="false">IF(SUM(AF20:AF29)=0,0,SUM(AF20:AF29)/COUNTIF(AF20:AF29,"&lt;&gt;0"))</f>
        <v>0</v>
      </c>
      <c r="AG30" s="310" t="n">
        <f aca="false">IF(SUM(AG20:AG29)=0,0,SUM(AG20:AG29)/COUNTIF(AD20:AD29,"&lt;&gt;0"))</f>
        <v>0</v>
      </c>
      <c r="AH30" s="367"/>
    </row>
    <row r="31" customFormat="false" ht="15.75" hidden="false" customHeight="true" outlineLevel="0" collapsed="false">
      <c r="A31" s="287" t="s">
        <v>315</v>
      </c>
      <c r="B31" s="287" t="s">
        <v>316</v>
      </c>
      <c r="C31" s="287" t="s">
        <v>317</v>
      </c>
      <c r="D31" s="288" t="s">
        <v>318</v>
      </c>
      <c r="E31" s="344" t="s">
        <v>349</v>
      </c>
      <c r="F31" s="345" t="s">
        <v>350</v>
      </c>
      <c r="G31" s="346" t="s">
        <v>351</v>
      </c>
      <c r="H31" s="347" t="s">
        <v>352</v>
      </c>
      <c r="I31" s="348" t="s">
        <v>353</v>
      </c>
      <c r="J31" s="348" t="s">
        <v>354</v>
      </c>
      <c r="K31" s="347" t="s">
        <v>355</v>
      </c>
      <c r="L31" s="346" t="s">
        <v>320</v>
      </c>
      <c r="M31" s="346"/>
      <c r="N31" s="346"/>
      <c r="O31" s="346"/>
      <c r="P31" s="346"/>
      <c r="Q31" s="346"/>
      <c r="R31" s="346"/>
      <c r="S31" s="346"/>
      <c r="T31" s="346"/>
      <c r="U31" s="346"/>
      <c r="V31" s="346"/>
      <c r="W31" s="346"/>
      <c r="X31" s="346"/>
      <c r="Y31" s="346"/>
      <c r="Z31" s="346"/>
      <c r="AA31" s="346"/>
      <c r="AB31" s="346"/>
      <c r="AC31" s="346"/>
      <c r="AD31" s="349"/>
      <c r="AE31" s="349"/>
      <c r="AF31" s="349"/>
      <c r="AG31" s="349"/>
      <c r="AH31" s="184"/>
    </row>
    <row r="32" customFormat="false" ht="15.75" hidden="false" customHeight="true" outlineLevel="0" collapsed="false">
      <c r="A32" s="287"/>
      <c r="B32" s="287"/>
      <c r="C32" s="287"/>
      <c r="D32" s="288"/>
      <c r="E32" s="344"/>
      <c r="F32" s="345"/>
      <c r="G32" s="346"/>
      <c r="H32" s="347"/>
      <c r="I32" s="348"/>
      <c r="J32" s="348"/>
      <c r="K32" s="347"/>
      <c r="L32" s="293" t="s">
        <v>321</v>
      </c>
      <c r="M32" s="293"/>
      <c r="N32" s="293" t="s">
        <v>356</v>
      </c>
      <c r="O32" s="293"/>
      <c r="P32" s="293" t="s">
        <v>357</v>
      </c>
      <c r="Q32" s="293"/>
      <c r="R32" s="293" t="s">
        <v>324</v>
      </c>
      <c r="S32" s="293"/>
      <c r="T32" s="293" t="s">
        <v>325</v>
      </c>
      <c r="U32" s="293"/>
      <c r="V32" s="293" t="s">
        <v>326</v>
      </c>
      <c r="W32" s="293"/>
      <c r="X32" s="293" t="s">
        <v>327</v>
      </c>
      <c r="Y32" s="293"/>
      <c r="Z32" s="293" t="s">
        <v>328</v>
      </c>
      <c r="AA32" s="293"/>
      <c r="AB32" s="293" t="s">
        <v>329</v>
      </c>
      <c r="AC32" s="293"/>
      <c r="AD32" s="350" t="s">
        <v>358</v>
      </c>
      <c r="AE32" s="350" t="s">
        <v>359</v>
      </c>
      <c r="AF32" s="350" t="s">
        <v>360</v>
      </c>
      <c r="AG32" s="350" t="s">
        <v>361</v>
      </c>
      <c r="AH32" s="351" t="s">
        <v>362</v>
      </c>
    </row>
    <row r="33" customFormat="false" ht="42" hidden="false" customHeight="true" outlineLevel="0" collapsed="false">
      <c r="A33" s="287"/>
      <c r="B33" s="287"/>
      <c r="C33" s="287"/>
      <c r="D33" s="288"/>
      <c r="E33" s="344"/>
      <c r="F33" s="345"/>
      <c r="G33" s="346"/>
      <c r="H33" s="347"/>
      <c r="I33" s="348"/>
      <c r="J33" s="348"/>
      <c r="K33" s="347"/>
      <c r="L33" s="295" t="s">
        <v>68</v>
      </c>
      <c r="M33" s="295" t="s">
        <v>298</v>
      </c>
      <c r="N33" s="295" t="s">
        <v>68</v>
      </c>
      <c r="O33" s="295" t="s">
        <v>298</v>
      </c>
      <c r="P33" s="295" t="s">
        <v>68</v>
      </c>
      <c r="Q33" s="295" t="s">
        <v>298</v>
      </c>
      <c r="R33" s="295" t="s">
        <v>68</v>
      </c>
      <c r="S33" s="295" t="s">
        <v>298</v>
      </c>
      <c r="T33" s="295" t="s">
        <v>68</v>
      </c>
      <c r="U33" s="295" t="s">
        <v>298</v>
      </c>
      <c r="V33" s="295" t="s">
        <v>68</v>
      </c>
      <c r="W33" s="295" t="s">
        <v>298</v>
      </c>
      <c r="X33" s="295" t="s">
        <v>68</v>
      </c>
      <c r="Y33" s="295" t="s">
        <v>298</v>
      </c>
      <c r="Z33" s="295" t="s">
        <v>68</v>
      </c>
      <c r="AA33" s="295" t="s">
        <v>298</v>
      </c>
      <c r="AB33" s="295" t="s">
        <v>68</v>
      </c>
      <c r="AC33" s="296" t="s">
        <v>298</v>
      </c>
      <c r="AD33" s="350"/>
      <c r="AE33" s="350"/>
      <c r="AF33" s="350"/>
      <c r="AG33" s="350"/>
      <c r="AH33" s="351"/>
    </row>
    <row r="34" customFormat="false" ht="15.75" hidden="false" customHeight="true" outlineLevel="0" collapsed="false">
      <c r="A34" s="353" t="n">
        <f aca="false">'Listado CAPS'!A31</f>
        <v>0</v>
      </c>
      <c r="B34" s="353" t="n">
        <f aca="false">'Listado CAPS'!B31</f>
        <v>0</v>
      </c>
      <c r="C34" s="353" t="n">
        <f aca="false">'Listado CAPS'!C31</f>
        <v>0</v>
      </c>
      <c r="D34" s="353" t="str">
        <f aca="false">'Listado CAPS'!D5</f>
        <v>C</v>
      </c>
      <c r="E34" s="299" t="n">
        <v>1</v>
      </c>
      <c r="F34" s="354"/>
      <c r="G34" s="304"/>
      <c r="H34" s="355"/>
      <c r="I34" s="299"/>
      <c r="J34" s="300" t="n">
        <f aca="false">IF(H34&lt;&gt;"OTROS",1,0)*IF(I34=1,1,0)</f>
        <v>0</v>
      </c>
      <c r="K34" s="356"/>
      <c r="L34" s="299"/>
      <c r="M34" s="299"/>
      <c r="N34" s="299"/>
      <c r="O34" s="299"/>
      <c r="P34" s="299"/>
      <c r="Q34" s="299"/>
      <c r="R34" s="299"/>
      <c r="S34" s="299"/>
      <c r="T34" s="299"/>
      <c r="U34" s="299"/>
      <c r="V34" s="299"/>
      <c r="W34" s="299"/>
      <c r="X34" s="299"/>
      <c r="Y34" s="299"/>
      <c r="Z34" s="299"/>
      <c r="AA34" s="299"/>
      <c r="AB34" s="299"/>
      <c r="AC34" s="300"/>
      <c r="AD34" s="302" t="n">
        <f aca="false">IF(SUM(L34:AC34)=0,0,SUM(L34:AC34)/'Conformación JD'!$X$9)</f>
        <v>0</v>
      </c>
      <c r="AE34" s="301" t="n">
        <f aca="false">SUM(L34:AC34)</f>
        <v>0</v>
      </c>
      <c r="AF34" s="301" t="n">
        <f aca="false">+AC34+AA34+Y34+W34+U34+S34+Q34+O34+M34</f>
        <v>0</v>
      </c>
      <c r="AG34" s="357" t="n">
        <f aca="false">IF(AE34=0,0,AF34/AE34)</f>
        <v>0</v>
      </c>
      <c r="AH34" s="299"/>
    </row>
    <row r="35" customFormat="false" ht="15.75" hidden="false" customHeight="true" outlineLevel="0" collapsed="false">
      <c r="A35" s="353"/>
      <c r="B35" s="353"/>
      <c r="C35" s="353"/>
      <c r="D35" s="353"/>
      <c r="E35" s="299" t="n">
        <v>2</v>
      </c>
      <c r="F35" s="354"/>
      <c r="G35" s="304"/>
      <c r="H35" s="355"/>
      <c r="I35" s="299"/>
      <c r="J35" s="300" t="n">
        <f aca="false">IF(H35&lt;&gt;"OTROS",1,0)*IF(I35=1,1,0)</f>
        <v>0</v>
      </c>
      <c r="K35" s="356"/>
      <c r="L35" s="299"/>
      <c r="M35" s="299"/>
      <c r="N35" s="299"/>
      <c r="O35" s="299"/>
      <c r="P35" s="299"/>
      <c r="Q35" s="299"/>
      <c r="R35" s="299"/>
      <c r="S35" s="299"/>
      <c r="T35" s="299"/>
      <c r="U35" s="299"/>
      <c r="V35" s="299"/>
      <c r="W35" s="299"/>
      <c r="X35" s="299"/>
      <c r="Y35" s="299"/>
      <c r="Z35" s="299"/>
      <c r="AA35" s="299"/>
      <c r="AB35" s="299"/>
      <c r="AC35" s="300"/>
      <c r="AD35" s="302" t="n">
        <f aca="false">IF(SUM(L35:AC35)=0,0,SUM(L35:AC35)/'Conformación JD'!$X$9)</f>
        <v>0</v>
      </c>
      <c r="AE35" s="301" t="n">
        <f aca="false">SUM(L35:AC35)</f>
        <v>0</v>
      </c>
      <c r="AF35" s="301" t="n">
        <f aca="false">+AC35+AA35+Y35+W35+U35+S35+Q35+O35+M35</f>
        <v>0</v>
      </c>
      <c r="AG35" s="357" t="n">
        <f aca="false">IF(AE35=0,0,AF35/AE35)</f>
        <v>0</v>
      </c>
      <c r="AH35" s="358"/>
    </row>
    <row r="36" customFormat="false" ht="15.75" hidden="false" customHeight="true" outlineLevel="0" collapsed="false">
      <c r="A36" s="353"/>
      <c r="B36" s="353"/>
      <c r="C36" s="353"/>
      <c r="D36" s="353"/>
      <c r="E36" s="299" t="n">
        <v>3</v>
      </c>
      <c r="F36" s="354"/>
      <c r="G36" s="304"/>
      <c r="H36" s="355"/>
      <c r="I36" s="299"/>
      <c r="J36" s="300" t="n">
        <f aca="false">IF(H36&lt;&gt;"OTROS",1,0)*IF(I36=1,1,0)</f>
        <v>0</v>
      </c>
      <c r="K36" s="356"/>
      <c r="L36" s="299"/>
      <c r="M36" s="299"/>
      <c r="N36" s="299"/>
      <c r="O36" s="299"/>
      <c r="P36" s="299"/>
      <c r="Q36" s="299"/>
      <c r="R36" s="299"/>
      <c r="S36" s="299"/>
      <c r="T36" s="299"/>
      <c r="U36" s="299"/>
      <c r="V36" s="299"/>
      <c r="W36" s="299"/>
      <c r="X36" s="299"/>
      <c r="Y36" s="299"/>
      <c r="Z36" s="299"/>
      <c r="AA36" s="299"/>
      <c r="AB36" s="299"/>
      <c r="AC36" s="300"/>
      <c r="AD36" s="302" t="n">
        <f aca="false">IF(SUM(L36:AC36)=0,0,SUM(L36:AC36)/'Conformación JD'!$X$9)</f>
        <v>0</v>
      </c>
      <c r="AE36" s="301" t="n">
        <f aca="false">SUM(L36:AC36)</f>
        <v>0</v>
      </c>
      <c r="AF36" s="301" t="n">
        <f aca="false">+AC36+AA36+Y36+W36+U36+S36+Q36+O36+M36</f>
        <v>0</v>
      </c>
      <c r="AG36" s="357" t="n">
        <f aca="false">IF(AE36=0,0,AF36/AE36)</f>
        <v>0</v>
      </c>
      <c r="AH36" s="359"/>
    </row>
    <row r="37" customFormat="false" ht="15.75" hidden="false" customHeight="true" outlineLevel="0" collapsed="false">
      <c r="A37" s="353"/>
      <c r="B37" s="353"/>
      <c r="C37" s="353"/>
      <c r="D37" s="353"/>
      <c r="E37" s="299" t="n">
        <v>4</v>
      </c>
      <c r="F37" s="354"/>
      <c r="G37" s="355"/>
      <c r="H37" s="355"/>
      <c r="I37" s="299"/>
      <c r="J37" s="300" t="n">
        <f aca="false">IF(H37&lt;&gt;"OTROS",1,0)*IF(I37=1,1,0)</f>
        <v>0</v>
      </c>
      <c r="K37" s="356"/>
      <c r="L37" s="299"/>
      <c r="M37" s="299"/>
      <c r="N37" s="299"/>
      <c r="O37" s="299"/>
      <c r="P37" s="299"/>
      <c r="Q37" s="299"/>
      <c r="R37" s="299"/>
      <c r="S37" s="299"/>
      <c r="T37" s="299"/>
      <c r="U37" s="299"/>
      <c r="V37" s="299"/>
      <c r="W37" s="299"/>
      <c r="X37" s="299"/>
      <c r="Y37" s="299"/>
      <c r="Z37" s="299"/>
      <c r="AA37" s="299"/>
      <c r="AB37" s="299"/>
      <c r="AC37" s="300"/>
      <c r="AD37" s="302" t="n">
        <f aca="false">IF(SUM(L37:AC37)=0,0,SUM(L37:AC37)/'Conformación JD'!$X$9)</f>
        <v>0</v>
      </c>
      <c r="AE37" s="301" t="n">
        <f aca="false">SUM(L37:AC37)</f>
        <v>0</v>
      </c>
      <c r="AF37" s="301" t="n">
        <f aca="false">+AC37+AA37+Y37+W37+U37+S37+Q37+O37+M37</f>
        <v>0</v>
      </c>
      <c r="AG37" s="357" t="n">
        <f aca="false">IF(AE37=0,0,AF37/AE37)</f>
        <v>0</v>
      </c>
      <c r="AH37" s="358"/>
    </row>
    <row r="38" customFormat="false" ht="15.75" hidden="false" customHeight="true" outlineLevel="0" collapsed="false">
      <c r="A38" s="353"/>
      <c r="B38" s="353"/>
      <c r="C38" s="353"/>
      <c r="D38" s="353"/>
      <c r="E38" s="299" t="n">
        <v>5</v>
      </c>
      <c r="F38" s="354"/>
      <c r="G38" s="355"/>
      <c r="H38" s="355"/>
      <c r="I38" s="299"/>
      <c r="J38" s="300" t="n">
        <f aca="false">IF(H38&lt;&gt;"OTROS",1,0)*IF(I38=1,1,0)</f>
        <v>0</v>
      </c>
      <c r="K38" s="356"/>
      <c r="L38" s="299"/>
      <c r="M38" s="299"/>
      <c r="N38" s="299"/>
      <c r="O38" s="299"/>
      <c r="P38" s="299"/>
      <c r="Q38" s="299"/>
      <c r="R38" s="299"/>
      <c r="S38" s="299"/>
      <c r="T38" s="299"/>
      <c r="U38" s="299"/>
      <c r="V38" s="299"/>
      <c r="W38" s="299"/>
      <c r="X38" s="299"/>
      <c r="Y38" s="299"/>
      <c r="Z38" s="299"/>
      <c r="AA38" s="299"/>
      <c r="AB38" s="299"/>
      <c r="AC38" s="300"/>
      <c r="AD38" s="302" t="n">
        <f aca="false">IF(SUM(L38:AC38)=0,0,SUM(L38:AC38)/'Conformación JD'!$X$9)</f>
        <v>0</v>
      </c>
      <c r="AE38" s="301" t="n">
        <f aca="false">SUM(L38:AC38)</f>
        <v>0</v>
      </c>
      <c r="AF38" s="301" t="n">
        <f aca="false">+AC38+AA38+Y38+W38+U38+S38+Q38+O38+M38</f>
        <v>0</v>
      </c>
      <c r="AG38" s="357" t="n">
        <f aca="false">IF(AE38=0,0,AF38/AE38)</f>
        <v>0</v>
      </c>
      <c r="AH38" s="358"/>
    </row>
    <row r="39" customFormat="false" ht="15.75" hidden="false" customHeight="true" outlineLevel="0" collapsed="false">
      <c r="A39" s="353"/>
      <c r="B39" s="353"/>
      <c r="C39" s="353"/>
      <c r="D39" s="353"/>
      <c r="E39" s="299" t="n">
        <v>6</v>
      </c>
      <c r="F39" s="354"/>
      <c r="G39" s="355"/>
      <c r="H39" s="355"/>
      <c r="I39" s="299"/>
      <c r="J39" s="300" t="n">
        <f aca="false">IF(H39&lt;&gt;"OTROS",1,0)*IF(I39=1,1,0)</f>
        <v>0</v>
      </c>
      <c r="K39" s="356"/>
      <c r="L39" s="299"/>
      <c r="M39" s="299"/>
      <c r="N39" s="299"/>
      <c r="O39" s="299"/>
      <c r="P39" s="299"/>
      <c r="Q39" s="299"/>
      <c r="R39" s="299"/>
      <c r="S39" s="299"/>
      <c r="T39" s="299"/>
      <c r="U39" s="299"/>
      <c r="V39" s="299"/>
      <c r="W39" s="299"/>
      <c r="X39" s="299"/>
      <c r="Y39" s="299"/>
      <c r="Z39" s="299"/>
      <c r="AA39" s="299"/>
      <c r="AB39" s="299"/>
      <c r="AC39" s="300"/>
      <c r="AD39" s="302" t="n">
        <f aca="false">IF(SUM(L39:AC39)=0,0,SUM(L39:AC39)/'Conformación JD'!$X$9)</f>
        <v>0</v>
      </c>
      <c r="AE39" s="301" t="n">
        <f aca="false">SUM(L39:AC39)</f>
        <v>0</v>
      </c>
      <c r="AF39" s="301" t="n">
        <f aca="false">+AC39+AA39+Y39+W39+U39+S39+Q39+O39+M39</f>
        <v>0</v>
      </c>
      <c r="AG39" s="357" t="n">
        <f aca="false">IF(AE39=0,0,AF39/AE39)</f>
        <v>0</v>
      </c>
      <c r="AH39" s="358"/>
    </row>
    <row r="40" customFormat="false" ht="15.75" hidden="false" customHeight="true" outlineLevel="0" collapsed="false">
      <c r="A40" s="353"/>
      <c r="B40" s="353"/>
      <c r="C40" s="353"/>
      <c r="D40" s="353"/>
      <c r="E40" s="299" t="n">
        <v>7</v>
      </c>
      <c r="F40" s="354"/>
      <c r="G40" s="355"/>
      <c r="H40" s="355"/>
      <c r="I40" s="299"/>
      <c r="J40" s="300" t="n">
        <f aca="false">IF(H40&lt;&gt;"OTROS",1,0)*IF(I40=1,1,0)</f>
        <v>0</v>
      </c>
      <c r="K40" s="356"/>
      <c r="L40" s="299"/>
      <c r="M40" s="299"/>
      <c r="N40" s="299"/>
      <c r="O40" s="299"/>
      <c r="P40" s="299"/>
      <c r="Q40" s="299"/>
      <c r="R40" s="299"/>
      <c r="S40" s="299"/>
      <c r="T40" s="299"/>
      <c r="U40" s="299"/>
      <c r="V40" s="299"/>
      <c r="W40" s="299"/>
      <c r="X40" s="299"/>
      <c r="Y40" s="299"/>
      <c r="Z40" s="299"/>
      <c r="AA40" s="299"/>
      <c r="AB40" s="299"/>
      <c r="AC40" s="300"/>
      <c r="AD40" s="302" t="n">
        <f aca="false">IF(SUM(L40:AC40)=0,0,SUM(L40:AC40)/'Conformación JD'!$X$9)</f>
        <v>0</v>
      </c>
      <c r="AE40" s="301" t="n">
        <f aca="false">SUM(L40:AC40)</f>
        <v>0</v>
      </c>
      <c r="AF40" s="301" t="n">
        <f aca="false">+AC40+AA40+Y40+W40+U40+S40+Q40+O40+M40</f>
        <v>0</v>
      </c>
      <c r="AG40" s="357" t="n">
        <f aca="false">IF(AE40=0,0,AF40/AE40)</f>
        <v>0</v>
      </c>
      <c r="AH40" s="358"/>
    </row>
    <row r="41" customFormat="false" ht="15.75" hidden="false" customHeight="true" outlineLevel="0" collapsed="false">
      <c r="A41" s="353"/>
      <c r="B41" s="353"/>
      <c r="C41" s="353"/>
      <c r="D41" s="353"/>
      <c r="E41" s="299" t="n">
        <v>8</v>
      </c>
      <c r="F41" s="354"/>
      <c r="G41" s="355"/>
      <c r="H41" s="355"/>
      <c r="I41" s="299"/>
      <c r="J41" s="300" t="n">
        <f aca="false">IF(H41&lt;&gt;"OTROS",1,0)*IF(I41=1,1,0)</f>
        <v>0</v>
      </c>
      <c r="K41" s="356"/>
      <c r="L41" s="299"/>
      <c r="M41" s="299"/>
      <c r="N41" s="299"/>
      <c r="O41" s="299"/>
      <c r="P41" s="299"/>
      <c r="Q41" s="299"/>
      <c r="R41" s="299"/>
      <c r="S41" s="299"/>
      <c r="T41" s="299"/>
      <c r="U41" s="299"/>
      <c r="V41" s="299"/>
      <c r="W41" s="299"/>
      <c r="X41" s="299"/>
      <c r="Y41" s="299"/>
      <c r="Z41" s="299"/>
      <c r="AA41" s="299"/>
      <c r="AB41" s="299"/>
      <c r="AC41" s="300"/>
      <c r="AD41" s="302" t="n">
        <f aca="false">IF(SUM(L41:AC41)=0,0,SUM(L41:AC41)/'Conformación JD'!$X$9)</f>
        <v>0</v>
      </c>
      <c r="AE41" s="301" t="n">
        <f aca="false">SUM(L41:AC41)</f>
        <v>0</v>
      </c>
      <c r="AF41" s="301" t="n">
        <f aca="false">+AC41+AA41+Y41+W41+U41+S41+Q41+O41+M41</f>
        <v>0</v>
      </c>
      <c r="AG41" s="357" t="n">
        <f aca="false">IF(AE41=0,0,AF41/AE41)</f>
        <v>0</v>
      </c>
      <c r="AH41" s="358"/>
    </row>
    <row r="42" customFormat="false" ht="15.75" hidden="false" customHeight="true" outlineLevel="0" collapsed="false">
      <c r="A42" s="353"/>
      <c r="B42" s="353"/>
      <c r="C42" s="353"/>
      <c r="D42" s="353"/>
      <c r="E42" s="299" t="n">
        <v>9</v>
      </c>
      <c r="F42" s="354"/>
      <c r="G42" s="355"/>
      <c r="H42" s="355"/>
      <c r="I42" s="299"/>
      <c r="J42" s="300" t="n">
        <f aca="false">IF(H42&lt;&gt;"OTROS",1,0)*IF(I42=1,1,0)</f>
        <v>0</v>
      </c>
      <c r="K42" s="356"/>
      <c r="L42" s="299"/>
      <c r="M42" s="299"/>
      <c r="N42" s="299"/>
      <c r="O42" s="299"/>
      <c r="P42" s="299"/>
      <c r="Q42" s="299"/>
      <c r="R42" s="299"/>
      <c r="S42" s="299"/>
      <c r="T42" s="299"/>
      <c r="U42" s="299"/>
      <c r="V42" s="299"/>
      <c r="W42" s="299"/>
      <c r="X42" s="299"/>
      <c r="Y42" s="299"/>
      <c r="Z42" s="299"/>
      <c r="AA42" s="299"/>
      <c r="AB42" s="299"/>
      <c r="AC42" s="300"/>
      <c r="AD42" s="302" t="n">
        <f aca="false">IF(SUM(L42:AC42)=0,0,SUM(L42:AC42)/'Conformación JD'!$X$9)</f>
        <v>0</v>
      </c>
      <c r="AE42" s="301" t="n">
        <f aca="false">SUM(L42:AC42)</f>
        <v>0</v>
      </c>
      <c r="AF42" s="301" t="n">
        <f aca="false">+AC42+AA42+Y42+W42+U42+S42+Q42+O42+M42</f>
        <v>0</v>
      </c>
      <c r="AG42" s="357" t="n">
        <f aca="false">IF(AE42=0,0,AF42/AE42)</f>
        <v>0</v>
      </c>
      <c r="AH42" s="358"/>
    </row>
    <row r="43" customFormat="false" ht="15.75" hidden="false" customHeight="true" outlineLevel="0" collapsed="false">
      <c r="A43" s="353"/>
      <c r="B43" s="353"/>
      <c r="C43" s="353"/>
      <c r="D43" s="353"/>
      <c r="E43" s="360" t="n">
        <v>10</v>
      </c>
      <c r="F43" s="361"/>
      <c r="G43" s="362"/>
      <c r="H43" s="362"/>
      <c r="I43" s="360"/>
      <c r="J43" s="300" t="n">
        <f aca="false">IF(H43&lt;&gt;"OTROS",1,0)*IF(I43=1,1,0)</f>
        <v>0</v>
      </c>
      <c r="K43" s="356"/>
      <c r="L43" s="360"/>
      <c r="M43" s="360"/>
      <c r="N43" s="360"/>
      <c r="O43" s="360"/>
      <c r="P43" s="360"/>
      <c r="Q43" s="360"/>
      <c r="R43" s="360"/>
      <c r="S43" s="360"/>
      <c r="T43" s="360"/>
      <c r="U43" s="360"/>
      <c r="V43" s="360"/>
      <c r="W43" s="360"/>
      <c r="X43" s="360"/>
      <c r="Y43" s="360"/>
      <c r="Z43" s="360"/>
      <c r="AA43" s="360"/>
      <c r="AB43" s="360"/>
      <c r="AC43" s="363"/>
      <c r="AD43" s="302" t="n">
        <f aca="false">IF(SUM(L43:AC43)=0,0,SUM(L43:AC43)/'Conformación JD'!$X$9)</f>
        <v>0</v>
      </c>
      <c r="AE43" s="301" t="n">
        <f aca="false">SUM(L43:AC43)</f>
        <v>0</v>
      </c>
      <c r="AF43" s="301" t="n">
        <f aca="false">+AC43+AA43+Y43+W43+U43+S43+Q43+O43+M43</f>
        <v>0</v>
      </c>
      <c r="AG43" s="357" t="n">
        <f aca="false">IF(AE43=0,0,AF43/AE43)</f>
        <v>0</v>
      </c>
      <c r="AH43" s="358"/>
    </row>
    <row r="44" customFormat="false" ht="15.75" hidden="false" customHeight="true" outlineLevel="0" collapsed="false">
      <c r="A44" s="305"/>
      <c r="B44" s="305"/>
      <c r="C44" s="305"/>
      <c r="D44" s="305"/>
      <c r="E44" s="364" t="s">
        <v>366</v>
      </c>
      <c r="F44" s="364"/>
      <c r="G44" s="364"/>
      <c r="H44" s="364"/>
      <c r="I44" s="365" t="n">
        <f aca="false">IF((COUNTIF(G34:G43,"&lt;&gt;"))&lt;&gt;0,SUM(I34:I43)/COUNTIF(G34:G43,"&lt;&gt;"),0)</f>
        <v>0</v>
      </c>
      <c r="J44" s="366" t="n">
        <f aca="false">IF((COUNTIF(H34:H43,"&lt;&gt;"))&lt;&gt;0,SUM(J34:J43)/COUNTIF(H34:H43,"&lt;&gt;"),0)</f>
        <v>0</v>
      </c>
      <c r="K44" s="310" t="n">
        <f aca="false">IF((COUNTIF(H34:H43,"&lt;&gt;"))&lt;&gt;0,SUM(K34:K43)/COUNTIF(H34:H43,"&lt;&gt;"),0)</f>
        <v>0</v>
      </c>
      <c r="L44" s="307" t="n">
        <f aca="false">SUM(L34:L43)</f>
        <v>0</v>
      </c>
      <c r="M44" s="307" t="n">
        <f aca="false">SUM(M34:M43)</f>
        <v>0</v>
      </c>
      <c r="N44" s="307" t="n">
        <f aca="false">SUM(N34:N43)</f>
        <v>0</v>
      </c>
      <c r="O44" s="307" t="n">
        <f aca="false">SUM(O34:O43)</f>
        <v>0</v>
      </c>
      <c r="P44" s="307" t="n">
        <f aca="false">SUM(P34:P43)</f>
        <v>0</v>
      </c>
      <c r="Q44" s="307" t="n">
        <f aca="false">SUM(Q34:Q43)</f>
        <v>0</v>
      </c>
      <c r="R44" s="307" t="n">
        <f aca="false">SUM(R34:R43)</f>
        <v>0</v>
      </c>
      <c r="S44" s="307" t="n">
        <f aca="false">SUM(S34:S43)</f>
        <v>0</v>
      </c>
      <c r="T44" s="307" t="n">
        <f aca="false">SUM(T34:T43)</f>
        <v>0</v>
      </c>
      <c r="U44" s="307" t="n">
        <f aca="false">SUM(U34:U43)</f>
        <v>0</v>
      </c>
      <c r="V44" s="307" t="n">
        <f aca="false">SUM(V34:V43)</f>
        <v>0</v>
      </c>
      <c r="W44" s="307" t="n">
        <f aca="false">SUM(W34:W43)</f>
        <v>0</v>
      </c>
      <c r="X44" s="307" t="n">
        <f aca="false">SUM(X34:X43)</f>
        <v>0</v>
      </c>
      <c r="Y44" s="307" t="n">
        <f aca="false">SUM(Y34:Y43)</f>
        <v>0</v>
      </c>
      <c r="Z44" s="307" t="n">
        <f aca="false">SUM(Z34:Z43)</f>
        <v>0</v>
      </c>
      <c r="AA44" s="307" t="n">
        <f aca="false">SUM(AA34:AA43)</f>
        <v>0</v>
      </c>
      <c r="AB44" s="307" t="n">
        <f aca="false">SUM(AB34:AB43)</f>
        <v>0</v>
      </c>
      <c r="AC44" s="307" t="n">
        <f aca="false">SUM(AC34:AC43)</f>
        <v>0</v>
      </c>
      <c r="AD44" s="310" t="n">
        <f aca="false">IF(SUM(AD34:AD43)=0,0,SUM(AD34:AD43)/COUNTIF(AD34:AD43,"&lt;&gt;0"))</f>
        <v>0</v>
      </c>
      <c r="AE44" s="365" t="n">
        <f aca="false">IF(SUM(AE34:AE43)=0,0,SUM(AE34:AE43)/COUNTIF(AE34:AE43,"&lt;&gt;0"))</f>
        <v>0</v>
      </c>
      <c r="AF44" s="365" t="n">
        <f aca="false">IF(SUM(AF34:AF43)=0,0,SUM(AF34:AF43)/COUNTIF(AF34:AF43,"&lt;&gt;0"))</f>
        <v>0</v>
      </c>
      <c r="AG44" s="310" t="n">
        <f aca="false">IF(SUM(AG34:AG43)=0,0,SUM(AG34:AG43)/COUNTIF(AD34:AD43,"&lt;&gt;0"))</f>
        <v>0</v>
      </c>
      <c r="AH44" s="367"/>
    </row>
    <row r="45" customFormat="false" ht="15.75" hidden="false" customHeight="true" outlineLevel="0" collapsed="false">
      <c r="A45" s="287" t="s">
        <v>315</v>
      </c>
      <c r="B45" s="287" t="s">
        <v>316</v>
      </c>
      <c r="C45" s="287" t="s">
        <v>317</v>
      </c>
      <c r="D45" s="288" t="s">
        <v>318</v>
      </c>
      <c r="E45" s="344" t="s">
        <v>349</v>
      </c>
      <c r="F45" s="345" t="s">
        <v>350</v>
      </c>
      <c r="G45" s="346" t="s">
        <v>351</v>
      </c>
      <c r="H45" s="347" t="s">
        <v>352</v>
      </c>
      <c r="I45" s="348" t="s">
        <v>353</v>
      </c>
      <c r="J45" s="348" t="s">
        <v>354</v>
      </c>
      <c r="K45" s="347" t="s">
        <v>355</v>
      </c>
      <c r="L45" s="346" t="s">
        <v>320</v>
      </c>
      <c r="M45" s="346"/>
      <c r="N45" s="346"/>
      <c r="O45" s="346"/>
      <c r="P45" s="346"/>
      <c r="Q45" s="346"/>
      <c r="R45" s="346"/>
      <c r="S45" s="346"/>
      <c r="T45" s="346"/>
      <c r="U45" s="346"/>
      <c r="V45" s="346"/>
      <c r="W45" s="346"/>
      <c r="X45" s="346"/>
      <c r="Y45" s="346"/>
      <c r="Z45" s="346"/>
      <c r="AA45" s="346"/>
      <c r="AB45" s="346"/>
      <c r="AC45" s="346"/>
      <c r="AD45" s="349"/>
      <c r="AE45" s="349"/>
      <c r="AF45" s="349"/>
      <c r="AG45" s="349"/>
      <c r="AH45" s="184"/>
    </row>
    <row r="46" customFormat="false" ht="15.75" hidden="false" customHeight="true" outlineLevel="0" collapsed="false">
      <c r="A46" s="287"/>
      <c r="B46" s="287"/>
      <c r="C46" s="287"/>
      <c r="D46" s="288"/>
      <c r="E46" s="344"/>
      <c r="F46" s="345"/>
      <c r="G46" s="346"/>
      <c r="H46" s="347"/>
      <c r="I46" s="348"/>
      <c r="J46" s="348"/>
      <c r="K46" s="347"/>
      <c r="L46" s="293" t="s">
        <v>321</v>
      </c>
      <c r="M46" s="293"/>
      <c r="N46" s="293" t="s">
        <v>356</v>
      </c>
      <c r="O46" s="293"/>
      <c r="P46" s="293" t="s">
        <v>357</v>
      </c>
      <c r="Q46" s="293"/>
      <c r="R46" s="293" t="s">
        <v>324</v>
      </c>
      <c r="S46" s="293"/>
      <c r="T46" s="293" t="s">
        <v>325</v>
      </c>
      <c r="U46" s="293"/>
      <c r="V46" s="293" t="s">
        <v>326</v>
      </c>
      <c r="W46" s="293"/>
      <c r="X46" s="293" t="s">
        <v>327</v>
      </c>
      <c r="Y46" s="293"/>
      <c r="Z46" s="293" t="s">
        <v>328</v>
      </c>
      <c r="AA46" s="293"/>
      <c r="AB46" s="293" t="s">
        <v>329</v>
      </c>
      <c r="AC46" s="293"/>
      <c r="AD46" s="350" t="s">
        <v>358</v>
      </c>
      <c r="AE46" s="350" t="s">
        <v>359</v>
      </c>
      <c r="AF46" s="350" t="s">
        <v>360</v>
      </c>
      <c r="AG46" s="350" t="s">
        <v>361</v>
      </c>
      <c r="AH46" s="351" t="s">
        <v>362</v>
      </c>
    </row>
    <row r="47" customFormat="false" ht="52.5" hidden="false" customHeight="true" outlineLevel="0" collapsed="false">
      <c r="A47" s="287"/>
      <c r="B47" s="287"/>
      <c r="C47" s="287"/>
      <c r="D47" s="288"/>
      <c r="E47" s="344"/>
      <c r="F47" s="345"/>
      <c r="G47" s="346"/>
      <c r="H47" s="347"/>
      <c r="I47" s="348"/>
      <c r="J47" s="348"/>
      <c r="K47" s="347"/>
      <c r="L47" s="295" t="s">
        <v>68</v>
      </c>
      <c r="M47" s="295" t="s">
        <v>298</v>
      </c>
      <c r="N47" s="295" t="s">
        <v>68</v>
      </c>
      <c r="O47" s="295" t="s">
        <v>298</v>
      </c>
      <c r="P47" s="295" t="s">
        <v>68</v>
      </c>
      <c r="Q47" s="295" t="s">
        <v>298</v>
      </c>
      <c r="R47" s="295" t="s">
        <v>68</v>
      </c>
      <c r="S47" s="295" t="s">
        <v>298</v>
      </c>
      <c r="T47" s="295" t="s">
        <v>68</v>
      </c>
      <c r="U47" s="295" t="s">
        <v>298</v>
      </c>
      <c r="V47" s="295" t="s">
        <v>68</v>
      </c>
      <c r="W47" s="295" t="s">
        <v>298</v>
      </c>
      <c r="X47" s="295" t="s">
        <v>68</v>
      </c>
      <c r="Y47" s="295" t="s">
        <v>298</v>
      </c>
      <c r="Z47" s="295" t="s">
        <v>68</v>
      </c>
      <c r="AA47" s="295" t="s">
        <v>298</v>
      </c>
      <c r="AB47" s="295" t="s">
        <v>68</v>
      </c>
      <c r="AC47" s="296" t="s">
        <v>298</v>
      </c>
      <c r="AD47" s="350"/>
      <c r="AE47" s="350"/>
      <c r="AF47" s="350"/>
      <c r="AG47" s="350"/>
      <c r="AH47" s="351"/>
    </row>
    <row r="48" customFormat="false" ht="15.75" hidden="false" customHeight="true" outlineLevel="0" collapsed="false">
      <c r="A48" s="353" t="n">
        <f aca="false">'Listado CAPS'!A45</f>
        <v>0</v>
      </c>
      <c r="B48" s="353" t="n">
        <f aca="false">'Listado CAPS'!B45</f>
        <v>0</v>
      </c>
      <c r="C48" s="353" t="n">
        <f aca="false">'Listado CAPS'!C45</f>
        <v>0</v>
      </c>
      <c r="D48" s="353" t="str">
        <f aca="false">'Listado CAPS'!D6</f>
        <v>D</v>
      </c>
      <c r="E48" s="299" t="n">
        <v>1</v>
      </c>
      <c r="F48" s="354"/>
      <c r="G48" s="304"/>
      <c r="H48" s="355"/>
      <c r="I48" s="299"/>
      <c r="J48" s="300" t="n">
        <f aca="false">IF(H48&lt;&gt;"OTROS",1,0)*IF(I48=1,1,0)</f>
        <v>0</v>
      </c>
      <c r="K48" s="356"/>
      <c r="L48" s="299"/>
      <c r="M48" s="299"/>
      <c r="N48" s="299"/>
      <c r="O48" s="299"/>
      <c r="P48" s="299"/>
      <c r="Q48" s="299"/>
      <c r="R48" s="299"/>
      <c r="S48" s="299"/>
      <c r="T48" s="299"/>
      <c r="U48" s="299"/>
      <c r="V48" s="299"/>
      <c r="W48" s="299"/>
      <c r="X48" s="299"/>
      <c r="Y48" s="299"/>
      <c r="Z48" s="299"/>
      <c r="AA48" s="299"/>
      <c r="AB48" s="299"/>
      <c r="AC48" s="300"/>
      <c r="AD48" s="302" t="n">
        <f aca="false">IF(SUM(L48:AC48)=0,0,SUM(L48:AC48)/'Conformación JD'!$X$10)</f>
        <v>0</v>
      </c>
      <c r="AE48" s="301" t="n">
        <f aca="false">SUM(L48:AC48)</f>
        <v>0</v>
      </c>
      <c r="AF48" s="301" t="n">
        <f aca="false">+AC48+AA48+Y48+W48+U48+S48+Q48+O48+M48</f>
        <v>0</v>
      </c>
      <c r="AG48" s="357" t="n">
        <f aca="false">IF(AE48=0,0,AF48/AE48)</f>
        <v>0</v>
      </c>
      <c r="AH48" s="299"/>
    </row>
    <row r="49" customFormat="false" ht="15.75" hidden="false" customHeight="true" outlineLevel="0" collapsed="false">
      <c r="A49" s="353"/>
      <c r="B49" s="353"/>
      <c r="C49" s="353"/>
      <c r="D49" s="353"/>
      <c r="E49" s="299" t="n">
        <v>2</v>
      </c>
      <c r="F49" s="354"/>
      <c r="G49" s="304"/>
      <c r="H49" s="355"/>
      <c r="I49" s="299"/>
      <c r="J49" s="300" t="n">
        <f aca="false">IF(H49&lt;&gt;"OTROS",1,0)*IF(I49=1,1,0)</f>
        <v>0</v>
      </c>
      <c r="K49" s="356"/>
      <c r="L49" s="299"/>
      <c r="M49" s="299"/>
      <c r="N49" s="299"/>
      <c r="O49" s="299"/>
      <c r="P49" s="299"/>
      <c r="Q49" s="299"/>
      <c r="R49" s="299"/>
      <c r="S49" s="299"/>
      <c r="T49" s="299"/>
      <c r="U49" s="299"/>
      <c r="V49" s="299"/>
      <c r="W49" s="299"/>
      <c r="X49" s="299"/>
      <c r="Y49" s="299"/>
      <c r="Z49" s="299"/>
      <c r="AA49" s="299"/>
      <c r="AB49" s="299"/>
      <c r="AC49" s="300"/>
      <c r="AD49" s="302" t="n">
        <f aca="false">IF(SUM(L49:AC49)=0,0,SUM(L49:AC49)/'Conformación JD'!$X$10)</f>
        <v>0</v>
      </c>
      <c r="AE49" s="301" t="n">
        <f aca="false">SUM(L49:AC49)</f>
        <v>0</v>
      </c>
      <c r="AF49" s="301" t="n">
        <f aca="false">+AC49+AA49+Y49+W49+U49+S49+Q49+O49+M49</f>
        <v>0</v>
      </c>
      <c r="AG49" s="357" t="n">
        <f aca="false">IF(AE49=0,0,AF49/AE49)</f>
        <v>0</v>
      </c>
      <c r="AH49" s="358"/>
    </row>
    <row r="50" customFormat="false" ht="15.75" hidden="false" customHeight="true" outlineLevel="0" collapsed="false">
      <c r="A50" s="353"/>
      <c r="B50" s="353"/>
      <c r="C50" s="353"/>
      <c r="D50" s="353"/>
      <c r="E50" s="299" t="n">
        <v>3</v>
      </c>
      <c r="F50" s="354"/>
      <c r="G50" s="304"/>
      <c r="H50" s="355"/>
      <c r="I50" s="299"/>
      <c r="J50" s="300" t="n">
        <f aca="false">IF(H50&lt;&gt;"OTROS",1,0)*IF(I50=1,1,0)</f>
        <v>0</v>
      </c>
      <c r="K50" s="356"/>
      <c r="L50" s="299"/>
      <c r="M50" s="299"/>
      <c r="N50" s="299"/>
      <c r="O50" s="299"/>
      <c r="P50" s="299"/>
      <c r="Q50" s="299"/>
      <c r="R50" s="299"/>
      <c r="S50" s="299"/>
      <c r="T50" s="299"/>
      <c r="U50" s="299"/>
      <c r="V50" s="299"/>
      <c r="W50" s="299"/>
      <c r="X50" s="299"/>
      <c r="Y50" s="299"/>
      <c r="Z50" s="299"/>
      <c r="AA50" s="299"/>
      <c r="AB50" s="299"/>
      <c r="AC50" s="300"/>
      <c r="AD50" s="302" t="n">
        <f aca="false">IF(SUM(L50:AC50)=0,0,SUM(L50:AC50)/'Conformación JD'!$X$10)</f>
        <v>0</v>
      </c>
      <c r="AE50" s="301" t="n">
        <f aca="false">SUM(L50:AC50)</f>
        <v>0</v>
      </c>
      <c r="AF50" s="301" t="n">
        <f aca="false">+AC50+AA50+Y50+W50+U50+S50+Q50+O50+M50</f>
        <v>0</v>
      </c>
      <c r="AG50" s="357" t="n">
        <f aca="false">IF(AE50=0,0,AF50/AE50)</f>
        <v>0</v>
      </c>
      <c r="AH50" s="359"/>
    </row>
    <row r="51" customFormat="false" ht="15.75" hidden="false" customHeight="true" outlineLevel="0" collapsed="false">
      <c r="A51" s="353"/>
      <c r="B51" s="353"/>
      <c r="C51" s="353"/>
      <c r="D51" s="353"/>
      <c r="E51" s="299" t="n">
        <v>4</v>
      </c>
      <c r="F51" s="354"/>
      <c r="G51" s="355"/>
      <c r="H51" s="355"/>
      <c r="I51" s="299"/>
      <c r="J51" s="300" t="n">
        <f aca="false">IF(H51&lt;&gt;"OTROS",1,0)*IF(I51=1,1,0)</f>
        <v>0</v>
      </c>
      <c r="K51" s="356"/>
      <c r="L51" s="299"/>
      <c r="M51" s="299"/>
      <c r="N51" s="299"/>
      <c r="O51" s="299"/>
      <c r="P51" s="299"/>
      <c r="Q51" s="299"/>
      <c r="R51" s="299"/>
      <c r="S51" s="299"/>
      <c r="T51" s="299"/>
      <c r="U51" s="299"/>
      <c r="V51" s="299"/>
      <c r="W51" s="299"/>
      <c r="X51" s="299"/>
      <c r="Y51" s="299"/>
      <c r="Z51" s="299"/>
      <c r="AA51" s="299"/>
      <c r="AB51" s="299"/>
      <c r="AC51" s="300"/>
      <c r="AD51" s="302" t="n">
        <f aca="false">IF(SUM(L51:AC51)=0,0,SUM(L51:AC51)/'Conformación JD'!$X$10)</f>
        <v>0</v>
      </c>
      <c r="AE51" s="301" t="n">
        <f aca="false">SUM(L51:AC51)</f>
        <v>0</v>
      </c>
      <c r="AF51" s="301" t="n">
        <f aca="false">+AC51+AA51+Y51+W51+U51+S51+Q51+O51+M51</f>
        <v>0</v>
      </c>
      <c r="AG51" s="357" t="n">
        <f aca="false">IF(AE51=0,0,AF51/AE51)</f>
        <v>0</v>
      </c>
      <c r="AH51" s="358"/>
    </row>
    <row r="52" customFormat="false" ht="15.75" hidden="false" customHeight="true" outlineLevel="0" collapsed="false">
      <c r="A52" s="353"/>
      <c r="B52" s="353"/>
      <c r="C52" s="353"/>
      <c r="D52" s="353"/>
      <c r="E52" s="299" t="n">
        <v>5</v>
      </c>
      <c r="F52" s="354"/>
      <c r="G52" s="355"/>
      <c r="H52" s="355"/>
      <c r="I52" s="299"/>
      <c r="J52" s="300" t="n">
        <f aca="false">IF(H52&lt;&gt;"OTROS",1,0)*IF(I52=1,1,0)</f>
        <v>0</v>
      </c>
      <c r="K52" s="356"/>
      <c r="L52" s="299"/>
      <c r="M52" s="299"/>
      <c r="N52" s="299"/>
      <c r="O52" s="299"/>
      <c r="P52" s="299"/>
      <c r="Q52" s="299"/>
      <c r="R52" s="299"/>
      <c r="S52" s="299"/>
      <c r="T52" s="299"/>
      <c r="U52" s="299"/>
      <c r="V52" s="299"/>
      <c r="W52" s="299"/>
      <c r="X52" s="299"/>
      <c r="Y52" s="299"/>
      <c r="Z52" s="299"/>
      <c r="AA52" s="299"/>
      <c r="AB52" s="299"/>
      <c r="AC52" s="300"/>
      <c r="AD52" s="302" t="n">
        <f aca="false">IF(SUM(L52:AC52)=0,0,SUM(L52:AC52)/'Conformación JD'!$X$10)</f>
        <v>0</v>
      </c>
      <c r="AE52" s="301" t="n">
        <f aca="false">SUM(L52:AC52)</f>
        <v>0</v>
      </c>
      <c r="AF52" s="301" t="n">
        <f aca="false">+AC52+AA52+Y52+W52+U52+S52+Q52+O52+M52</f>
        <v>0</v>
      </c>
      <c r="AG52" s="357" t="n">
        <f aca="false">IF(AE52=0,0,AF52/AE52)</f>
        <v>0</v>
      </c>
      <c r="AH52" s="358"/>
    </row>
    <row r="53" customFormat="false" ht="15.75" hidden="false" customHeight="true" outlineLevel="0" collapsed="false">
      <c r="A53" s="353"/>
      <c r="B53" s="353"/>
      <c r="C53" s="353"/>
      <c r="D53" s="353"/>
      <c r="E53" s="299" t="n">
        <v>6</v>
      </c>
      <c r="F53" s="354"/>
      <c r="G53" s="355"/>
      <c r="H53" s="355"/>
      <c r="I53" s="299"/>
      <c r="J53" s="300" t="n">
        <f aca="false">IF(H53&lt;&gt;"OTROS",1,0)*IF(I53=1,1,0)</f>
        <v>0</v>
      </c>
      <c r="K53" s="356"/>
      <c r="L53" s="299"/>
      <c r="M53" s="299"/>
      <c r="N53" s="299"/>
      <c r="O53" s="299"/>
      <c r="P53" s="299"/>
      <c r="Q53" s="299"/>
      <c r="R53" s="299"/>
      <c r="S53" s="299"/>
      <c r="T53" s="299"/>
      <c r="U53" s="299"/>
      <c r="V53" s="299"/>
      <c r="W53" s="299"/>
      <c r="X53" s="299"/>
      <c r="Y53" s="299"/>
      <c r="Z53" s="299"/>
      <c r="AA53" s="299"/>
      <c r="AB53" s="299"/>
      <c r="AC53" s="300"/>
      <c r="AD53" s="302" t="n">
        <f aca="false">IF(SUM(L53:AC53)=0,0,SUM(L53:AC53)/'Conformación JD'!$X$10)</f>
        <v>0</v>
      </c>
      <c r="AE53" s="301" t="n">
        <f aca="false">SUM(L53:AC53)</f>
        <v>0</v>
      </c>
      <c r="AF53" s="301" t="n">
        <f aca="false">+AC53+AA53+Y53+W53+U53+S53+Q53+O53+M53</f>
        <v>0</v>
      </c>
      <c r="AG53" s="357" t="n">
        <f aca="false">IF(AE53=0,0,AF53/AE53)</f>
        <v>0</v>
      </c>
      <c r="AH53" s="358"/>
    </row>
    <row r="54" customFormat="false" ht="15.75" hidden="false" customHeight="true" outlineLevel="0" collapsed="false">
      <c r="A54" s="353"/>
      <c r="B54" s="353"/>
      <c r="C54" s="353"/>
      <c r="D54" s="353"/>
      <c r="E54" s="299" t="n">
        <v>7</v>
      </c>
      <c r="F54" s="354"/>
      <c r="G54" s="355"/>
      <c r="H54" s="355"/>
      <c r="I54" s="299"/>
      <c r="J54" s="300" t="n">
        <f aca="false">IF(H54&lt;&gt;"OTROS",1,0)*IF(I54=1,1,0)</f>
        <v>0</v>
      </c>
      <c r="K54" s="356"/>
      <c r="L54" s="299"/>
      <c r="M54" s="299"/>
      <c r="N54" s="299"/>
      <c r="O54" s="299"/>
      <c r="P54" s="299"/>
      <c r="Q54" s="299"/>
      <c r="R54" s="299"/>
      <c r="S54" s="299"/>
      <c r="T54" s="299"/>
      <c r="U54" s="299"/>
      <c r="V54" s="299"/>
      <c r="W54" s="299"/>
      <c r="X54" s="299"/>
      <c r="Y54" s="299"/>
      <c r="Z54" s="299"/>
      <c r="AA54" s="299"/>
      <c r="AB54" s="299"/>
      <c r="AC54" s="300"/>
      <c r="AD54" s="302" t="n">
        <f aca="false">IF(SUM(L54:AC54)=0,0,SUM(L54:AC54)/'Conformación JD'!$X$10)</f>
        <v>0</v>
      </c>
      <c r="AE54" s="301" t="n">
        <f aca="false">SUM(L54:AC54)</f>
        <v>0</v>
      </c>
      <c r="AF54" s="301" t="n">
        <f aca="false">+AC54+AA54+Y54+W54+U54+S54+Q54+O54+M54</f>
        <v>0</v>
      </c>
      <c r="AG54" s="357" t="n">
        <f aca="false">IF(AE54=0,0,AF54/AE54)</f>
        <v>0</v>
      </c>
      <c r="AH54" s="358"/>
    </row>
    <row r="55" customFormat="false" ht="15.75" hidden="false" customHeight="true" outlineLevel="0" collapsed="false">
      <c r="A55" s="353"/>
      <c r="B55" s="353"/>
      <c r="C55" s="353"/>
      <c r="D55" s="353"/>
      <c r="E55" s="299" t="n">
        <v>8</v>
      </c>
      <c r="F55" s="354"/>
      <c r="G55" s="355"/>
      <c r="H55" s="355"/>
      <c r="I55" s="299"/>
      <c r="J55" s="300" t="n">
        <f aca="false">IF(H55&lt;&gt;"OTROS",1,0)*IF(I55=1,1,0)</f>
        <v>0</v>
      </c>
      <c r="K55" s="356"/>
      <c r="L55" s="299"/>
      <c r="M55" s="299"/>
      <c r="N55" s="299"/>
      <c r="O55" s="299"/>
      <c r="P55" s="299"/>
      <c r="Q55" s="299"/>
      <c r="R55" s="299"/>
      <c r="S55" s="299"/>
      <c r="T55" s="299"/>
      <c r="U55" s="299"/>
      <c r="V55" s="299"/>
      <c r="W55" s="299"/>
      <c r="X55" s="299"/>
      <c r="Y55" s="299"/>
      <c r="Z55" s="299"/>
      <c r="AA55" s="299"/>
      <c r="AB55" s="299"/>
      <c r="AC55" s="300"/>
      <c r="AD55" s="302" t="n">
        <f aca="false">IF(SUM(L55:AC55)=0,0,SUM(L55:AC55)/'Conformación JD'!$X$10)</f>
        <v>0</v>
      </c>
      <c r="AE55" s="301" t="n">
        <f aca="false">SUM(L55:AC55)</f>
        <v>0</v>
      </c>
      <c r="AF55" s="301" t="n">
        <f aca="false">+AC55+AA55+Y55+W55+U55+S55+Q55+O55+M55</f>
        <v>0</v>
      </c>
      <c r="AG55" s="357" t="n">
        <f aca="false">IF(AE55=0,0,AF55/AE55)</f>
        <v>0</v>
      </c>
      <c r="AH55" s="358"/>
    </row>
    <row r="56" customFormat="false" ht="15.75" hidden="false" customHeight="true" outlineLevel="0" collapsed="false">
      <c r="A56" s="353"/>
      <c r="B56" s="353"/>
      <c r="C56" s="353"/>
      <c r="D56" s="353"/>
      <c r="E56" s="299" t="n">
        <v>9</v>
      </c>
      <c r="F56" s="354"/>
      <c r="G56" s="355"/>
      <c r="H56" s="355"/>
      <c r="I56" s="299"/>
      <c r="J56" s="300" t="n">
        <f aca="false">IF(H56&lt;&gt;"OTROS",1,0)*IF(I56=1,1,0)</f>
        <v>0</v>
      </c>
      <c r="K56" s="356"/>
      <c r="L56" s="299"/>
      <c r="M56" s="299"/>
      <c r="N56" s="299"/>
      <c r="O56" s="299"/>
      <c r="P56" s="299"/>
      <c r="Q56" s="299"/>
      <c r="R56" s="299"/>
      <c r="S56" s="299"/>
      <c r="T56" s="299"/>
      <c r="U56" s="299"/>
      <c r="V56" s="299"/>
      <c r="W56" s="299"/>
      <c r="X56" s="299"/>
      <c r="Y56" s="299"/>
      <c r="Z56" s="299"/>
      <c r="AA56" s="299"/>
      <c r="AB56" s="299"/>
      <c r="AC56" s="300"/>
      <c r="AD56" s="302" t="n">
        <f aca="false">IF(SUM(L56:AC56)=0,0,SUM(L56:AC56)/'Conformación JD'!$X$10)</f>
        <v>0</v>
      </c>
      <c r="AE56" s="301" t="n">
        <f aca="false">SUM(L56:AC56)</f>
        <v>0</v>
      </c>
      <c r="AF56" s="301" t="n">
        <f aca="false">+AC56+AA56+Y56+W56+U56+S56+Q56+O56+M56</f>
        <v>0</v>
      </c>
      <c r="AG56" s="357" t="n">
        <f aca="false">IF(AE56=0,0,AF56/AE56)</f>
        <v>0</v>
      </c>
      <c r="AH56" s="358"/>
    </row>
    <row r="57" customFormat="false" ht="15.75" hidden="false" customHeight="true" outlineLevel="0" collapsed="false">
      <c r="A57" s="353"/>
      <c r="B57" s="353"/>
      <c r="C57" s="353"/>
      <c r="D57" s="353"/>
      <c r="E57" s="360" t="n">
        <v>10</v>
      </c>
      <c r="F57" s="361"/>
      <c r="G57" s="362"/>
      <c r="H57" s="362"/>
      <c r="I57" s="360"/>
      <c r="J57" s="300" t="n">
        <f aca="false">IF(H57&lt;&gt;"OTROS",1,0)*IF(I57=1,1,0)</f>
        <v>0</v>
      </c>
      <c r="K57" s="356"/>
      <c r="L57" s="360"/>
      <c r="M57" s="360"/>
      <c r="N57" s="360"/>
      <c r="O57" s="360"/>
      <c r="P57" s="360"/>
      <c r="Q57" s="360"/>
      <c r="R57" s="360"/>
      <c r="S57" s="360"/>
      <c r="T57" s="360"/>
      <c r="U57" s="360"/>
      <c r="V57" s="360"/>
      <c r="W57" s="360"/>
      <c r="X57" s="360"/>
      <c r="Y57" s="360"/>
      <c r="Z57" s="360"/>
      <c r="AA57" s="360"/>
      <c r="AB57" s="360"/>
      <c r="AC57" s="363"/>
      <c r="AD57" s="302" t="n">
        <f aca="false">IF(SUM(L57:AC57)=0,0,SUM(L57:AC57)/'Conformación JD'!$X$10)</f>
        <v>0</v>
      </c>
      <c r="AE57" s="301" t="n">
        <f aca="false">SUM(L57:AC57)</f>
        <v>0</v>
      </c>
      <c r="AF57" s="301" t="n">
        <f aca="false">+AC57+AA57+Y57+W57+U57+S57+Q57+O57+M57</f>
        <v>0</v>
      </c>
      <c r="AG57" s="357" t="n">
        <f aca="false">IF(AE57=0,0,AF57/AE57)</f>
        <v>0</v>
      </c>
      <c r="AH57" s="358"/>
    </row>
    <row r="58" customFormat="false" ht="15.75" hidden="false" customHeight="true" outlineLevel="0" collapsed="false">
      <c r="A58" s="305"/>
      <c r="B58" s="305"/>
      <c r="C58" s="305"/>
      <c r="D58" s="305"/>
      <c r="E58" s="364" t="s">
        <v>366</v>
      </c>
      <c r="F58" s="364"/>
      <c r="G58" s="364"/>
      <c r="H58" s="364"/>
      <c r="I58" s="365" t="n">
        <f aca="false">IF((COUNTIF(G48:G57,"&lt;&gt;"))&lt;&gt;0,SUM(I48:I57)/COUNTIF(G48:G57,"&lt;&gt;"),0)</f>
        <v>0</v>
      </c>
      <c r="J58" s="366" t="n">
        <f aca="false">IF((COUNTIF(H48:H57,"&lt;&gt;"))&lt;&gt;0,SUM(J48:J57)/COUNTIF(H48:H57,"&lt;&gt;"),0)</f>
        <v>0</v>
      </c>
      <c r="K58" s="310" t="n">
        <f aca="false">IF((COUNTIF(H48:H57,"&lt;&gt;"))&lt;&gt;0,SUM(K48:K57)/COUNTIF(H48:H57,"&lt;&gt;"),0)</f>
        <v>0</v>
      </c>
      <c r="L58" s="307" t="n">
        <f aca="false">SUM(L48:L57)</f>
        <v>0</v>
      </c>
      <c r="M58" s="307" t="n">
        <f aca="false">SUM(M48:M57)</f>
        <v>0</v>
      </c>
      <c r="N58" s="307" t="n">
        <f aca="false">SUM(N48:N57)</f>
        <v>0</v>
      </c>
      <c r="O58" s="307" t="n">
        <f aca="false">SUM(O48:O57)</f>
        <v>0</v>
      </c>
      <c r="P58" s="307" t="n">
        <f aca="false">SUM(P48:P57)</f>
        <v>0</v>
      </c>
      <c r="Q58" s="307" t="n">
        <f aca="false">SUM(Q48:Q57)</f>
        <v>0</v>
      </c>
      <c r="R58" s="307" t="n">
        <f aca="false">SUM(R48:R57)</f>
        <v>0</v>
      </c>
      <c r="S58" s="307" t="n">
        <f aca="false">SUM(S48:S57)</f>
        <v>0</v>
      </c>
      <c r="T58" s="307" t="n">
        <f aca="false">SUM(T48:T57)</f>
        <v>0</v>
      </c>
      <c r="U58" s="307" t="n">
        <f aca="false">SUM(U48:U57)</f>
        <v>0</v>
      </c>
      <c r="V58" s="307" t="n">
        <f aca="false">SUM(V48:V57)</f>
        <v>0</v>
      </c>
      <c r="W58" s="307" t="n">
        <f aca="false">SUM(W48:W57)</f>
        <v>0</v>
      </c>
      <c r="X58" s="307" t="n">
        <f aca="false">SUM(X48:X57)</f>
        <v>0</v>
      </c>
      <c r="Y58" s="307" t="n">
        <f aca="false">SUM(Y48:Y57)</f>
        <v>0</v>
      </c>
      <c r="Z58" s="307" t="n">
        <f aca="false">SUM(Z48:Z57)</f>
        <v>0</v>
      </c>
      <c r="AA58" s="307" t="n">
        <f aca="false">SUM(AA48:AA57)</f>
        <v>0</v>
      </c>
      <c r="AB58" s="307" t="n">
        <f aca="false">SUM(AB48:AB57)</f>
        <v>0</v>
      </c>
      <c r="AC58" s="307" t="n">
        <f aca="false">SUM(AC48:AC57)</f>
        <v>0</v>
      </c>
      <c r="AD58" s="310" t="n">
        <f aca="false">IF(SUM(AD48:AD57)=0,0,SUM(AD48:AD57)/COUNTIF(AD48:AD57,"&lt;&gt;0"))</f>
        <v>0</v>
      </c>
      <c r="AE58" s="365" t="n">
        <f aca="false">IF(SUM(AE48:AE57)=0,0,SUM(AE48:AE57)/COUNTIF(AE48:AE57,"&lt;&gt;0"))</f>
        <v>0</v>
      </c>
      <c r="AF58" s="365" t="n">
        <f aca="false">IF(SUM(AF48:AF57)=0,0,SUM(AF48:AF57)/COUNTIF(AF48:AF57,"&lt;&gt;0"))</f>
        <v>0</v>
      </c>
      <c r="AG58" s="310" t="n">
        <f aca="false">IF(SUM(AG48:AG57)=0,0,SUM(AG48:AG57)/COUNTIF(AD48:AD57,"&lt;&gt;0"))</f>
        <v>0</v>
      </c>
      <c r="AH58" s="367"/>
    </row>
    <row r="59" customFormat="false" ht="15.75" hidden="false" customHeight="true" outlineLevel="0" collapsed="false">
      <c r="A59" s="287" t="s">
        <v>315</v>
      </c>
      <c r="B59" s="287" t="s">
        <v>316</v>
      </c>
      <c r="C59" s="287" t="s">
        <v>317</v>
      </c>
      <c r="D59" s="288" t="s">
        <v>318</v>
      </c>
      <c r="E59" s="344" t="s">
        <v>349</v>
      </c>
      <c r="F59" s="345" t="s">
        <v>350</v>
      </c>
      <c r="G59" s="346" t="s">
        <v>351</v>
      </c>
      <c r="H59" s="347" t="s">
        <v>352</v>
      </c>
      <c r="I59" s="348" t="s">
        <v>353</v>
      </c>
      <c r="J59" s="348" t="s">
        <v>354</v>
      </c>
      <c r="K59" s="347" t="s">
        <v>355</v>
      </c>
      <c r="L59" s="346" t="s">
        <v>320</v>
      </c>
      <c r="M59" s="346"/>
      <c r="N59" s="346"/>
      <c r="O59" s="346"/>
      <c r="P59" s="346"/>
      <c r="Q59" s="346"/>
      <c r="R59" s="346"/>
      <c r="S59" s="346"/>
      <c r="T59" s="346"/>
      <c r="U59" s="346"/>
      <c r="V59" s="346"/>
      <c r="W59" s="346"/>
      <c r="X59" s="346"/>
      <c r="Y59" s="346"/>
      <c r="Z59" s="346"/>
      <c r="AA59" s="346"/>
      <c r="AB59" s="346"/>
      <c r="AC59" s="346"/>
      <c r="AD59" s="349"/>
      <c r="AE59" s="349"/>
      <c r="AF59" s="349"/>
      <c r="AG59" s="349"/>
      <c r="AH59" s="184"/>
    </row>
    <row r="60" s="369" customFormat="true" ht="15.75" hidden="false" customHeight="true" outlineLevel="0" collapsed="false">
      <c r="A60" s="287"/>
      <c r="B60" s="287"/>
      <c r="C60" s="287"/>
      <c r="D60" s="288"/>
      <c r="E60" s="344"/>
      <c r="F60" s="345"/>
      <c r="G60" s="346"/>
      <c r="H60" s="347"/>
      <c r="I60" s="348"/>
      <c r="J60" s="348"/>
      <c r="K60" s="347"/>
      <c r="L60" s="293" t="s">
        <v>321</v>
      </c>
      <c r="M60" s="293"/>
      <c r="N60" s="293" t="s">
        <v>356</v>
      </c>
      <c r="O60" s="293"/>
      <c r="P60" s="293" t="s">
        <v>357</v>
      </c>
      <c r="Q60" s="293"/>
      <c r="R60" s="293" t="s">
        <v>324</v>
      </c>
      <c r="S60" s="293"/>
      <c r="T60" s="293" t="s">
        <v>325</v>
      </c>
      <c r="U60" s="293"/>
      <c r="V60" s="293" t="s">
        <v>326</v>
      </c>
      <c r="W60" s="293"/>
      <c r="X60" s="293" t="s">
        <v>327</v>
      </c>
      <c r="Y60" s="293"/>
      <c r="Z60" s="293" t="s">
        <v>328</v>
      </c>
      <c r="AA60" s="293"/>
      <c r="AB60" s="293" t="s">
        <v>329</v>
      </c>
      <c r="AC60" s="293"/>
      <c r="AD60" s="350" t="s">
        <v>358</v>
      </c>
      <c r="AE60" s="350" t="s">
        <v>359</v>
      </c>
      <c r="AF60" s="350" t="s">
        <v>360</v>
      </c>
      <c r="AG60" s="350" t="s">
        <v>361</v>
      </c>
      <c r="AH60" s="351" t="s">
        <v>362</v>
      </c>
    </row>
    <row r="61" customFormat="false" ht="45.75" hidden="false" customHeight="true" outlineLevel="0" collapsed="false">
      <c r="A61" s="287"/>
      <c r="B61" s="287"/>
      <c r="C61" s="287"/>
      <c r="D61" s="288"/>
      <c r="E61" s="344"/>
      <c r="F61" s="345"/>
      <c r="G61" s="346"/>
      <c r="H61" s="347"/>
      <c r="I61" s="348"/>
      <c r="J61" s="348"/>
      <c r="K61" s="347"/>
      <c r="L61" s="295" t="s">
        <v>68</v>
      </c>
      <c r="M61" s="295" t="s">
        <v>298</v>
      </c>
      <c r="N61" s="295" t="s">
        <v>68</v>
      </c>
      <c r="O61" s="295" t="s">
        <v>298</v>
      </c>
      <c r="P61" s="295" t="s">
        <v>68</v>
      </c>
      <c r="Q61" s="295" t="s">
        <v>298</v>
      </c>
      <c r="R61" s="295" t="s">
        <v>68</v>
      </c>
      <c r="S61" s="295" t="s">
        <v>298</v>
      </c>
      <c r="T61" s="295" t="s">
        <v>68</v>
      </c>
      <c r="U61" s="295" t="s">
        <v>298</v>
      </c>
      <c r="V61" s="295" t="s">
        <v>68</v>
      </c>
      <c r="W61" s="295" t="s">
        <v>298</v>
      </c>
      <c r="X61" s="295" t="s">
        <v>68</v>
      </c>
      <c r="Y61" s="295" t="s">
        <v>298</v>
      </c>
      <c r="Z61" s="295" t="s">
        <v>68</v>
      </c>
      <c r="AA61" s="295" t="s">
        <v>298</v>
      </c>
      <c r="AB61" s="295" t="s">
        <v>68</v>
      </c>
      <c r="AC61" s="296" t="s">
        <v>298</v>
      </c>
      <c r="AD61" s="350"/>
      <c r="AE61" s="350"/>
      <c r="AF61" s="350"/>
      <c r="AG61" s="350"/>
      <c r="AH61" s="351"/>
    </row>
    <row r="62" customFormat="false" ht="15.75" hidden="false" customHeight="true" outlineLevel="0" collapsed="false">
      <c r="A62" s="353" t="n">
        <f aca="false">'Listado CAPS'!A59</f>
        <v>0</v>
      </c>
      <c r="B62" s="353" t="n">
        <f aca="false">'Listado CAPS'!B59</f>
        <v>0</v>
      </c>
      <c r="C62" s="353" t="n">
        <f aca="false">'Listado CAPS'!C59</f>
        <v>0</v>
      </c>
      <c r="D62" s="353" t="str">
        <f aca="false">'Listado CAPS'!D7</f>
        <v>E</v>
      </c>
      <c r="E62" s="299" t="n">
        <v>1</v>
      </c>
      <c r="F62" s="354"/>
      <c r="G62" s="304"/>
      <c r="H62" s="355"/>
      <c r="I62" s="299"/>
      <c r="J62" s="300" t="n">
        <f aca="false">IF(H62&lt;&gt;"OTROS",1,0)*IF(I62=1,1,0)</f>
        <v>0</v>
      </c>
      <c r="K62" s="356"/>
      <c r="L62" s="299"/>
      <c r="M62" s="299"/>
      <c r="N62" s="299"/>
      <c r="O62" s="299"/>
      <c r="P62" s="299"/>
      <c r="Q62" s="299"/>
      <c r="R62" s="299"/>
      <c r="S62" s="299"/>
      <c r="T62" s="299"/>
      <c r="U62" s="299"/>
      <c r="V62" s="299"/>
      <c r="W62" s="299"/>
      <c r="X62" s="299"/>
      <c r="Y62" s="299"/>
      <c r="Z62" s="299"/>
      <c r="AA62" s="299"/>
      <c r="AB62" s="299"/>
      <c r="AC62" s="300"/>
      <c r="AD62" s="302" t="n">
        <f aca="false">IF(SUM(L62:AC62)=0,0,SUM(L62:AC62)/'Conformación JD'!$X$11)</f>
        <v>0</v>
      </c>
      <c r="AE62" s="301" t="n">
        <f aca="false">SUM(L62:AC62)</f>
        <v>0</v>
      </c>
      <c r="AF62" s="301" t="n">
        <f aca="false">+AC62+AA62+Y62+W62+U62+S62+Q62+O62+M62</f>
        <v>0</v>
      </c>
      <c r="AG62" s="357" t="n">
        <f aca="false">IF(AE62=0,0,AF62/AE62)</f>
        <v>0</v>
      </c>
      <c r="AH62" s="299"/>
    </row>
    <row r="63" customFormat="false" ht="15.75" hidden="false" customHeight="true" outlineLevel="0" collapsed="false">
      <c r="A63" s="353"/>
      <c r="B63" s="353"/>
      <c r="C63" s="353"/>
      <c r="D63" s="353"/>
      <c r="E63" s="299" t="n">
        <v>2</v>
      </c>
      <c r="F63" s="354"/>
      <c r="G63" s="304"/>
      <c r="H63" s="355"/>
      <c r="I63" s="299"/>
      <c r="J63" s="300" t="n">
        <f aca="false">IF(H63&lt;&gt;"OTROS",1,0)*IF(I63=1,1,0)</f>
        <v>0</v>
      </c>
      <c r="K63" s="356"/>
      <c r="L63" s="299"/>
      <c r="M63" s="299"/>
      <c r="N63" s="299"/>
      <c r="O63" s="299"/>
      <c r="P63" s="299"/>
      <c r="Q63" s="299"/>
      <c r="R63" s="299"/>
      <c r="S63" s="299"/>
      <c r="T63" s="299"/>
      <c r="U63" s="299"/>
      <c r="V63" s="299"/>
      <c r="W63" s="299"/>
      <c r="X63" s="299"/>
      <c r="Y63" s="299"/>
      <c r="Z63" s="299"/>
      <c r="AA63" s="299"/>
      <c r="AB63" s="299"/>
      <c r="AC63" s="300"/>
      <c r="AD63" s="302" t="n">
        <f aca="false">IF(SUM(L63:AC63)=0,0,SUM(L63:AC63)/'Conformación JD'!$X$11)</f>
        <v>0</v>
      </c>
      <c r="AE63" s="301" t="n">
        <f aca="false">SUM(L63:AC63)</f>
        <v>0</v>
      </c>
      <c r="AF63" s="301" t="n">
        <f aca="false">+AC63+AA63+Y63+W63+U63+S63+Q63+O63+M63</f>
        <v>0</v>
      </c>
      <c r="AG63" s="357" t="n">
        <f aca="false">IF(AE63=0,0,AF63/AE63)</f>
        <v>0</v>
      </c>
      <c r="AH63" s="358"/>
    </row>
    <row r="64" customFormat="false" ht="15.75" hidden="false" customHeight="true" outlineLevel="0" collapsed="false">
      <c r="A64" s="353"/>
      <c r="B64" s="353"/>
      <c r="C64" s="353"/>
      <c r="D64" s="353"/>
      <c r="E64" s="299" t="n">
        <v>3</v>
      </c>
      <c r="F64" s="354"/>
      <c r="G64" s="304"/>
      <c r="H64" s="355"/>
      <c r="I64" s="299"/>
      <c r="J64" s="300" t="n">
        <f aca="false">IF(H64&lt;&gt;"OTROS",1,0)*IF(I64=1,1,0)</f>
        <v>0</v>
      </c>
      <c r="K64" s="356"/>
      <c r="L64" s="299"/>
      <c r="M64" s="299"/>
      <c r="N64" s="299"/>
      <c r="O64" s="299"/>
      <c r="P64" s="299"/>
      <c r="Q64" s="299"/>
      <c r="R64" s="299"/>
      <c r="S64" s="299"/>
      <c r="T64" s="299"/>
      <c r="U64" s="299"/>
      <c r="V64" s="299"/>
      <c r="W64" s="299"/>
      <c r="X64" s="299"/>
      <c r="Y64" s="299"/>
      <c r="Z64" s="299"/>
      <c r="AA64" s="299"/>
      <c r="AB64" s="299"/>
      <c r="AC64" s="300"/>
      <c r="AD64" s="302" t="n">
        <f aca="false">IF(SUM(L64:AC64)=0,0,SUM(L64:AC64)/'Conformación JD'!$X$11)</f>
        <v>0</v>
      </c>
      <c r="AE64" s="301" t="n">
        <f aca="false">SUM(L64:AC64)</f>
        <v>0</v>
      </c>
      <c r="AF64" s="301" t="n">
        <f aca="false">+AC64+AA64+Y64+W64+U64+S64+Q64+O64+M64</f>
        <v>0</v>
      </c>
      <c r="AG64" s="357" t="n">
        <f aca="false">IF(AE64=0,0,AF64/AE64)</f>
        <v>0</v>
      </c>
      <c r="AH64" s="359"/>
    </row>
    <row r="65" customFormat="false" ht="15.75" hidden="false" customHeight="true" outlineLevel="0" collapsed="false">
      <c r="A65" s="353"/>
      <c r="B65" s="353"/>
      <c r="C65" s="353"/>
      <c r="D65" s="353"/>
      <c r="E65" s="299" t="n">
        <v>4</v>
      </c>
      <c r="F65" s="354"/>
      <c r="G65" s="355"/>
      <c r="H65" s="355"/>
      <c r="I65" s="299"/>
      <c r="J65" s="300" t="n">
        <f aca="false">IF(H65&lt;&gt;"OTROS",1,0)*IF(I65=1,1,0)</f>
        <v>0</v>
      </c>
      <c r="K65" s="356"/>
      <c r="L65" s="299"/>
      <c r="M65" s="299"/>
      <c r="N65" s="299"/>
      <c r="O65" s="299"/>
      <c r="P65" s="299"/>
      <c r="Q65" s="299"/>
      <c r="R65" s="299"/>
      <c r="S65" s="299"/>
      <c r="T65" s="299"/>
      <c r="U65" s="299"/>
      <c r="V65" s="299"/>
      <c r="W65" s="299"/>
      <c r="X65" s="299"/>
      <c r="Y65" s="299"/>
      <c r="Z65" s="299"/>
      <c r="AA65" s="299"/>
      <c r="AB65" s="299"/>
      <c r="AC65" s="300"/>
      <c r="AD65" s="302" t="n">
        <f aca="false">IF(SUM(L65:AC65)=0,0,SUM(L65:AC65)/'Conformación JD'!$X$11)</f>
        <v>0</v>
      </c>
      <c r="AE65" s="301" t="n">
        <f aca="false">SUM(L65:AC65)</f>
        <v>0</v>
      </c>
      <c r="AF65" s="301" t="n">
        <f aca="false">+AC65+AA65+Y65+W65+U65+S65+Q65+O65+M65</f>
        <v>0</v>
      </c>
      <c r="AG65" s="357" t="n">
        <f aca="false">IF(AE65=0,0,AF65/AE65)</f>
        <v>0</v>
      </c>
      <c r="AH65" s="358"/>
    </row>
    <row r="66" customFormat="false" ht="15.75" hidden="false" customHeight="true" outlineLevel="0" collapsed="false">
      <c r="A66" s="353"/>
      <c r="B66" s="353"/>
      <c r="C66" s="353"/>
      <c r="D66" s="353"/>
      <c r="E66" s="299" t="n">
        <v>5</v>
      </c>
      <c r="F66" s="354"/>
      <c r="G66" s="355"/>
      <c r="H66" s="355"/>
      <c r="I66" s="299"/>
      <c r="J66" s="300" t="n">
        <f aca="false">IF(H66&lt;&gt;"OTROS",1,0)*IF(I66=1,1,0)</f>
        <v>0</v>
      </c>
      <c r="K66" s="356"/>
      <c r="L66" s="299"/>
      <c r="M66" s="299"/>
      <c r="N66" s="299"/>
      <c r="O66" s="299"/>
      <c r="P66" s="299"/>
      <c r="Q66" s="299"/>
      <c r="R66" s="299"/>
      <c r="S66" s="299"/>
      <c r="T66" s="299"/>
      <c r="U66" s="299"/>
      <c r="V66" s="299"/>
      <c r="W66" s="299"/>
      <c r="X66" s="299"/>
      <c r="Y66" s="299"/>
      <c r="Z66" s="299"/>
      <c r="AA66" s="299"/>
      <c r="AB66" s="299"/>
      <c r="AC66" s="300"/>
      <c r="AD66" s="302" t="n">
        <f aca="false">IF(SUM(L66:AC66)=0,0,SUM(L66:AC66)/'Conformación JD'!$X$11)</f>
        <v>0</v>
      </c>
      <c r="AE66" s="301" t="n">
        <f aca="false">SUM(L66:AC66)</f>
        <v>0</v>
      </c>
      <c r="AF66" s="301" t="n">
        <f aca="false">+AC66+AA66+Y66+W66+U66+S66+Q66+O66+M66</f>
        <v>0</v>
      </c>
      <c r="AG66" s="357" t="n">
        <f aca="false">IF(AE66=0,0,AF66/AE66)</f>
        <v>0</v>
      </c>
      <c r="AH66" s="358"/>
    </row>
    <row r="67" customFormat="false" ht="15.75" hidden="false" customHeight="true" outlineLevel="0" collapsed="false">
      <c r="A67" s="353"/>
      <c r="B67" s="353"/>
      <c r="C67" s="353"/>
      <c r="D67" s="353"/>
      <c r="E67" s="299" t="n">
        <v>6</v>
      </c>
      <c r="F67" s="354"/>
      <c r="G67" s="355"/>
      <c r="H67" s="355"/>
      <c r="I67" s="299"/>
      <c r="J67" s="300" t="n">
        <f aca="false">IF(H67&lt;&gt;"OTROS",1,0)*IF(I67=1,1,0)</f>
        <v>0</v>
      </c>
      <c r="K67" s="356"/>
      <c r="L67" s="299"/>
      <c r="M67" s="299"/>
      <c r="N67" s="299"/>
      <c r="O67" s="299"/>
      <c r="P67" s="299"/>
      <c r="Q67" s="299"/>
      <c r="R67" s="299"/>
      <c r="S67" s="299"/>
      <c r="T67" s="299"/>
      <c r="U67" s="299"/>
      <c r="V67" s="299"/>
      <c r="W67" s="299"/>
      <c r="X67" s="299"/>
      <c r="Y67" s="299"/>
      <c r="Z67" s="299"/>
      <c r="AA67" s="299"/>
      <c r="AB67" s="299"/>
      <c r="AC67" s="300"/>
      <c r="AD67" s="302" t="n">
        <f aca="false">IF(SUM(L67:AC67)=0,0,SUM(L67:AC67)/'Conformación JD'!$X$11)</f>
        <v>0</v>
      </c>
      <c r="AE67" s="301" t="n">
        <f aca="false">SUM(L67:AC67)</f>
        <v>0</v>
      </c>
      <c r="AF67" s="301" t="n">
        <f aca="false">+AC67+AA67+Y67+W67+U67+S67+Q67+O67+M67</f>
        <v>0</v>
      </c>
      <c r="AG67" s="357" t="n">
        <f aca="false">IF(AE67=0,0,AF67/AE67)</f>
        <v>0</v>
      </c>
      <c r="AH67" s="358"/>
    </row>
    <row r="68" customFormat="false" ht="15.75" hidden="false" customHeight="true" outlineLevel="0" collapsed="false">
      <c r="A68" s="353"/>
      <c r="B68" s="353"/>
      <c r="C68" s="353"/>
      <c r="D68" s="353"/>
      <c r="E68" s="299" t="n">
        <v>7</v>
      </c>
      <c r="F68" s="354"/>
      <c r="G68" s="355"/>
      <c r="H68" s="355"/>
      <c r="I68" s="299"/>
      <c r="J68" s="300" t="n">
        <f aca="false">IF(H68&lt;&gt;"OTROS",1,0)*IF(I68=1,1,0)</f>
        <v>0</v>
      </c>
      <c r="K68" s="356"/>
      <c r="L68" s="299"/>
      <c r="M68" s="299"/>
      <c r="N68" s="299"/>
      <c r="O68" s="299"/>
      <c r="P68" s="299"/>
      <c r="Q68" s="299"/>
      <c r="R68" s="299"/>
      <c r="S68" s="299"/>
      <c r="T68" s="299"/>
      <c r="U68" s="299"/>
      <c r="V68" s="299"/>
      <c r="W68" s="299"/>
      <c r="X68" s="299"/>
      <c r="Y68" s="299"/>
      <c r="Z68" s="299"/>
      <c r="AA68" s="299"/>
      <c r="AB68" s="299"/>
      <c r="AC68" s="300"/>
      <c r="AD68" s="302" t="n">
        <f aca="false">IF(SUM(L68:AC68)=0,0,SUM(L68:AC68)/'Conformación JD'!$X$11)</f>
        <v>0</v>
      </c>
      <c r="AE68" s="301" t="n">
        <f aca="false">SUM(L68:AC68)</f>
        <v>0</v>
      </c>
      <c r="AF68" s="301" t="n">
        <f aca="false">+AC68+AA68+Y68+W68+U68+S68+Q68+O68+M68</f>
        <v>0</v>
      </c>
      <c r="AG68" s="357" t="n">
        <f aca="false">IF(AE68=0,0,AF68/AE68)</f>
        <v>0</v>
      </c>
      <c r="AH68" s="358"/>
    </row>
    <row r="69" customFormat="false" ht="15.75" hidden="false" customHeight="true" outlineLevel="0" collapsed="false">
      <c r="A69" s="353"/>
      <c r="B69" s="353"/>
      <c r="C69" s="353"/>
      <c r="D69" s="353"/>
      <c r="E69" s="299" t="n">
        <v>8</v>
      </c>
      <c r="F69" s="354"/>
      <c r="G69" s="355"/>
      <c r="H69" s="355"/>
      <c r="I69" s="299"/>
      <c r="J69" s="300" t="n">
        <f aca="false">IF(H69&lt;&gt;"OTROS",1,0)*IF(I69=1,1,0)</f>
        <v>0</v>
      </c>
      <c r="K69" s="356"/>
      <c r="L69" s="299"/>
      <c r="M69" s="299"/>
      <c r="N69" s="299"/>
      <c r="O69" s="299"/>
      <c r="P69" s="299"/>
      <c r="Q69" s="299"/>
      <c r="R69" s="299"/>
      <c r="S69" s="299"/>
      <c r="T69" s="299"/>
      <c r="U69" s="299"/>
      <c r="V69" s="299"/>
      <c r="W69" s="299"/>
      <c r="X69" s="299"/>
      <c r="Y69" s="299"/>
      <c r="Z69" s="299"/>
      <c r="AA69" s="299"/>
      <c r="AB69" s="299"/>
      <c r="AC69" s="300"/>
      <c r="AD69" s="302" t="n">
        <f aca="false">IF(SUM(L69:AC69)=0,0,SUM(L69:AC69)/'Conformación JD'!$X$11)</f>
        <v>0</v>
      </c>
      <c r="AE69" s="301" t="n">
        <f aca="false">SUM(L69:AC69)</f>
        <v>0</v>
      </c>
      <c r="AF69" s="301" t="n">
        <f aca="false">+AC69+AA69+Y69+W69+U69+S69+Q69+O69+M69</f>
        <v>0</v>
      </c>
      <c r="AG69" s="357" t="n">
        <f aca="false">IF(AE69=0,0,AF69/AE69)</f>
        <v>0</v>
      </c>
      <c r="AH69" s="358"/>
    </row>
    <row r="70" customFormat="false" ht="15.75" hidden="false" customHeight="true" outlineLevel="0" collapsed="false">
      <c r="A70" s="353"/>
      <c r="B70" s="353"/>
      <c r="C70" s="353"/>
      <c r="D70" s="353"/>
      <c r="E70" s="299" t="n">
        <v>9</v>
      </c>
      <c r="F70" s="354"/>
      <c r="G70" s="355"/>
      <c r="H70" s="355"/>
      <c r="I70" s="299"/>
      <c r="J70" s="300" t="n">
        <f aca="false">IF(H70&lt;&gt;"OTROS",1,0)*IF(I70=1,1,0)</f>
        <v>0</v>
      </c>
      <c r="K70" s="356"/>
      <c r="L70" s="299"/>
      <c r="M70" s="299"/>
      <c r="N70" s="299"/>
      <c r="O70" s="299"/>
      <c r="P70" s="299"/>
      <c r="Q70" s="299"/>
      <c r="R70" s="299"/>
      <c r="S70" s="299"/>
      <c r="T70" s="299"/>
      <c r="U70" s="299"/>
      <c r="V70" s="299"/>
      <c r="W70" s="299"/>
      <c r="X70" s="299"/>
      <c r="Y70" s="299"/>
      <c r="Z70" s="299"/>
      <c r="AA70" s="299"/>
      <c r="AB70" s="299"/>
      <c r="AC70" s="300"/>
      <c r="AD70" s="302" t="n">
        <f aca="false">IF(SUM(L70:AC70)=0,0,SUM(L70:AC70)/'Conformación JD'!$X$11)</f>
        <v>0</v>
      </c>
      <c r="AE70" s="301" t="n">
        <f aca="false">SUM(L70:AC70)</f>
        <v>0</v>
      </c>
      <c r="AF70" s="301" t="n">
        <f aca="false">+AC70+AA70+Y70+W70+U70+S70+Q70+O70+M70</f>
        <v>0</v>
      </c>
      <c r="AG70" s="357" t="n">
        <f aca="false">IF(AE70=0,0,AF70/AE70)</f>
        <v>0</v>
      </c>
      <c r="AH70" s="358"/>
    </row>
    <row r="71" customFormat="false" ht="15.75" hidden="false" customHeight="true" outlineLevel="0" collapsed="false">
      <c r="A71" s="353"/>
      <c r="B71" s="353"/>
      <c r="C71" s="353"/>
      <c r="D71" s="353"/>
      <c r="E71" s="360" t="n">
        <v>10</v>
      </c>
      <c r="F71" s="361"/>
      <c r="G71" s="362"/>
      <c r="H71" s="362"/>
      <c r="I71" s="360"/>
      <c r="J71" s="300" t="n">
        <f aca="false">IF(H71&lt;&gt;"OTROS",1,0)*IF(I71=1,1,0)</f>
        <v>0</v>
      </c>
      <c r="K71" s="356"/>
      <c r="L71" s="360"/>
      <c r="M71" s="360"/>
      <c r="N71" s="360"/>
      <c r="O71" s="360"/>
      <c r="P71" s="360"/>
      <c r="Q71" s="360"/>
      <c r="R71" s="360"/>
      <c r="S71" s="360"/>
      <c r="T71" s="360"/>
      <c r="U71" s="360"/>
      <c r="V71" s="360"/>
      <c r="W71" s="360"/>
      <c r="X71" s="360"/>
      <c r="Y71" s="360"/>
      <c r="Z71" s="360"/>
      <c r="AA71" s="360"/>
      <c r="AB71" s="360"/>
      <c r="AC71" s="363"/>
      <c r="AD71" s="302" t="n">
        <f aca="false">IF(SUM(L71:AC71)=0,0,SUM(L71:AC71)/'Conformación JD'!$X$11)</f>
        <v>0</v>
      </c>
      <c r="AE71" s="301" t="n">
        <f aca="false">SUM(L71:AC71)</f>
        <v>0</v>
      </c>
      <c r="AF71" s="301" t="n">
        <f aca="false">+AC71+AA71+Y71+W71+U71+S71+Q71+O71+M71</f>
        <v>0</v>
      </c>
      <c r="AG71" s="357" t="n">
        <f aca="false">IF(AE71=0,0,AF71/AE71)</f>
        <v>0</v>
      </c>
      <c r="AH71" s="358"/>
    </row>
    <row r="72" customFormat="false" ht="15.75" hidden="false" customHeight="true" outlineLevel="0" collapsed="false">
      <c r="A72" s="305"/>
      <c r="B72" s="305"/>
      <c r="C72" s="305"/>
      <c r="D72" s="305"/>
      <c r="E72" s="364" t="s">
        <v>366</v>
      </c>
      <c r="F72" s="364"/>
      <c r="G72" s="364"/>
      <c r="H72" s="364"/>
      <c r="I72" s="365" t="n">
        <f aca="false">IF((COUNTIF(G62:G71,"&lt;&gt;"))&lt;&gt;0,SUM(I62:I71)/COUNTIF(G62:G71,"&lt;&gt;"),0)</f>
        <v>0</v>
      </c>
      <c r="J72" s="366" t="n">
        <f aca="false">IF((COUNTIF(H62:H71,"&lt;&gt;"))&lt;&gt;0,SUM(J62:J71)/COUNTIF(H62:H71,"&lt;&gt;"),0)</f>
        <v>0</v>
      </c>
      <c r="K72" s="310" t="n">
        <f aca="false">IF((COUNTIF(H62:H71,"&lt;&gt;"))&lt;&gt;0,SUM(K62:K71)/COUNTIF(H62:H71,"&lt;&gt;"),0)</f>
        <v>0</v>
      </c>
      <c r="L72" s="307" t="n">
        <f aca="false">SUM(L62:L71)</f>
        <v>0</v>
      </c>
      <c r="M72" s="307" t="n">
        <f aca="false">SUM(M62:M71)</f>
        <v>0</v>
      </c>
      <c r="N72" s="307" t="n">
        <f aca="false">SUM(N62:N71)</f>
        <v>0</v>
      </c>
      <c r="O72" s="307" t="n">
        <f aca="false">SUM(O62:O71)</f>
        <v>0</v>
      </c>
      <c r="P72" s="307" t="n">
        <f aca="false">SUM(P62:P71)</f>
        <v>0</v>
      </c>
      <c r="Q72" s="307" t="n">
        <f aca="false">SUM(Q62:Q71)</f>
        <v>0</v>
      </c>
      <c r="R72" s="307" t="n">
        <f aca="false">SUM(R62:R71)</f>
        <v>0</v>
      </c>
      <c r="S72" s="307" t="n">
        <f aca="false">SUM(S62:S71)</f>
        <v>0</v>
      </c>
      <c r="T72" s="307" t="n">
        <f aca="false">SUM(T62:T71)</f>
        <v>0</v>
      </c>
      <c r="U72" s="307" t="n">
        <f aca="false">SUM(U62:U71)</f>
        <v>0</v>
      </c>
      <c r="V72" s="307" t="n">
        <f aca="false">SUM(V62:V71)</f>
        <v>0</v>
      </c>
      <c r="W72" s="307" t="n">
        <f aca="false">SUM(W62:W71)</f>
        <v>0</v>
      </c>
      <c r="X72" s="307" t="n">
        <f aca="false">SUM(X62:X71)</f>
        <v>0</v>
      </c>
      <c r="Y72" s="307" t="n">
        <f aca="false">SUM(Y62:Y71)</f>
        <v>0</v>
      </c>
      <c r="Z72" s="307" t="n">
        <f aca="false">SUM(Z62:Z71)</f>
        <v>0</v>
      </c>
      <c r="AA72" s="307" t="n">
        <f aca="false">SUM(AA62:AA71)</f>
        <v>0</v>
      </c>
      <c r="AB72" s="307" t="n">
        <f aca="false">SUM(AB62:AB71)</f>
        <v>0</v>
      </c>
      <c r="AC72" s="307" t="n">
        <f aca="false">SUM(AC62:AC71)</f>
        <v>0</v>
      </c>
      <c r="AD72" s="310" t="n">
        <f aca="false">IF(SUM(AD62:AD71)=0,0,SUM(AD62:AD71)/COUNTIF(AD62:AD71,"&lt;&gt;0"))</f>
        <v>0</v>
      </c>
      <c r="AE72" s="365" t="n">
        <f aca="false">IF(SUM(AE62:AE71)=0,0,SUM(AE62:AE71)/COUNTIF(AE62:AE71,"&lt;&gt;0"))</f>
        <v>0</v>
      </c>
      <c r="AF72" s="365" t="n">
        <f aca="false">IF(SUM(AF62:AF71)=0,0,SUM(AF62:AF71)/COUNTIF(AF62:AF71,"&lt;&gt;0"))</f>
        <v>0</v>
      </c>
      <c r="AG72" s="310" t="n">
        <f aca="false">IF(SUM(AG62:AG71)=0,0,SUM(AG62:AG71)/COUNTIF(AD62:AD71,"&lt;&gt;0"))</f>
        <v>0</v>
      </c>
      <c r="AH72" s="367"/>
    </row>
    <row r="73" customFormat="false" ht="15.75" hidden="false" customHeight="true" outlineLevel="0" collapsed="false">
      <c r="A73" s="287" t="s">
        <v>315</v>
      </c>
      <c r="B73" s="287" t="s">
        <v>316</v>
      </c>
      <c r="C73" s="287" t="s">
        <v>317</v>
      </c>
      <c r="D73" s="288" t="s">
        <v>318</v>
      </c>
      <c r="E73" s="344" t="s">
        <v>349</v>
      </c>
      <c r="F73" s="345" t="s">
        <v>350</v>
      </c>
      <c r="G73" s="346" t="s">
        <v>351</v>
      </c>
      <c r="H73" s="347" t="s">
        <v>352</v>
      </c>
      <c r="I73" s="348" t="s">
        <v>353</v>
      </c>
      <c r="J73" s="348" t="s">
        <v>354</v>
      </c>
      <c r="K73" s="347" t="s">
        <v>355</v>
      </c>
      <c r="L73" s="346" t="s">
        <v>320</v>
      </c>
      <c r="M73" s="346"/>
      <c r="N73" s="346"/>
      <c r="O73" s="346"/>
      <c r="P73" s="346"/>
      <c r="Q73" s="346"/>
      <c r="R73" s="346"/>
      <c r="S73" s="346"/>
      <c r="T73" s="346"/>
      <c r="U73" s="346"/>
      <c r="V73" s="346"/>
      <c r="W73" s="346"/>
      <c r="X73" s="346"/>
      <c r="Y73" s="346"/>
      <c r="Z73" s="346"/>
      <c r="AA73" s="346"/>
      <c r="AB73" s="346"/>
      <c r="AC73" s="346"/>
      <c r="AD73" s="349"/>
      <c r="AE73" s="349"/>
      <c r="AF73" s="349"/>
      <c r="AG73" s="349"/>
      <c r="AH73" s="184"/>
    </row>
    <row r="74" customFormat="false" ht="15.75" hidden="false" customHeight="true" outlineLevel="0" collapsed="false">
      <c r="A74" s="287"/>
      <c r="B74" s="287"/>
      <c r="C74" s="287"/>
      <c r="D74" s="288"/>
      <c r="E74" s="344"/>
      <c r="F74" s="345"/>
      <c r="G74" s="346"/>
      <c r="H74" s="347"/>
      <c r="I74" s="348"/>
      <c r="J74" s="348"/>
      <c r="K74" s="347"/>
      <c r="L74" s="293" t="s">
        <v>321</v>
      </c>
      <c r="M74" s="293"/>
      <c r="N74" s="293" t="s">
        <v>356</v>
      </c>
      <c r="O74" s="293"/>
      <c r="P74" s="293" t="s">
        <v>357</v>
      </c>
      <c r="Q74" s="293"/>
      <c r="R74" s="293" t="s">
        <v>324</v>
      </c>
      <c r="S74" s="293"/>
      <c r="T74" s="293" t="s">
        <v>325</v>
      </c>
      <c r="U74" s="293"/>
      <c r="V74" s="293" t="s">
        <v>326</v>
      </c>
      <c r="W74" s="293"/>
      <c r="X74" s="293" t="s">
        <v>327</v>
      </c>
      <c r="Y74" s="293"/>
      <c r="Z74" s="293" t="s">
        <v>328</v>
      </c>
      <c r="AA74" s="293"/>
      <c r="AB74" s="293" t="s">
        <v>329</v>
      </c>
      <c r="AC74" s="293"/>
      <c r="AD74" s="350" t="s">
        <v>358</v>
      </c>
      <c r="AE74" s="350" t="s">
        <v>359</v>
      </c>
      <c r="AF74" s="350" t="s">
        <v>360</v>
      </c>
      <c r="AG74" s="350" t="s">
        <v>361</v>
      </c>
      <c r="AH74" s="351" t="s">
        <v>362</v>
      </c>
    </row>
    <row r="75" customFormat="false" ht="37.5" hidden="false" customHeight="true" outlineLevel="0" collapsed="false">
      <c r="A75" s="287"/>
      <c r="B75" s="287"/>
      <c r="C75" s="287"/>
      <c r="D75" s="288"/>
      <c r="E75" s="344"/>
      <c r="F75" s="345"/>
      <c r="G75" s="346"/>
      <c r="H75" s="347"/>
      <c r="I75" s="348"/>
      <c r="J75" s="348"/>
      <c r="K75" s="347"/>
      <c r="L75" s="295" t="s">
        <v>68</v>
      </c>
      <c r="M75" s="295" t="s">
        <v>298</v>
      </c>
      <c r="N75" s="295" t="s">
        <v>68</v>
      </c>
      <c r="O75" s="295" t="s">
        <v>298</v>
      </c>
      <c r="P75" s="295" t="s">
        <v>68</v>
      </c>
      <c r="Q75" s="295" t="s">
        <v>298</v>
      </c>
      <c r="R75" s="295" t="s">
        <v>68</v>
      </c>
      <c r="S75" s="295" t="s">
        <v>298</v>
      </c>
      <c r="T75" s="295" t="s">
        <v>68</v>
      </c>
      <c r="U75" s="295" t="s">
        <v>298</v>
      </c>
      <c r="V75" s="295" t="s">
        <v>68</v>
      </c>
      <c r="W75" s="295" t="s">
        <v>298</v>
      </c>
      <c r="X75" s="295" t="s">
        <v>68</v>
      </c>
      <c r="Y75" s="295" t="s">
        <v>298</v>
      </c>
      <c r="Z75" s="295" t="s">
        <v>68</v>
      </c>
      <c r="AA75" s="295" t="s">
        <v>298</v>
      </c>
      <c r="AB75" s="295" t="s">
        <v>68</v>
      </c>
      <c r="AC75" s="296" t="s">
        <v>298</v>
      </c>
      <c r="AD75" s="350"/>
      <c r="AE75" s="350"/>
      <c r="AF75" s="350"/>
      <c r="AG75" s="350"/>
      <c r="AH75" s="351"/>
    </row>
    <row r="76" customFormat="false" ht="15.75" hidden="false" customHeight="true" outlineLevel="0" collapsed="false">
      <c r="A76" s="353" t="n">
        <f aca="false">'Listado CAPS'!A73</f>
        <v>0</v>
      </c>
      <c r="B76" s="353" t="n">
        <f aca="false">'Listado CAPS'!B73</f>
        <v>0</v>
      </c>
      <c r="C76" s="353" t="n">
        <f aca="false">'Listado CAPS'!C73</f>
        <v>0</v>
      </c>
      <c r="D76" s="353" t="str">
        <f aca="false">'Listado CAPS'!D8</f>
        <v>F</v>
      </c>
      <c r="E76" s="299" t="n">
        <v>1</v>
      </c>
      <c r="F76" s="354"/>
      <c r="G76" s="304"/>
      <c r="H76" s="355"/>
      <c r="I76" s="299"/>
      <c r="J76" s="300" t="n">
        <f aca="false">IF(H76&lt;&gt;"OTROS",1,0)*IF(I76=1,1,0)</f>
        <v>0</v>
      </c>
      <c r="K76" s="356"/>
      <c r="L76" s="299"/>
      <c r="M76" s="299"/>
      <c r="N76" s="299"/>
      <c r="O76" s="299"/>
      <c r="P76" s="299"/>
      <c r="Q76" s="299"/>
      <c r="R76" s="299"/>
      <c r="S76" s="299"/>
      <c r="T76" s="299"/>
      <c r="U76" s="299"/>
      <c r="V76" s="299"/>
      <c r="W76" s="299"/>
      <c r="X76" s="299"/>
      <c r="Y76" s="299"/>
      <c r="Z76" s="299"/>
      <c r="AA76" s="299"/>
      <c r="AB76" s="299"/>
      <c r="AC76" s="300"/>
      <c r="AD76" s="302" t="n">
        <f aca="false">IF(SUM(L76:AC76)=0,0,SUM(L76:AC76)/'Conformación JD'!$X$12)</f>
        <v>0</v>
      </c>
      <c r="AE76" s="301" t="n">
        <f aca="false">SUM(L76:AC76)</f>
        <v>0</v>
      </c>
      <c r="AF76" s="301" t="n">
        <f aca="false">+AC76+AA76+Y76+W76+U76+S76+Q76+O76+M76</f>
        <v>0</v>
      </c>
      <c r="AG76" s="357" t="n">
        <f aca="false">IF(AE76=0,0,AF76/AE76)</f>
        <v>0</v>
      </c>
      <c r="AH76" s="299"/>
    </row>
    <row r="77" customFormat="false" ht="15.75" hidden="false" customHeight="true" outlineLevel="0" collapsed="false">
      <c r="A77" s="353"/>
      <c r="B77" s="353"/>
      <c r="C77" s="353"/>
      <c r="D77" s="353"/>
      <c r="E77" s="299" t="n">
        <v>2</v>
      </c>
      <c r="F77" s="354"/>
      <c r="G77" s="304"/>
      <c r="H77" s="355"/>
      <c r="I77" s="299"/>
      <c r="J77" s="300" t="n">
        <f aca="false">IF(H77&lt;&gt;"OTROS",1,0)*IF(I77=1,1,0)</f>
        <v>0</v>
      </c>
      <c r="K77" s="356"/>
      <c r="L77" s="299"/>
      <c r="M77" s="299"/>
      <c r="N77" s="299"/>
      <c r="O77" s="299"/>
      <c r="P77" s="299"/>
      <c r="Q77" s="299"/>
      <c r="R77" s="299"/>
      <c r="S77" s="299"/>
      <c r="T77" s="299"/>
      <c r="U77" s="299"/>
      <c r="V77" s="299"/>
      <c r="W77" s="299"/>
      <c r="X77" s="299"/>
      <c r="Y77" s="299"/>
      <c r="Z77" s="299"/>
      <c r="AA77" s="299"/>
      <c r="AB77" s="299"/>
      <c r="AC77" s="300"/>
      <c r="AD77" s="302" t="n">
        <f aca="false">IF(SUM(L77:AC77)=0,0,SUM(L77:AC77)/'Conformación JD'!$X$12)</f>
        <v>0</v>
      </c>
      <c r="AE77" s="301" t="n">
        <f aca="false">SUM(L77:AC77)</f>
        <v>0</v>
      </c>
      <c r="AF77" s="301" t="n">
        <f aca="false">+AC77+AA77+Y77+W77+U77+S77+Q77+O77+M77</f>
        <v>0</v>
      </c>
      <c r="AG77" s="357" t="n">
        <f aca="false">IF(AE77=0,0,AF77/AE77)</f>
        <v>0</v>
      </c>
      <c r="AH77" s="358"/>
    </row>
    <row r="78" customFormat="false" ht="15.75" hidden="false" customHeight="true" outlineLevel="0" collapsed="false">
      <c r="A78" s="353"/>
      <c r="B78" s="353"/>
      <c r="C78" s="353"/>
      <c r="D78" s="353"/>
      <c r="E78" s="299" t="n">
        <v>3</v>
      </c>
      <c r="F78" s="354"/>
      <c r="G78" s="304"/>
      <c r="H78" s="355"/>
      <c r="I78" s="299"/>
      <c r="J78" s="300" t="n">
        <f aca="false">IF(H78&lt;&gt;"OTROS",1,0)*IF(I78=1,1,0)</f>
        <v>0</v>
      </c>
      <c r="K78" s="356"/>
      <c r="L78" s="299"/>
      <c r="M78" s="299"/>
      <c r="N78" s="299"/>
      <c r="O78" s="299"/>
      <c r="P78" s="299"/>
      <c r="Q78" s="299"/>
      <c r="R78" s="299"/>
      <c r="S78" s="299"/>
      <c r="T78" s="299"/>
      <c r="U78" s="299"/>
      <c r="V78" s="299"/>
      <c r="W78" s="299"/>
      <c r="X78" s="299"/>
      <c r="Y78" s="299"/>
      <c r="Z78" s="299"/>
      <c r="AA78" s="299"/>
      <c r="AB78" s="299"/>
      <c r="AC78" s="300"/>
      <c r="AD78" s="302" t="n">
        <f aca="false">IF(SUM(L78:AC78)=0,0,SUM(L78:AC78)/'Conformación JD'!$X$12)</f>
        <v>0</v>
      </c>
      <c r="AE78" s="301" t="n">
        <f aca="false">SUM(L78:AC78)</f>
        <v>0</v>
      </c>
      <c r="AF78" s="301" t="n">
        <f aca="false">+AC78+AA78+Y78+W78+U78+S78+Q78+O78+M78</f>
        <v>0</v>
      </c>
      <c r="AG78" s="357" t="n">
        <f aca="false">IF(AE78=0,0,AF78/AE78)</f>
        <v>0</v>
      </c>
      <c r="AH78" s="359"/>
    </row>
    <row r="79" customFormat="false" ht="15.75" hidden="false" customHeight="true" outlineLevel="0" collapsed="false">
      <c r="A79" s="353"/>
      <c r="B79" s="353"/>
      <c r="C79" s="353"/>
      <c r="D79" s="353"/>
      <c r="E79" s="299" t="n">
        <v>4</v>
      </c>
      <c r="F79" s="354"/>
      <c r="G79" s="355"/>
      <c r="H79" s="355"/>
      <c r="I79" s="299"/>
      <c r="J79" s="300" t="n">
        <f aca="false">IF(H79&lt;&gt;"OTROS",1,0)*IF(I79=1,1,0)</f>
        <v>0</v>
      </c>
      <c r="K79" s="356"/>
      <c r="L79" s="299"/>
      <c r="M79" s="299"/>
      <c r="N79" s="299"/>
      <c r="O79" s="299"/>
      <c r="P79" s="299"/>
      <c r="Q79" s="299"/>
      <c r="R79" s="299"/>
      <c r="S79" s="299"/>
      <c r="T79" s="299"/>
      <c r="U79" s="299"/>
      <c r="V79" s="299"/>
      <c r="W79" s="299"/>
      <c r="X79" s="299"/>
      <c r="Y79" s="299"/>
      <c r="Z79" s="299"/>
      <c r="AA79" s="299"/>
      <c r="AB79" s="299"/>
      <c r="AC79" s="300"/>
      <c r="AD79" s="302" t="n">
        <f aca="false">IF(SUM(L79:AC79)=0,0,SUM(L79:AC79)/'Conformación JD'!$X$12)</f>
        <v>0</v>
      </c>
      <c r="AE79" s="301" t="n">
        <f aca="false">SUM(L79:AC79)</f>
        <v>0</v>
      </c>
      <c r="AF79" s="301" t="n">
        <f aca="false">+AC79+AA79+Y79+W79+U79+S79+Q79+O79+M79</f>
        <v>0</v>
      </c>
      <c r="AG79" s="357" t="n">
        <f aca="false">IF(AE79=0,0,AF79/AE79)</f>
        <v>0</v>
      </c>
      <c r="AH79" s="358"/>
    </row>
    <row r="80" customFormat="false" ht="15.75" hidden="false" customHeight="true" outlineLevel="0" collapsed="false">
      <c r="A80" s="353"/>
      <c r="B80" s="353"/>
      <c r="C80" s="353"/>
      <c r="D80" s="353"/>
      <c r="E80" s="299" t="n">
        <v>5</v>
      </c>
      <c r="F80" s="354"/>
      <c r="G80" s="355"/>
      <c r="H80" s="355"/>
      <c r="I80" s="299"/>
      <c r="J80" s="300" t="n">
        <f aca="false">IF(H80&lt;&gt;"OTROS",1,0)*IF(I80=1,1,0)</f>
        <v>0</v>
      </c>
      <c r="K80" s="356"/>
      <c r="L80" s="299"/>
      <c r="M80" s="299"/>
      <c r="N80" s="299"/>
      <c r="O80" s="299"/>
      <c r="P80" s="299"/>
      <c r="Q80" s="299"/>
      <c r="R80" s="299"/>
      <c r="S80" s="299"/>
      <c r="T80" s="299"/>
      <c r="U80" s="299"/>
      <c r="V80" s="299"/>
      <c r="W80" s="299"/>
      <c r="X80" s="299"/>
      <c r="Y80" s="299"/>
      <c r="Z80" s="299"/>
      <c r="AA80" s="299"/>
      <c r="AB80" s="299"/>
      <c r="AC80" s="300"/>
      <c r="AD80" s="302" t="n">
        <f aca="false">IF(SUM(L80:AC80)=0,0,SUM(L80:AC80)/'Conformación JD'!$X$12)</f>
        <v>0</v>
      </c>
      <c r="AE80" s="301" t="n">
        <f aca="false">SUM(L80:AC80)</f>
        <v>0</v>
      </c>
      <c r="AF80" s="301" t="n">
        <f aca="false">+AC80+AA80+Y80+W80+U80+S80+Q80+O80+M80</f>
        <v>0</v>
      </c>
      <c r="AG80" s="357" t="n">
        <f aca="false">IF(AE80=0,0,AF80/AE80)</f>
        <v>0</v>
      </c>
      <c r="AH80" s="358"/>
    </row>
    <row r="81" customFormat="false" ht="15.75" hidden="false" customHeight="true" outlineLevel="0" collapsed="false">
      <c r="A81" s="353"/>
      <c r="B81" s="353"/>
      <c r="C81" s="353"/>
      <c r="D81" s="353"/>
      <c r="E81" s="299" t="n">
        <v>6</v>
      </c>
      <c r="F81" s="354"/>
      <c r="G81" s="355"/>
      <c r="H81" s="355"/>
      <c r="I81" s="299"/>
      <c r="J81" s="300" t="n">
        <f aca="false">IF(H81&lt;&gt;"OTROS",1,0)*IF(I81=1,1,0)</f>
        <v>0</v>
      </c>
      <c r="K81" s="356"/>
      <c r="L81" s="299"/>
      <c r="M81" s="299"/>
      <c r="N81" s="299"/>
      <c r="O81" s="299"/>
      <c r="P81" s="299"/>
      <c r="Q81" s="299"/>
      <c r="R81" s="299"/>
      <c r="S81" s="299"/>
      <c r="T81" s="299"/>
      <c r="U81" s="299"/>
      <c r="V81" s="299"/>
      <c r="W81" s="299"/>
      <c r="X81" s="299"/>
      <c r="Y81" s="299"/>
      <c r="Z81" s="299"/>
      <c r="AA81" s="299"/>
      <c r="AB81" s="299"/>
      <c r="AC81" s="300"/>
      <c r="AD81" s="302" t="n">
        <f aca="false">IF(SUM(L81:AC81)=0,0,SUM(L81:AC81)/'Conformación JD'!$X$12)</f>
        <v>0</v>
      </c>
      <c r="AE81" s="301" t="n">
        <f aca="false">SUM(L81:AC81)</f>
        <v>0</v>
      </c>
      <c r="AF81" s="301" t="n">
        <f aca="false">+AC81+AA81+Y81+W81+U81+S81+Q81+O81+M81</f>
        <v>0</v>
      </c>
      <c r="AG81" s="357" t="n">
        <f aca="false">IF(AE81=0,0,AF81/AE81)</f>
        <v>0</v>
      </c>
      <c r="AH81" s="358"/>
    </row>
    <row r="82" customFormat="false" ht="15.75" hidden="false" customHeight="true" outlineLevel="0" collapsed="false">
      <c r="A82" s="353"/>
      <c r="B82" s="353"/>
      <c r="C82" s="353"/>
      <c r="D82" s="353"/>
      <c r="E82" s="299" t="n">
        <v>7</v>
      </c>
      <c r="F82" s="354"/>
      <c r="G82" s="355"/>
      <c r="H82" s="355"/>
      <c r="I82" s="299"/>
      <c r="J82" s="300" t="n">
        <f aca="false">IF(H82&lt;&gt;"OTROS",1,0)*IF(I82=1,1,0)</f>
        <v>0</v>
      </c>
      <c r="K82" s="356"/>
      <c r="L82" s="299"/>
      <c r="M82" s="299"/>
      <c r="N82" s="299"/>
      <c r="O82" s="299"/>
      <c r="P82" s="299"/>
      <c r="Q82" s="299"/>
      <c r="R82" s="299"/>
      <c r="S82" s="299"/>
      <c r="T82" s="299"/>
      <c r="U82" s="299"/>
      <c r="V82" s="299"/>
      <c r="W82" s="299"/>
      <c r="X82" s="299"/>
      <c r="Y82" s="299"/>
      <c r="Z82" s="299"/>
      <c r="AA82" s="299"/>
      <c r="AB82" s="299"/>
      <c r="AC82" s="300"/>
      <c r="AD82" s="302" t="n">
        <f aca="false">IF(SUM(L82:AC82)=0,0,SUM(L82:AC82)/'Conformación JD'!$X$12)</f>
        <v>0</v>
      </c>
      <c r="AE82" s="301" t="n">
        <f aca="false">SUM(L82:AC82)</f>
        <v>0</v>
      </c>
      <c r="AF82" s="301" t="n">
        <f aca="false">+AC82+AA82+Y82+W82+U82+S82+Q82+O82+M82</f>
        <v>0</v>
      </c>
      <c r="AG82" s="357" t="n">
        <f aca="false">IF(AE82=0,0,AF82/AE82)</f>
        <v>0</v>
      </c>
      <c r="AH82" s="358"/>
    </row>
    <row r="83" customFormat="false" ht="15.75" hidden="false" customHeight="true" outlineLevel="0" collapsed="false">
      <c r="A83" s="353"/>
      <c r="B83" s="353"/>
      <c r="C83" s="353"/>
      <c r="D83" s="353"/>
      <c r="E83" s="299" t="n">
        <v>8</v>
      </c>
      <c r="F83" s="354"/>
      <c r="G83" s="355"/>
      <c r="H83" s="355"/>
      <c r="I83" s="299"/>
      <c r="J83" s="300" t="n">
        <f aca="false">IF(H83&lt;&gt;"OTROS",1,0)*IF(I83=1,1,0)</f>
        <v>0</v>
      </c>
      <c r="K83" s="356"/>
      <c r="L83" s="299"/>
      <c r="M83" s="299"/>
      <c r="N83" s="299"/>
      <c r="O83" s="299"/>
      <c r="P83" s="299"/>
      <c r="Q83" s="299"/>
      <c r="R83" s="299"/>
      <c r="S83" s="299"/>
      <c r="T83" s="299"/>
      <c r="U83" s="299"/>
      <c r="V83" s="299"/>
      <c r="W83" s="299"/>
      <c r="X83" s="299"/>
      <c r="Y83" s="299"/>
      <c r="Z83" s="299"/>
      <c r="AA83" s="299"/>
      <c r="AB83" s="299"/>
      <c r="AC83" s="300"/>
      <c r="AD83" s="302" t="n">
        <f aca="false">IF(SUM(L83:AC83)=0,0,SUM(L83:AC83)/'Conformación JD'!$X$12)</f>
        <v>0</v>
      </c>
      <c r="AE83" s="301" t="n">
        <f aca="false">SUM(L83:AC83)</f>
        <v>0</v>
      </c>
      <c r="AF83" s="301" t="n">
        <f aca="false">+AC83+AA83+Y83+W83+U83+S83+Q83+O83+M83</f>
        <v>0</v>
      </c>
      <c r="AG83" s="357" t="n">
        <f aca="false">IF(AE83=0,0,AF83/AE83)</f>
        <v>0</v>
      </c>
      <c r="AH83" s="358"/>
    </row>
    <row r="84" customFormat="false" ht="15.75" hidden="false" customHeight="true" outlineLevel="0" collapsed="false">
      <c r="A84" s="353"/>
      <c r="B84" s="353"/>
      <c r="C84" s="353"/>
      <c r="D84" s="353"/>
      <c r="E84" s="299" t="n">
        <v>9</v>
      </c>
      <c r="F84" s="354"/>
      <c r="G84" s="355"/>
      <c r="H84" s="355"/>
      <c r="I84" s="299"/>
      <c r="J84" s="300" t="n">
        <f aca="false">IF(H84&lt;&gt;"OTROS",1,0)*IF(I84=1,1,0)</f>
        <v>0</v>
      </c>
      <c r="K84" s="356"/>
      <c r="L84" s="299"/>
      <c r="M84" s="299"/>
      <c r="N84" s="299"/>
      <c r="O84" s="299"/>
      <c r="P84" s="299"/>
      <c r="Q84" s="299"/>
      <c r="R84" s="299"/>
      <c r="S84" s="299"/>
      <c r="T84" s="299"/>
      <c r="U84" s="299"/>
      <c r="V84" s="299"/>
      <c r="W84" s="299"/>
      <c r="X84" s="299"/>
      <c r="Y84" s="299"/>
      <c r="Z84" s="299"/>
      <c r="AA84" s="299"/>
      <c r="AB84" s="299"/>
      <c r="AC84" s="300"/>
      <c r="AD84" s="302" t="n">
        <f aca="false">IF(SUM(L84:AC84)=0,0,SUM(L84:AC84)/'Conformación JD'!$X$12)</f>
        <v>0</v>
      </c>
      <c r="AE84" s="301" t="n">
        <f aca="false">SUM(L84:AC84)</f>
        <v>0</v>
      </c>
      <c r="AF84" s="301" t="n">
        <f aca="false">+AC84+AA84+Y84+W84+U84+S84+Q84+O84+M84</f>
        <v>0</v>
      </c>
      <c r="AG84" s="357" t="n">
        <f aca="false">IF(AE84=0,0,AF84/AE84)</f>
        <v>0</v>
      </c>
      <c r="AH84" s="358"/>
    </row>
    <row r="85" customFormat="false" ht="15.75" hidden="false" customHeight="true" outlineLevel="0" collapsed="false">
      <c r="A85" s="353"/>
      <c r="B85" s="353"/>
      <c r="C85" s="353"/>
      <c r="D85" s="353"/>
      <c r="E85" s="360" t="n">
        <v>10</v>
      </c>
      <c r="F85" s="361"/>
      <c r="G85" s="362"/>
      <c r="H85" s="362"/>
      <c r="I85" s="360"/>
      <c r="J85" s="300" t="n">
        <f aca="false">IF(H85&lt;&gt;"OTROS",1,0)*IF(I85=1,1,0)</f>
        <v>0</v>
      </c>
      <c r="K85" s="356"/>
      <c r="L85" s="360"/>
      <c r="M85" s="360"/>
      <c r="N85" s="360"/>
      <c r="O85" s="360"/>
      <c r="P85" s="360"/>
      <c r="Q85" s="360"/>
      <c r="R85" s="360"/>
      <c r="S85" s="360"/>
      <c r="T85" s="360"/>
      <c r="U85" s="360"/>
      <c r="V85" s="360"/>
      <c r="W85" s="360"/>
      <c r="X85" s="360"/>
      <c r="Y85" s="360"/>
      <c r="Z85" s="360"/>
      <c r="AA85" s="360"/>
      <c r="AB85" s="360"/>
      <c r="AC85" s="363"/>
      <c r="AD85" s="302" t="n">
        <f aca="false">IF(SUM(L85:AC85)=0,0,SUM(L85:AC85)/'Conformación JD'!$X$12)</f>
        <v>0</v>
      </c>
      <c r="AE85" s="301" t="n">
        <f aca="false">SUM(L85:AC85)</f>
        <v>0</v>
      </c>
      <c r="AF85" s="301" t="n">
        <f aca="false">+AC85+AA85+Y85+W85+U85+S85+Q85+O85+M85</f>
        <v>0</v>
      </c>
      <c r="AG85" s="357" t="n">
        <f aca="false">IF(AE85=0,0,AF85/AE85)</f>
        <v>0</v>
      </c>
      <c r="AH85" s="358"/>
    </row>
    <row r="86" customFormat="false" ht="15.75" hidden="false" customHeight="true" outlineLevel="0" collapsed="false">
      <c r="A86" s="305"/>
      <c r="B86" s="305"/>
      <c r="C86" s="305"/>
      <c r="D86" s="305"/>
      <c r="E86" s="364" t="s">
        <v>366</v>
      </c>
      <c r="F86" s="364"/>
      <c r="G86" s="364"/>
      <c r="H86" s="364"/>
      <c r="I86" s="365" t="n">
        <f aca="false">IF((COUNTIF(G76:G85,"&lt;&gt;"))&lt;&gt;0,SUM(I76:I85)/COUNTIF(G76:G85,"&lt;&gt;"),0)</f>
        <v>0</v>
      </c>
      <c r="J86" s="366" t="n">
        <f aca="false">IF((COUNTIF(H76:H85,"&lt;&gt;"))&lt;&gt;0,SUM(J76:J85)/COUNTIF(H76:H85,"&lt;&gt;"),0)</f>
        <v>0</v>
      </c>
      <c r="K86" s="310" t="n">
        <f aca="false">IF((COUNTIF(H76:H85,"&lt;&gt;"))&lt;&gt;0,SUM(K76:K85)/COUNTIF(H76:H85,"&lt;&gt;"),0)</f>
        <v>0</v>
      </c>
      <c r="L86" s="307" t="n">
        <f aca="false">SUM(L76:L85)</f>
        <v>0</v>
      </c>
      <c r="M86" s="307" t="n">
        <f aca="false">SUM(M76:M85)</f>
        <v>0</v>
      </c>
      <c r="N86" s="307" t="n">
        <f aca="false">SUM(N76:N85)</f>
        <v>0</v>
      </c>
      <c r="O86" s="307" t="n">
        <f aca="false">SUM(O76:O85)</f>
        <v>0</v>
      </c>
      <c r="P86" s="307" t="n">
        <f aca="false">SUM(P76:P85)</f>
        <v>0</v>
      </c>
      <c r="Q86" s="307" t="n">
        <f aca="false">SUM(Q76:Q85)</f>
        <v>0</v>
      </c>
      <c r="R86" s="307" t="n">
        <f aca="false">SUM(R76:R85)</f>
        <v>0</v>
      </c>
      <c r="S86" s="307" t="n">
        <f aca="false">SUM(S76:S85)</f>
        <v>0</v>
      </c>
      <c r="T86" s="307" t="n">
        <f aca="false">SUM(T76:T85)</f>
        <v>0</v>
      </c>
      <c r="U86" s="307" t="n">
        <f aca="false">SUM(U76:U85)</f>
        <v>0</v>
      </c>
      <c r="V86" s="307" t="n">
        <f aca="false">SUM(V76:V85)</f>
        <v>0</v>
      </c>
      <c r="W86" s="307" t="n">
        <f aca="false">SUM(W76:W85)</f>
        <v>0</v>
      </c>
      <c r="X86" s="307" t="n">
        <f aca="false">SUM(X76:X85)</f>
        <v>0</v>
      </c>
      <c r="Y86" s="307" t="n">
        <f aca="false">SUM(Y76:Y85)</f>
        <v>0</v>
      </c>
      <c r="Z86" s="307" t="n">
        <f aca="false">SUM(Z76:Z85)</f>
        <v>0</v>
      </c>
      <c r="AA86" s="307" t="n">
        <f aca="false">SUM(AA76:AA85)</f>
        <v>0</v>
      </c>
      <c r="AB86" s="307" t="n">
        <f aca="false">SUM(AB76:AB85)</f>
        <v>0</v>
      </c>
      <c r="AC86" s="307" t="n">
        <f aca="false">SUM(AC76:AC85)</f>
        <v>0</v>
      </c>
      <c r="AD86" s="310" t="n">
        <f aca="false">IF(SUM(AD76:AD85)=0,0,SUM(AD76:AD85)/COUNTIF(AD76:AD85,"&lt;&gt;0"))</f>
        <v>0</v>
      </c>
      <c r="AE86" s="365" t="n">
        <f aca="false">IF(SUM(AE76:AE85)=0,0,SUM(AE76:AE85)/COUNTIF(AE76:AE85,"&lt;&gt;0"))</f>
        <v>0</v>
      </c>
      <c r="AF86" s="365" t="n">
        <f aca="false">IF(SUM(AF76:AF85)=0,0,SUM(AF76:AF85)/COUNTIF(AF76:AF85,"&lt;&gt;0"))</f>
        <v>0</v>
      </c>
      <c r="AG86" s="310" t="n">
        <f aca="false">IF(SUM(AG76:AG85)=0,0,SUM(AG76:AG85)/COUNTIF(AD76:AD85,"&lt;&gt;0"))</f>
        <v>0</v>
      </c>
      <c r="AH86" s="367"/>
    </row>
    <row r="87" customFormat="false" ht="15.75" hidden="false" customHeight="true" outlineLevel="0" collapsed="false">
      <c r="A87" s="287" t="s">
        <v>315</v>
      </c>
      <c r="B87" s="287" t="s">
        <v>316</v>
      </c>
      <c r="C87" s="287" t="s">
        <v>317</v>
      </c>
      <c r="D87" s="288" t="s">
        <v>318</v>
      </c>
      <c r="E87" s="344" t="s">
        <v>349</v>
      </c>
      <c r="F87" s="345" t="s">
        <v>350</v>
      </c>
      <c r="G87" s="346" t="s">
        <v>351</v>
      </c>
      <c r="H87" s="347" t="s">
        <v>352</v>
      </c>
      <c r="I87" s="348" t="s">
        <v>353</v>
      </c>
      <c r="J87" s="348" t="s">
        <v>354</v>
      </c>
      <c r="K87" s="347" t="s">
        <v>355</v>
      </c>
      <c r="L87" s="346" t="s">
        <v>320</v>
      </c>
      <c r="M87" s="346"/>
      <c r="N87" s="346"/>
      <c r="O87" s="346"/>
      <c r="P87" s="346"/>
      <c r="Q87" s="346"/>
      <c r="R87" s="346"/>
      <c r="S87" s="346"/>
      <c r="T87" s="346"/>
      <c r="U87" s="346"/>
      <c r="V87" s="346"/>
      <c r="W87" s="346"/>
      <c r="X87" s="346"/>
      <c r="Y87" s="346"/>
      <c r="Z87" s="346"/>
      <c r="AA87" s="346"/>
      <c r="AB87" s="346"/>
      <c r="AC87" s="346"/>
      <c r="AD87" s="349"/>
      <c r="AE87" s="349"/>
      <c r="AF87" s="349"/>
      <c r="AG87" s="349"/>
      <c r="AH87" s="184"/>
    </row>
    <row r="88" s="369" customFormat="true" ht="15.75" hidden="false" customHeight="true" outlineLevel="0" collapsed="false">
      <c r="A88" s="287"/>
      <c r="B88" s="287"/>
      <c r="C88" s="287"/>
      <c r="D88" s="288"/>
      <c r="E88" s="344"/>
      <c r="F88" s="345"/>
      <c r="G88" s="346"/>
      <c r="H88" s="347"/>
      <c r="I88" s="348"/>
      <c r="J88" s="348"/>
      <c r="K88" s="347"/>
      <c r="L88" s="293" t="s">
        <v>321</v>
      </c>
      <c r="M88" s="293"/>
      <c r="N88" s="293" t="s">
        <v>356</v>
      </c>
      <c r="O88" s="293"/>
      <c r="P88" s="293" t="s">
        <v>357</v>
      </c>
      <c r="Q88" s="293"/>
      <c r="R88" s="293" t="s">
        <v>324</v>
      </c>
      <c r="S88" s="293"/>
      <c r="T88" s="293" t="s">
        <v>325</v>
      </c>
      <c r="U88" s="293"/>
      <c r="V88" s="293" t="s">
        <v>326</v>
      </c>
      <c r="W88" s="293"/>
      <c r="X88" s="293" t="s">
        <v>327</v>
      </c>
      <c r="Y88" s="293"/>
      <c r="Z88" s="293" t="s">
        <v>328</v>
      </c>
      <c r="AA88" s="293"/>
      <c r="AB88" s="293" t="s">
        <v>329</v>
      </c>
      <c r="AC88" s="293"/>
      <c r="AD88" s="350" t="s">
        <v>358</v>
      </c>
      <c r="AE88" s="350" t="s">
        <v>359</v>
      </c>
      <c r="AF88" s="350" t="s">
        <v>360</v>
      </c>
      <c r="AG88" s="350" t="s">
        <v>361</v>
      </c>
      <c r="AH88" s="351" t="s">
        <v>362</v>
      </c>
    </row>
    <row r="89" customFormat="false" ht="45" hidden="false" customHeight="true" outlineLevel="0" collapsed="false">
      <c r="A89" s="287"/>
      <c r="B89" s="287"/>
      <c r="C89" s="287"/>
      <c r="D89" s="288"/>
      <c r="E89" s="344"/>
      <c r="F89" s="345"/>
      <c r="G89" s="346"/>
      <c r="H89" s="347"/>
      <c r="I89" s="348"/>
      <c r="J89" s="348"/>
      <c r="K89" s="347"/>
      <c r="L89" s="295" t="s">
        <v>68</v>
      </c>
      <c r="M89" s="295" t="s">
        <v>298</v>
      </c>
      <c r="N89" s="295" t="s">
        <v>68</v>
      </c>
      <c r="O89" s="295" t="s">
        <v>298</v>
      </c>
      <c r="P89" s="295" t="s">
        <v>68</v>
      </c>
      <c r="Q89" s="295" t="s">
        <v>298</v>
      </c>
      <c r="R89" s="295" t="s">
        <v>68</v>
      </c>
      <c r="S89" s="295" t="s">
        <v>298</v>
      </c>
      <c r="T89" s="295" t="s">
        <v>68</v>
      </c>
      <c r="U89" s="295" t="s">
        <v>298</v>
      </c>
      <c r="V89" s="295" t="s">
        <v>68</v>
      </c>
      <c r="W89" s="295" t="s">
        <v>298</v>
      </c>
      <c r="X89" s="295" t="s">
        <v>68</v>
      </c>
      <c r="Y89" s="295" t="s">
        <v>298</v>
      </c>
      <c r="Z89" s="295" t="s">
        <v>68</v>
      </c>
      <c r="AA89" s="295" t="s">
        <v>298</v>
      </c>
      <c r="AB89" s="295" t="s">
        <v>68</v>
      </c>
      <c r="AC89" s="296" t="s">
        <v>298</v>
      </c>
      <c r="AD89" s="350"/>
      <c r="AE89" s="350"/>
      <c r="AF89" s="350"/>
      <c r="AG89" s="350"/>
      <c r="AH89" s="351"/>
    </row>
    <row r="90" customFormat="false" ht="15.75" hidden="false" customHeight="true" outlineLevel="0" collapsed="false">
      <c r="A90" s="353" t="n">
        <f aca="false">'Listado CAPS'!A87</f>
        <v>0</v>
      </c>
      <c r="B90" s="353" t="n">
        <f aca="false">'Listado CAPS'!B87</f>
        <v>0</v>
      </c>
      <c r="C90" s="353" t="n">
        <f aca="false">'Listado CAPS'!C87</f>
        <v>0</v>
      </c>
      <c r="D90" s="353" t="str">
        <f aca="false">'Listado CAPS'!D9</f>
        <v>G</v>
      </c>
      <c r="E90" s="299" t="n">
        <v>1</v>
      </c>
      <c r="F90" s="354"/>
      <c r="G90" s="304"/>
      <c r="H90" s="355"/>
      <c r="I90" s="299"/>
      <c r="J90" s="300" t="n">
        <f aca="false">IF(H90&lt;&gt;"OTROS",1,0)*IF(I90=1,1,0)</f>
        <v>0</v>
      </c>
      <c r="K90" s="356"/>
      <c r="L90" s="299"/>
      <c r="M90" s="299"/>
      <c r="N90" s="299"/>
      <c r="O90" s="299"/>
      <c r="P90" s="299"/>
      <c r="Q90" s="299"/>
      <c r="R90" s="299"/>
      <c r="S90" s="299"/>
      <c r="T90" s="299"/>
      <c r="U90" s="299"/>
      <c r="V90" s="299"/>
      <c r="W90" s="299"/>
      <c r="X90" s="299"/>
      <c r="Y90" s="299"/>
      <c r="Z90" s="299"/>
      <c r="AA90" s="299"/>
      <c r="AB90" s="299"/>
      <c r="AC90" s="300"/>
      <c r="AD90" s="302" t="n">
        <f aca="false">IF(SUM(L90:AC90)=0,0,SUM(L90:AC90)/'Conformación JD'!$X$13)</f>
        <v>0</v>
      </c>
      <c r="AE90" s="301" t="n">
        <f aca="false">SUM(L90:AC90)</f>
        <v>0</v>
      </c>
      <c r="AF90" s="301" t="n">
        <f aca="false">+AC90+AA90+Y90+W90+U90+S90+Q90+O90+M90</f>
        <v>0</v>
      </c>
      <c r="AG90" s="357" t="n">
        <f aca="false">IF(AE90=0,0,AF90/AE90)</f>
        <v>0</v>
      </c>
      <c r="AH90" s="299"/>
    </row>
    <row r="91" customFormat="false" ht="15.75" hidden="false" customHeight="true" outlineLevel="0" collapsed="false">
      <c r="A91" s="353"/>
      <c r="B91" s="353"/>
      <c r="C91" s="353"/>
      <c r="D91" s="353"/>
      <c r="E91" s="299" t="n">
        <v>2</v>
      </c>
      <c r="F91" s="354"/>
      <c r="G91" s="304"/>
      <c r="H91" s="355"/>
      <c r="I91" s="299"/>
      <c r="J91" s="300" t="n">
        <f aca="false">IF(H91&lt;&gt;"OTROS",1,0)*IF(I91=1,1,0)</f>
        <v>0</v>
      </c>
      <c r="K91" s="356"/>
      <c r="L91" s="299"/>
      <c r="M91" s="299"/>
      <c r="N91" s="299"/>
      <c r="O91" s="299"/>
      <c r="P91" s="299"/>
      <c r="Q91" s="299"/>
      <c r="R91" s="299"/>
      <c r="S91" s="299"/>
      <c r="T91" s="299"/>
      <c r="U91" s="299"/>
      <c r="V91" s="299"/>
      <c r="W91" s="299"/>
      <c r="X91" s="299"/>
      <c r="Y91" s="299"/>
      <c r="Z91" s="299"/>
      <c r="AA91" s="299"/>
      <c r="AB91" s="299"/>
      <c r="AC91" s="300"/>
      <c r="AD91" s="302" t="n">
        <f aca="false">IF(SUM(L91:AC91)=0,0,SUM(L91:AC91)/'Conformación JD'!$X$13)</f>
        <v>0</v>
      </c>
      <c r="AE91" s="301" t="n">
        <f aca="false">SUM(L91:AC91)</f>
        <v>0</v>
      </c>
      <c r="AF91" s="301" t="n">
        <f aca="false">+AC91+AA91+Y91+W91+U91+S91+Q91+O91+M91</f>
        <v>0</v>
      </c>
      <c r="AG91" s="357" t="n">
        <f aca="false">IF(AE91=0,0,AF91/AE91)</f>
        <v>0</v>
      </c>
      <c r="AH91" s="358"/>
    </row>
    <row r="92" customFormat="false" ht="15.75" hidden="false" customHeight="true" outlineLevel="0" collapsed="false">
      <c r="A92" s="353"/>
      <c r="B92" s="353"/>
      <c r="C92" s="353"/>
      <c r="D92" s="353"/>
      <c r="E92" s="299" t="n">
        <v>3</v>
      </c>
      <c r="F92" s="354"/>
      <c r="G92" s="304"/>
      <c r="H92" s="355"/>
      <c r="I92" s="299"/>
      <c r="J92" s="300" t="n">
        <f aca="false">IF(H92&lt;&gt;"OTROS",1,0)*IF(I92=1,1,0)</f>
        <v>0</v>
      </c>
      <c r="K92" s="356"/>
      <c r="L92" s="299"/>
      <c r="M92" s="299"/>
      <c r="N92" s="299"/>
      <c r="O92" s="299"/>
      <c r="P92" s="299"/>
      <c r="Q92" s="299"/>
      <c r="R92" s="299"/>
      <c r="S92" s="299"/>
      <c r="T92" s="299"/>
      <c r="U92" s="299"/>
      <c r="V92" s="299"/>
      <c r="W92" s="299"/>
      <c r="X92" s="299"/>
      <c r="Y92" s="299"/>
      <c r="Z92" s="299"/>
      <c r="AA92" s="299"/>
      <c r="AB92" s="299"/>
      <c r="AC92" s="300"/>
      <c r="AD92" s="302" t="n">
        <f aca="false">IF(SUM(L92:AC92)=0,0,SUM(L92:AC92)/'Conformación JD'!$X$13)</f>
        <v>0</v>
      </c>
      <c r="AE92" s="301" t="n">
        <f aca="false">SUM(L92:AC92)</f>
        <v>0</v>
      </c>
      <c r="AF92" s="301" t="n">
        <f aca="false">+AC92+AA92+Y92+W92+U92+S92+Q92+O92+M92</f>
        <v>0</v>
      </c>
      <c r="AG92" s="357" t="n">
        <f aca="false">IF(AE92=0,0,AF92/AE92)</f>
        <v>0</v>
      </c>
      <c r="AH92" s="359"/>
    </row>
    <row r="93" customFormat="false" ht="15.75" hidden="false" customHeight="true" outlineLevel="0" collapsed="false">
      <c r="A93" s="353"/>
      <c r="B93" s="353"/>
      <c r="C93" s="353"/>
      <c r="D93" s="353"/>
      <c r="E93" s="299" t="n">
        <v>4</v>
      </c>
      <c r="F93" s="354"/>
      <c r="G93" s="355"/>
      <c r="H93" s="355"/>
      <c r="I93" s="299"/>
      <c r="J93" s="300" t="n">
        <f aca="false">IF(H93&lt;&gt;"OTROS",1,0)*IF(I93=1,1,0)</f>
        <v>0</v>
      </c>
      <c r="K93" s="356"/>
      <c r="L93" s="299"/>
      <c r="M93" s="299"/>
      <c r="N93" s="299"/>
      <c r="O93" s="299"/>
      <c r="P93" s="299"/>
      <c r="Q93" s="299"/>
      <c r="R93" s="299"/>
      <c r="S93" s="299"/>
      <c r="T93" s="299"/>
      <c r="U93" s="299"/>
      <c r="V93" s="299"/>
      <c r="W93" s="299"/>
      <c r="X93" s="299"/>
      <c r="Y93" s="299"/>
      <c r="Z93" s="299"/>
      <c r="AA93" s="299"/>
      <c r="AB93" s="299"/>
      <c r="AC93" s="300"/>
      <c r="AD93" s="302" t="n">
        <f aca="false">IF(SUM(L93:AC93)=0,0,SUM(L93:AC93)/'Conformación JD'!$X$13)</f>
        <v>0</v>
      </c>
      <c r="AE93" s="301" t="n">
        <f aca="false">SUM(L93:AC93)</f>
        <v>0</v>
      </c>
      <c r="AF93" s="301" t="n">
        <f aca="false">+AC93+AA93+Y93+W93+U93+S93+Q93+O93+M93</f>
        <v>0</v>
      </c>
      <c r="AG93" s="357" t="n">
        <f aca="false">IF(AE93=0,0,AF93/AE93)</f>
        <v>0</v>
      </c>
      <c r="AH93" s="358"/>
    </row>
    <row r="94" customFormat="false" ht="15.75" hidden="false" customHeight="true" outlineLevel="0" collapsed="false">
      <c r="A94" s="353"/>
      <c r="B94" s="353"/>
      <c r="C94" s="353"/>
      <c r="D94" s="353"/>
      <c r="E94" s="299" t="n">
        <v>5</v>
      </c>
      <c r="F94" s="354"/>
      <c r="G94" s="355"/>
      <c r="H94" s="355"/>
      <c r="I94" s="299"/>
      <c r="J94" s="300" t="n">
        <f aca="false">IF(H94&lt;&gt;"OTROS",1,0)*IF(I94=1,1,0)</f>
        <v>0</v>
      </c>
      <c r="K94" s="356"/>
      <c r="L94" s="299"/>
      <c r="M94" s="299"/>
      <c r="N94" s="299"/>
      <c r="O94" s="299"/>
      <c r="P94" s="299"/>
      <c r="Q94" s="299"/>
      <c r="R94" s="299"/>
      <c r="S94" s="299"/>
      <c r="T94" s="299"/>
      <c r="U94" s="299"/>
      <c r="V94" s="299"/>
      <c r="W94" s="299"/>
      <c r="X94" s="299"/>
      <c r="Y94" s="299"/>
      <c r="Z94" s="299"/>
      <c r="AA94" s="299"/>
      <c r="AB94" s="299"/>
      <c r="AC94" s="300"/>
      <c r="AD94" s="302" t="n">
        <f aca="false">IF(SUM(L94:AC94)=0,0,SUM(L94:AC94)/'Conformación JD'!$X$13)</f>
        <v>0</v>
      </c>
      <c r="AE94" s="301" t="n">
        <f aca="false">SUM(L94:AC94)</f>
        <v>0</v>
      </c>
      <c r="AF94" s="301" t="n">
        <f aca="false">+AC94+AA94+Y94+W94+U94+S94+Q94+O94+M94</f>
        <v>0</v>
      </c>
      <c r="AG94" s="357" t="n">
        <f aca="false">IF(AE94=0,0,AF94/AE94)</f>
        <v>0</v>
      </c>
      <c r="AH94" s="358"/>
    </row>
    <row r="95" customFormat="false" ht="15.75" hidden="false" customHeight="true" outlineLevel="0" collapsed="false">
      <c r="A95" s="353"/>
      <c r="B95" s="353"/>
      <c r="C95" s="353"/>
      <c r="D95" s="353"/>
      <c r="E95" s="299" t="n">
        <v>6</v>
      </c>
      <c r="F95" s="354"/>
      <c r="G95" s="355"/>
      <c r="H95" s="355"/>
      <c r="I95" s="299"/>
      <c r="J95" s="300" t="n">
        <f aca="false">IF(H95&lt;&gt;"OTROS",1,0)*IF(I95=1,1,0)</f>
        <v>0</v>
      </c>
      <c r="K95" s="356"/>
      <c r="L95" s="299"/>
      <c r="M95" s="299"/>
      <c r="N95" s="299"/>
      <c r="O95" s="299"/>
      <c r="P95" s="299"/>
      <c r="Q95" s="299"/>
      <c r="R95" s="299"/>
      <c r="S95" s="299"/>
      <c r="T95" s="299"/>
      <c r="U95" s="299"/>
      <c r="V95" s="299"/>
      <c r="W95" s="299"/>
      <c r="X95" s="299"/>
      <c r="Y95" s="299"/>
      <c r="Z95" s="299"/>
      <c r="AA95" s="299"/>
      <c r="AB95" s="299"/>
      <c r="AC95" s="300"/>
      <c r="AD95" s="302" t="n">
        <f aca="false">IF(SUM(L95:AC95)=0,0,SUM(L95:AC95)/'Conformación JD'!$X$13)</f>
        <v>0</v>
      </c>
      <c r="AE95" s="301" t="n">
        <f aca="false">SUM(L95:AC95)</f>
        <v>0</v>
      </c>
      <c r="AF95" s="301" t="n">
        <f aca="false">+AC95+AA95+Y95+W95+U95+S95+Q95+O95+M95</f>
        <v>0</v>
      </c>
      <c r="AG95" s="357" t="n">
        <f aca="false">IF(AE95=0,0,AF95/AE95)</f>
        <v>0</v>
      </c>
      <c r="AH95" s="358"/>
    </row>
    <row r="96" customFormat="false" ht="15.75" hidden="false" customHeight="true" outlineLevel="0" collapsed="false">
      <c r="A96" s="353"/>
      <c r="B96" s="353"/>
      <c r="C96" s="353"/>
      <c r="D96" s="353"/>
      <c r="E96" s="299" t="n">
        <v>7</v>
      </c>
      <c r="F96" s="354"/>
      <c r="G96" s="355"/>
      <c r="H96" s="355"/>
      <c r="I96" s="299"/>
      <c r="J96" s="300" t="n">
        <f aca="false">IF(H96&lt;&gt;"OTROS",1,0)*IF(I96=1,1,0)</f>
        <v>0</v>
      </c>
      <c r="K96" s="356"/>
      <c r="L96" s="299"/>
      <c r="M96" s="299"/>
      <c r="N96" s="299"/>
      <c r="O96" s="299"/>
      <c r="P96" s="299"/>
      <c r="Q96" s="299"/>
      <c r="R96" s="299"/>
      <c r="S96" s="299"/>
      <c r="T96" s="299"/>
      <c r="U96" s="299"/>
      <c r="V96" s="299"/>
      <c r="W96" s="299"/>
      <c r="X96" s="299"/>
      <c r="Y96" s="299"/>
      <c r="Z96" s="299"/>
      <c r="AA96" s="299"/>
      <c r="AB96" s="299"/>
      <c r="AC96" s="300"/>
      <c r="AD96" s="302" t="n">
        <f aca="false">IF(SUM(L96:AC96)=0,0,SUM(L96:AC96)/'Conformación JD'!$X$13)</f>
        <v>0</v>
      </c>
      <c r="AE96" s="301" t="n">
        <f aca="false">SUM(L96:AC96)</f>
        <v>0</v>
      </c>
      <c r="AF96" s="301" t="n">
        <f aca="false">+AC96+AA96+Y96+W96+U96+S96+Q96+O96+M96</f>
        <v>0</v>
      </c>
      <c r="AG96" s="357" t="n">
        <f aca="false">IF(AE96=0,0,AF96/AE96)</f>
        <v>0</v>
      </c>
      <c r="AH96" s="358"/>
    </row>
    <row r="97" customFormat="false" ht="15.75" hidden="false" customHeight="true" outlineLevel="0" collapsed="false">
      <c r="A97" s="353"/>
      <c r="B97" s="353"/>
      <c r="C97" s="353"/>
      <c r="D97" s="353"/>
      <c r="E97" s="299" t="n">
        <v>8</v>
      </c>
      <c r="F97" s="354"/>
      <c r="G97" s="355"/>
      <c r="H97" s="355"/>
      <c r="I97" s="299"/>
      <c r="J97" s="300" t="n">
        <f aca="false">IF(H97&lt;&gt;"OTROS",1,0)*IF(I97=1,1,0)</f>
        <v>0</v>
      </c>
      <c r="K97" s="356"/>
      <c r="L97" s="299"/>
      <c r="M97" s="299"/>
      <c r="N97" s="299"/>
      <c r="O97" s="299"/>
      <c r="P97" s="299"/>
      <c r="Q97" s="299"/>
      <c r="R97" s="299"/>
      <c r="S97" s="299"/>
      <c r="T97" s="299"/>
      <c r="U97" s="299"/>
      <c r="V97" s="299"/>
      <c r="W97" s="299"/>
      <c r="X97" s="299"/>
      <c r="Y97" s="299"/>
      <c r="Z97" s="299"/>
      <c r="AA97" s="299"/>
      <c r="AB97" s="299"/>
      <c r="AC97" s="300"/>
      <c r="AD97" s="302" t="n">
        <f aca="false">IF(SUM(L97:AC97)=0,0,SUM(L97:AC97)/'Conformación JD'!$X$13)</f>
        <v>0</v>
      </c>
      <c r="AE97" s="301" t="n">
        <f aca="false">SUM(L97:AC97)</f>
        <v>0</v>
      </c>
      <c r="AF97" s="301" t="n">
        <f aca="false">+AC97+AA97+Y97+W97+U97+S97+Q97+O97+M97</f>
        <v>0</v>
      </c>
      <c r="AG97" s="357" t="n">
        <f aca="false">IF(AE97=0,0,AF97/AE97)</f>
        <v>0</v>
      </c>
      <c r="AH97" s="358"/>
    </row>
    <row r="98" customFormat="false" ht="15.75" hidden="false" customHeight="true" outlineLevel="0" collapsed="false">
      <c r="A98" s="353"/>
      <c r="B98" s="353"/>
      <c r="C98" s="353"/>
      <c r="D98" s="353"/>
      <c r="E98" s="299" t="n">
        <v>9</v>
      </c>
      <c r="F98" s="354"/>
      <c r="G98" s="355"/>
      <c r="H98" s="355"/>
      <c r="I98" s="299"/>
      <c r="J98" s="300" t="n">
        <f aca="false">IF(H98&lt;&gt;"OTROS",1,0)*IF(I98=1,1,0)</f>
        <v>0</v>
      </c>
      <c r="K98" s="356"/>
      <c r="L98" s="299"/>
      <c r="M98" s="299"/>
      <c r="N98" s="299"/>
      <c r="O98" s="299"/>
      <c r="P98" s="299"/>
      <c r="Q98" s="299"/>
      <c r="R98" s="299"/>
      <c r="S98" s="299"/>
      <c r="T98" s="299"/>
      <c r="U98" s="299"/>
      <c r="V98" s="299"/>
      <c r="W98" s="299"/>
      <c r="X98" s="299"/>
      <c r="Y98" s="299"/>
      <c r="Z98" s="299"/>
      <c r="AA98" s="299"/>
      <c r="AB98" s="299"/>
      <c r="AC98" s="300"/>
      <c r="AD98" s="302" t="n">
        <f aca="false">IF(SUM(L98:AC98)=0,0,SUM(L98:AC98)/'Conformación JD'!$X$13)</f>
        <v>0</v>
      </c>
      <c r="AE98" s="301" t="n">
        <f aca="false">SUM(L98:AC98)</f>
        <v>0</v>
      </c>
      <c r="AF98" s="301" t="n">
        <f aca="false">+AC98+AA98+Y98+W98+U98+S98+Q98+O98+M98</f>
        <v>0</v>
      </c>
      <c r="AG98" s="357" t="n">
        <f aca="false">IF(AE98=0,0,AF98/AE98)</f>
        <v>0</v>
      </c>
      <c r="AH98" s="358"/>
    </row>
    <row r="99" customFormat="false" ht="15.75" hidden="false" customHeight="true" outlineLevel="0" collapsed="false">
      <c r="A99" s="353"/>
      <c r="B99" s="353"/>
      <c r="C99" s="353"/>
      <c r="D99" s="353"/>
      <c r="E99" s="360" t="n">
        <v>10</v>
      </c>
      <c r="F99" s="361"/>
      <c r="G99" s="362"/>
      <c r="H99" s="362"/>
      <c r="I99" s="360"/>
      <c r="J99" s="300" t="n">
        <f aca="false">IF(H99&lt;&gt;"OTROS",1,0)*IF(I99=1,1,0)</f>
        <v>0</v>
      </c>
      <c r="K99" s="356"/>
      <c r="L99" s="360"/>
      <c r="M99" s="360"/>
      <c r="N99" s="360"/>
      <c r="O99" s="360"/>
      <c r="P99" s="360"/>
      <c r="Q99" s="360"/>
      <c r="R99" s="360"/>
      <c r="S99" s="360"/>
      <c r="T99" s="360"/>
      <c r="U99" s="360"/>
      <c r="V99" s="360"/>
      <c r="W99" s="360"/>
      <c r="X99" s="360"/>
      <c r="Y99" s="360"/>
      <c r="Z99" s="360"/>
      <c r="AA99" s="360"/>
      <c r="AB99" s="360"/>
      <c r="AC99" s="363"/>
      <c r="AD99" s="302" t="n">
        <f aca="false">IF(SUM(L99:AC99)=0,0,SUM(L99:AC99)/'Conformación JD'!$X$13)</f>
        <v>0</v>
      </c>
      <c r="AE99" s="301" t="n">
        <f aca="false">SUM(L99:AC99)</f>
        <v>0</v>
      </c>
      <c r="AF99" s="301" t="n">
        <f aca="false">+AC99+AA99+Y99+W99+U99+S99+Q99+O99+M99</f>
        <v>0</v>
      </c>
      <c r="AG99" s="357" t="n">
        <f aca="false">IF(AE99=0,0,AF99/AE99)</f>
        <v>0</v>
      </c>
      <c r="AH99" s="358"/>
    </row>
    <row r="100" customFormat="false" ht="15.75" hidden="false" customHeight="true" outlineLevel="0" collapsed="false">
      <c r="A100" s="305"/>
      <c r="B100" s="305"/>
      <c r="C100" s="305"/>
      <c r="D100" s="305"/>
      <c r="E100" s="364" t="s">
        <v>366</v>
      </c>
      <c r="F100" s="364"/>
      <c r="G100" s="364"/>
      <c r="H100" s="364"/>
      <c r="I100" s="365" t="n">
        <f aca="false">IF((COUNTIF(G90:G99,"&lt;&gt;"))&lt;&gt;0,SUM(I90:I99)/COUNTIF(G90:G99,"&lt;&gt;"),0)</f>
        <v>0</v>
      </c>
      <c r="J100" s="366" t="n">
        <f aca="false">IF((COUNTIF(H90:H99,"&lt;&gt;"))&lt;&gt;0,SUM(J90:J99)/COUNTIF(H90:H99,"&lt;&gt;"),0)</f>
        <v>0</v>
      </c>
      <c r="K100" s="310" t="n">
        <f aca="false">IF((COUNTIF(H90:H99,"&lt;&gt;"))&lt;&gt;0,SUM(K90:K99)/COUNTIF(H90:H99,"&lt;&gt;"),0)</f>
        <v>0</v>
      </c>
      <c r="L100" s="307" t="n">
        <f aca="false">SUM(L90:L99)</f>
        <v>0</v>
      </c>
      <c r="M100" s="307" t="n">
        <f aca="false">SUM(M90:M99)</f>
        <v>0</v>
      </c>
      <c r="N100" s="307" t="n">
        <f aca="false">SUM(N90:N99)</f>
        <v>0</v>
      </c>
      <c r="O100" s="307" t="n">
        <f aca="false">SUM(O90:O99)</f>
        <v>0</v>
      </c>
      <c r="P100" s="307" t="n">
        <f aca="false">SUM(P90:P99)</f>
        <v>0</v>
      </c>
      <c r="Q100" s="307" t="n">
        <f aca="false">SUM(Q90:Q99)</f>
        <v>0</v>
      </c>
      <c r="R100" s="307" t="n">
        <f aca="false">SUM(R90:R99)</f>
        <v>0</v>
      </c>
      <c r="S100" s="307" t="n">
        <f aca="false">SUM(S90:S99)</f>
        <v>0</v>
      </c>
      <c r="T100" s="307" t="n">
        <f aca="false">SUM(T90:T99)</f>
        <v>0</v>
      </c>
      <c r="U100" s="307" t="n">
        <f aca="false">SUM(U90:U99)</f>
        <v>0</v>
      </c>
      <c r="V100" s="307" t="n">
        <f aca="false">SUM(V90:V99)</f>
        <v>0</v>
      </c>
      <c r="W100" s="307" t="n">
        <f aca="false">SUM(W90:W99)</f>
        <v>0</v>
      </c>
      <c r="X100" s="307" t="n">
        <f aca="false">SUM(X90:X99)</f>
        <v>0</v>
      </c>
      <c r="Y100" s="307" t="n">
        <f aca="false">SUM(Y90:Y99)</f>
        <v>0</v>
      </c>
      <c r="Z100" s="307" t="n">
        <f aca="false">SUM(Z90:Z99)</f>
        <v>0</v>
      </c>
      <c r="AA100" s="307" t="n">
        <f aca="false">SUM(AA90:AA99)</f>
        <v>0</v>
      </c>
      <c r="AB100" s="307" t="n">
        <f aca="false">SUM(AB90:AB99)</f>
        <v>0</v>
      </c>
      <c r="AC100" s="307" t="n">
        <f aca="false">SUM(AC90:AC99)</f>
        <v>0</v>
      </c>
      <c r="AD100" s="310" t="n">
        <f aca="false">IF(SUM(AD90:AD99)=0,0,SUM(AD90:AD99)/COUNTIF(AD90:AD99,"&lt;&gt;0"))</f>
        <v>0</v>
      </c>
      <c r="AE100" s="365" t="n">
        <f aca="false">IF(SUM(AE90:AE99)=0,0,SUM(AE90:AE99)/COUNTIF(AE90:AE99,"&lt;&gt;0"))</f>
        <v>0</v>
      </c>
      <c r="AF100" s="365" t="n">
        <f aca="false">IF(SUM(AF90:AF99)=0,0,SUM(AF90:AF99)/COUNTIF(AF90:AF99,"&lt;&gt;0"))</f>
        <v>0</v>
      </c>
      <c r="AG100" s="310" t="n">
        <f aca="false">IF(SUM(AG90:AG99)=0,0,SUM(AG90:AG99)/COUNTIF(AD90:AD99,"&lt;&gt;0"))</f>
        <v>0</v>
      </c>
      <c r="AH100" s="367"/>
    </row>
    <row r="101" customFormat="false" ht="15.75" hidden="false" customHeight="true" outlineLevel="0" collapsed="false">
      <c r="A101" s="287" t="s">
        <v>315</v>
      </c>
      <c r="B101" s="287" t="s">
        <v>316</v>
      </c>
      <c r="C101" s="287" t="s">
        <v>317</v>
      </c>
      <c r="D101" s="288" t="s">
        <v>318</v>
      </c>
      <c r="E101" s="344" t="s">
        <v>349</v>
      </c>
      <c r="F101" s="345" t="s">
        <v>350</v>
      </c>
      <c r="G101" s="346" t="s">
        <v>351</v>
      </c>
      <c r="H101" s="347" t="s">
        <v>352</v>
      </c>
      <c r="I101" s="348" t="s">
        <v>353</v>
      </c>
      <c r="J101" s="348" t="s">
        <v>354</v>
      </c>
      <c r="K101" s="347" t="s">
        <v>355</v>
      </c>
      <c r="L101" s="346" t="s">
        <v>320</v>
      </c>
      <c r="M101" s="346"/>
      <c r="N101" s="346"/>
      <c r="O101" s="346"/>
      <c r="P101" s="346"/>
      <c r="Q101" s="346"/>
      <c r="R101" s="346"/>
      <c r="S101" s="346"/>
      <c r="T101" s="346"/>
      <c r="U101" s="346"/>
      <c r="V101" s="346"/>
      <c r="W101" s="346"/>
      <c r="X101" s="346"/>
      <c r="Y101" s="346"/>
      <c r="Z101" s="346"/>
      <c r="AA101" s="346"/>
      <c r="AB101" s="346"/>
      <c r="AC101" s="346"/>
      <c r="AD101" s="349"/>
      <c r="AE101" s="349"/>
      <c r="AF101" s="349"/>
      <c r="AG101" s="349"/>
      <c r="AH101" s="184"/>
    </row>
    <row r="102" customFormat="false" ht="15.75" hidden="false" customHeight="true" outlineLevel="0" collapsed="false">
      <c r="A102" s="287"/>
      <c r="B102" s="287"/>
      <c r="C102" s="287"/>
      <c r="D102" s="288"/>
      <c r="E102" s="344"/>
      <c r="F102" s="345"/>
      <c r="G102" s="346"/>
      <c r="H102" s="347"/>
      <c r="I102" s="348"/>
      <c r="J102" s="348"/>
      <c r="K102" s="347"/>
      <c r="L102" s="293" t="s">
        <v>321</v>
      </c>
      <c r="M102" s="293"/>
      <c r="N102" s="293" t="s">
        <v>356</v>
      </c>
      <c r="O102" s="293"/>
      <c r="P102" s="293" t="s">
        <v>357</v>
      </c>
      <c r="Q102" s="293"/>
      <c r="R102" s="293" t="s">
        <v>324</v>
      </c>
      <c r="S102" s="293"/>
      <c r="T102" s="293" t="s">
        <v>325</v>
      </c>
      <c r="U102" s="293"/>
      <c r="V102" s="293" t="s">
        <v>326</v>
      </c>
      <c r="W102" s="293"/>
      <c r="X102" s="293" t="s">
        <v>327</v>
      </c>
      <c r="Y102" s="293"/>
      <c r="Z102" s="293" t="s">
        <v>328</v>
      </c>
      <c r="AA102" s="293"/>
      <c r="AB102" s="293" t="s">
        <v>329</v>
      </c>
      <c r="AC102" s="293"/>
      <c r="AD102" s="350" t="s">
        <v>358</v>
      </c>
      <c r="AE102" s="350" t="s">
        <v>359</v>
      </c>
      <c r="AF102" s="350" t="s">
        <v>360</v>
      </c>
      <c r="AG102" s="350" t="s">
        <v>361</v>
      </c>
      <c r="AH102" s="351" t="s">
        <v>362</v>
      </c>
    </row>
    <row r="103" customFormat="false" ht="44.25" hidden="false" customHeight="true" outlineLevel="0" collapsed="false">
      <c r="A103" s="287"/>
      <c r="B103" s="287"/>
      <c r="C103" s="287"/>
      <c r="D103" s="288"/>
      <c r="E103" s="344"/>
      <c r="F103" s="345"/>
      <c r="G103" s="346"/>
      <c r="H103" s="347"/>
      <c r="I103" s="348"/>
      <c r="J103" s="348"/>
      <c r="K103" s="347"/>
      <c r="L103" s="295" t="s">
        <v>68</v>
      </c>
      <c r="M103" s="295" t="s">
        <v>298</v>
      </c>
      <c r="N103" s="295" t="s">
        <v>68</v>
      </c>
      <c r="O103" s="295" t="s">
        <v>298</v>
      </c>
      <c r="P103" s="295" t="s">
        <v>68</v>
      </c>
      <c r="Q103" s="295" t="s">
        <v>298</v>
      </c>
      <c r="R103" s="295" t="s">
        <v>68</v>
      </c>
      <c r="S103" s="295" t="s">
        <v>298</v>
      </c>
      <c r="T103" s="295" t="s">
        <v>68</v>
      </c>
      <c r="U103" s="295" t="s">
        <v>298</v>
      </c>
      <c r="V103" s="295" t="s">
        <v>68</v>
      </c>
      <c r="W103" s="295" t="s">
        <v>298</v>
      </c>
      <c r="X103" s="295" t="s">
        <v>68</v>
      </c>
      <c r="Y103" s="295" t="s">
        <v>298</v>
      </c>
      <c r="Z103" s="295" t="s">
        <v>68</v>
      </c>
      <c r="AA103" s="295" t="s">
        <v>298</v>
      </c>
      <c r="AB103" s="295" t="s">
        <v>68</v>
      </c>
      <c r="AC103" s="296" t="s">
        <v>298</v>
      </c>
      <c r="AD103" s="350"/>
      <c r="AE103" s="350"/>
      <c r="AF103" s="350"/>
      <c r="AG103" s="350"/>
      <c r="AH103" s="351"/>
    </row>
    <row r="104" customFormat="false" ht="15.75" hidden="false" customHeight="true" outlineLevel="0" collapsed="false">
      <c r="A104" s="353" t="n">
        <f aca="false">'Listado CAPS'!A101</f>
        <v>0</v>
      </c>
      <c r="B104" s="353" t="n">
        <f aca="false">'Listado CAPS'!B101</f>
        <v>0</v>
      </c>
      <c r="C104" s="353" t="n">
        <f aca="false">'Listado CAPS'!C101</f>
        <v>0</v>
      </c>
      <c r="D104" s="353" t="str">
        <f aca="false">'Listado CAPS'!D10</f>
        <v>H</v>
      </c>
      <c r="E104" s="299" t="n">
        <v>1</v>
      </c>
      <c r="F104" s="354"/>
      <c r="G104" s="304"/>
      <c r="H104" s="355"/>
      <c r="I104" s="299"/>
      <c r="J104" s="300" t="n">
        <f aca="false">IF(H104&lt;&gt;"OTROS",1,0)*IF(I104=1,1,0)</f>
        <v>0</v>
      </c>
      <c r="K104" s="356"/>
      <c r="L104" s="299"/>
      <c r="M104" s="299"/>
      <c r="N104" s="299"/>
      <c r="O104" s="299"/>
      <c r="P104" s="299"/>
      <c r="Q104" s="299"/>
      <c r="R104" s="299"/>
      <c r="S104" s="299"/>
      <c r="T104" s="299"/>
      <c r="U104" s="299"/>
      <c r="V104" s="299"/>
      <c r="W104" s="299"/>
      <c r="X104" s="299"/>
      <c r="Y104" s="299"/>
      <c r="Z104" s="299"/>
      <c r="AA104" s="299"/>
      <c r="AB104" s="299"/>
      <c r="AC104" s="300"/>
      <c r="AD104" s="302" t="n">
        <f aca="false">IF(SUM(L104:AC104)=0,0,SUM(L104:AC104)/'Conformación JD'!$X$14)</f>
        <v>0</v>
      </c>
      <c r="AE104" s="301" t="n">
        <f aca="false">SUM(L104:AC104)</f>
        <v>0</v>
      </c>
      <c r="AF104" s="301" t="n">
        <f aca="false">+AC104+AA104+Y104+W104+U104+S104+Q104+O104+M104</f>
        <v>0</v>
      </c>
      <c r="AG104" s="357" t="n">
        <f aca="false">IF(AE104=0,0,AF104/AE104)</f>
        <v>0</v>
      </c>
      <c r="AH104" s="299"/>
    </row>
    <row r="105" customFormat="false" ht="15.75" hidden="false" customHeight="true" outlineLevel="0" collapsed="false">
      <c r="A105" s="353"/>
      <c r="B105" s="353"/>
      <c r="C105" s="353"/>
      <c r="D105" s="353"/>
      <c r="E105" s="299" t="n">
        <v>2</v>
      </c>
      <c r="F105" s="354"/>
      <c r="G105" s="304"/>
      <c r="H105" s="355"/>
      <c r="I105" s="299"/>
      <c r="J105" s="300" t="n">
        <f aca="false">IF(H105&lt;&gt;"OTROS",1,0)*IF(I105=1,1,0)</f>
        <v>0</v>
      </c>
      <c r="K105" s="356"/>
      <c r="L105" s="299"/>
      <c r="M105" s="299"/>
      <c r="N105" s="299"/>
      <c r="O105" s="299"/>
      <c r="P105" s="299"/>
      <c r="Q105" s="299"/>
      <c r="R105" s="299"/>
      <c r="S105" s="299"/>
      <c r="T105" s="299"/>
      <c r="U105" s="299"/>
      <c r="V105" s="299"/>
      <c r="W105" s="299"/>
      <c r="X105" s="299"/>
      <c r="Y105" s="299"/>
      <c r="Z105" s="299"/>
      <c r="AA105" s="299"/>
      <c r="AB105" s="299"/>
      <c r="AC105" s="300"/>
      <c r="AD105" s="302" t="n">
        <f aca="false">IF(SUM(L105:AC105)=0,0,SUM(L105:AC105)/'Conformación JD'!$X$14)</f>
        <v>0</v>
      </c>
      <c r="AE105" s="301" t="n">
        <f aca="false">SUM(L105:AC105)</f>
        <v>0</v>
      </c>
      <c r="AF105" s="301" t="n">
        <f aca="false">+AC105+AA105+Y105+W105+U105+S105+Q105+O105+M105</f>
        <v>0</v>
      </c>
      <c r="AG105" s="357" t="n">
        <f aca="false">IF(AE105=0,0,AF105/AE105)</f>
        <v>0</v>
      </c>
      <c r="AH105" s="358"/>
    </row>
    <row r="106" customFormat="false" ht="15.75" hidden="false" customHeight="true" outlineLevel="0" collapsed="false">
      <c r="A106" s="353"/>
      <c r="B106" s="353"/>
      <c r="C106" s="353"/>
      <c r="D106" s="353"/>
      <c r="E106" s="299" t="n">
        <v>3</v>
      </c>
      <c r="F106" s="354"/>
      <c r="G106" s="304"/>
      <c r="H106" s="355"/>
      <c r="I106" s="299"/>
      <c r="J106" s="300" t="n">
        <f aca="false">IF(H106&lt;&gt;"OTROS",1,0)*IF(I106=1,1,0)</f>
        <v>0</v>
      </c>
      <c r="K106" s="356"/>
      <c r="L106" s="299"/>
      <c r="M106" s="299"/>
      <c r="N106" s="299"/>
      <c r="O106" s="299"/>
      <c r="P106" s="299"/>
      <c r="Q106" s="299"/>
      <c r="R106" s="299"/>
      <c r="S106" s="299"/>
      <c r="T106" s="299"/>
      <c r="U106" s="299"/>
      <c r="V106" s="299"/>
      <c r="W106" s="299"/>
      <c r="X106" s="299"/>
      <c r="Y106" s="299"/>
      <c r="Z106" s="299"/>
      <c r="AA106" s="299"/>
      <c r="AB106" s="299"/>
      <c r="AC106" s="300"/>
      <c r="AD106" s="302" t="n">
        <f aca="false">IF(SUM(L106:AC106)=0,0,SUM(L106:AC106)/'Conformación JD'!$X$14)</f>
        <v>0</v>
      </c>
      <c r="AE106" s="301" t="n">
        <f aca="false">SUM(L106:AC106)</f>
        <v>0</v>
      </c>
      <c r="AF106" s="301" t="n">
        <f aca="false">+AC106+AA106+Y106+W106+U106+S106+Q106+O106+M106</f>
        <v>0</v>
      </c>
      <c r="AG106" s="357" t="n">
        <f aca="false">IF(AE106=0,0,AF106/AE106)</f>
        <v>0</v>
      </c>
      <c r="AH106" s="359"/>
    </row>
    <row r="107" customFormat="false" ht="15.75" hidden="false" customHeight="true" outlineLevel="0" collapsed="false">
      <c r="A107" s="353"/>
      <c r="B107" s="353"/>
      <c r="C107" s="353"/>
      <c r="D107" s="353"/>
      <c r="E107" s="299" t="n">
        <v>4</v>
      </c>
      <c r="F107" s="354"/>
      <c r="G107" s="355"/>
      <c r="H107" s="355"/>
      <c r="I107" s="299"/>
      <c r="J107" s="300" t="n">
        <f aca="false">IF(H107&lt;&gt;"OTROS",1,0)*IF(I107=1,1,0)</f>
        <v>0</v>
      </c>
      <c r="K107" s="356"/>
      <c r="L107" s="299"/>
      <c r="M107" s="299"/>
      <c r="N107" s="299"/>
      <c r="O107" s="299"/>
      <c r="P107" s="299"/>
      <c r="Q107" s="299"/>
      <c r="R107" s="299"/>
      <c r="S107" s="299"/>
      <c r="T107" s="299"/>
      <c r="U107" s="299"/>
      <c r="V107" s="299"/>
      <c r="W107" s="299"/>
      <c r="X107" s="299"/>
      <c r="Y107" s="299"/>
      <c r="Z107" s="299"/>
      <c r="AA107" s="299"/>
      <c r="AB107" s="299"/>
      <c r="AC107" s="300"/>
      <c r="AD107" s="302" t="n">
        <f aca="false">IF(SUM(L107:AC107)=0,0,SUM(L107:AC107)/'Conformación JD'!$X$14)</f>
        <v>0</v>
      </c>
      <c r="AE107" s="301" t="n">
        <f aca="false">SUM(L107:AC107)</f>
        <v>0</v>
      </c>
      <c r="AF107" s="301" t="n">
        <f aca="false">+AC107+AA107+Y107+W107+U107+S107+Q107+O107+M107</f>
        <v>0</v>
      </c>
      <c r="AG107" s="357" t="n">
        <f aca="false">IF(AE107=0,0,AF107/AE107)</f>
        <v>0</v>
      </c>
      <c r="AH107" s="358"/>
    </row>
    <row r="108" customFormat="false" ht="15.75" hidden="false" customHeight="true" outlineLevel="0" collapsed="false">
      <c r="A108" s="353"/>
      <c r="B108" s="353"/>
      <c r="C108" s="353"/>
      <c r="D108" s="353"/>
      <c r="E108" s="299" t="n">
        <v>5</v>
      </c>
      <c r="F108" s="354"/>
      <c r="G108" s="355"/>
      <c r="H108" s="355"/>
      <c r="I108" s="299"/>
      <c r="J108" s="300" t="n">
        <f aca="false">IF(H108&lt;&gt;"OTROS",1,0)*IF(I108=1,1,0)</f>
        <v>0</v>
      </c>
      <c r="K108" s="356"/>
      <c r="L108" s="299"/>
      <c r="M108" s="299"/>
      <c r="N108" s="299"/>
      <c r="O108" s="299"/>
      <c r="P108" s="299"/>
      <c r="Q108" s="299"/>
      <c r="R108" s="299"/>
      <c r="S108" s="299"/>
      <c r="T108" s="299"/>
      <c r="U108" s="299"/>
      <c r="V108" s="299"/>
      <c r="W108" s="299"/>
      <c r="X108" s="299"/>
      <c r="Y108" s="299"/>
      <c r="Z108" s="299"/>
      <c r="AA108" s="299"/>
      <c r="AB108" s="299"/>
      <c r="AC108" s="300"/>
      <c r="AD108" s="302" t="n">
        <f aca="false">IF(SUM(L108:AC108)=0,0,SUM(L108:AC108)/'Conformación JD'!$X$14)</f>
        <v>0</v>
      </c>
      <c r="AE108" s="301" t="n">
        <f aca="false">SUM(L108:AC108)</f>
        <v>0</v>
      </c>
      <c r="AF108" s="301" t="n">
        <f aca="false">+AC108+AA108+Y108+W108+U108+S108+Q108+O108+M108</f>
        <v>0</v>
      </c>
      <c r="AG108" s="357" t="n">
        <f aca="false">IF(AE108=0,0,AF108/AE108)</f>
        <v>0</v>
      </c>
      <c r="AH108" s="358"/>
    </row>
    <row r="109" customFormat="false" ht="15.75" hidden="false" customHeight="true" outlineLevel="0" collapsed="false">
      <c r="A109" s="353"/>
      <c r="B109" s="353"/>
      <c r="C109" s="353"/>
      <c r="D109" s="353"/>
      <c r="E109" s="299" t="n">
        <v>6</v>
      </c>
      <c r="F109" s="354"/>
      <c r="G109" s="355"/>
      <c r="H109" s="355"/>
      <c r="I109" s="299"/>
      <c r="J109" s="300" t="n">
        <f aca="false">IF(H109&lt;&gt;"OTROS",1,0)*IF(I109=1,1,0)</f>
        <v>0</v>
      </c>
      <c r="K109" s="356"/>
      <c r="L109" s="299"/>
      <c r="M109" s="299"/>
      <c r="N109" s="299"/>
      <c r="O109" s="299"/>
      <c r="P109" s="299"/>
      <c r="Q109" s="299"/>
      <c r="R109" s="299"/>
      <c r="S109" s="299"/>
      <c r="T109" s="299"/>
      <c r="U109" s="299"/>
      <c r="V109" s="299"/>
      <c r="W109" s="299"/>
      <c r="X109" s="299"/>
      <c r="Y109" s="299"/>
      <c r="Z109" s="299"/>
      <c r="AA109" s="299"/>
      <c r="AB109" s="299"/>
      <c r="AC109" s="300"/>
      <c r="AD109" s="302" t="n">
        <f aca="false">IF(SUM(L109:AC109)=0,0,SUM(L109:AC109)/'Conformación JD'!$X$14)</f>
        <v>0</v>
      </c>
      <c r="AE109" s="301" t="n">
        <f aca="false">SUM(L109:AC109)</f>
        <v>0</v>
      </c>
      <c r="AF109" s="301" t="n">
        <f aca="false">+AC109+AA109+Y109+W109+U109+S109+Q109+O109+M109</f>
        <v>0</v>
      </c>
      <c r="AG109" s="357" t="n">
        <f aca="false">IF(AE109=0,0,AF109/AE109)</f>
        <v>0</v>
      </c>
      <c r="AH109" s="358"/>
    </row>
    <row r="110" customFormat="false" ht="15.75" hidden="false" customHeight="true" outlineLevel="0" collapsed="false">
      <c r="A110" s="353"/>
      <c r="B110" s="353"/>
      <c r="C110" s="353"/>
      <c r="D110" s="353"/>
      <c r="E110" s="299" t="n">
        <v>7</v>
      </c>
      <c r="F110" s="354"/>
      <c r="G110" s="355"/>
      <c r="H110" s="355"/>
      <c r="I110" s="299"/>
      <c r="J110" s="300" t="n">
        <f aca="false">IF(H110&lt;&gt;"OTROS",1,0)*IF(I110=1,1,0)</f>
        <v>0</v>
      </c>
      <c r="K110" s="356"/>
      <c r="L110" s="299"/>
      <c r="M110" s="299"/>
      <c r="N110" s="299"/>
      <c r="O110" s="299"/>
      <c r="P110" s="299"/>
      <c r="Q110" s="299"/>
      <c r="R110" s="299"/>
      <c r="S110" s="299"/>
      <c r="T110" s="299"/>
      <c r="U110" s="299"/>
      <c r="V110" s="299"/>
      <c r="W110" s="299"/>
      <c r="X110" s="299"/>
      <c r="Y110" s="299"/>
      <c r="Z110" s="299"/>
      <c r="AA110" s="299"/>
      <c r="AB110" s="299"/>
      <c r="AC110" s="300"/>
      <c r="AD110" s="302" t="n">
        <f aca="false">IF(SUM(L110:AC110)=0,0,SUM(L110:AC110)/'Conformación JD'!$X$14)</f>
        <v>0</v>
      </c>
      <c r="AE110" s="301" t="n">
        <f aca="false">SUM(L110:AC110)</f>
        <v>0</v>
      </c>
      <c r="AF110" s="301" t="n">
        <f aca="false">+AC110+AA110+Y110+W110+U110+S110+Q110+O110+M110</f>
        <v>0</v>
      </c>
      <c r="AG110" s="357" t="n">
        <f aca="false">IF(AE110=0,0,AF110/AE110)</f>
        <v>0</v>
      </c>
      <c r="AH110" s="358"/>
    </row>
    <row r="111" customFormat="false" ht="15.75" hidden="false" customHeight="true" outlineLevel="0" collapsed="false">
      <c r="A111" s="353"/>
      <c r="B111" s="353"/>
      <c r="C111" s="353"/>
      <c r="D111" s="353"/>
      <c r="E111" s="299" t="n">
        <v>8</v>
      </c>
      <c r="F111" s="354"/>
      <c r="G111" s="355"/>
      <c r="H111" s="355"/>
      <c r="I111" s="299"/>
      <c r="J111" s="300" t="n">
        <f aca="false">IF(H111&lt;&gt;"OTROS",1,0)*IF(I111=1,1,0)</f>
        <v>0</v>
      </c>
      <c r="K111" s="356"/>
      <c r="L111" s="299"/>
      <c r="M111" s="299"/>
      <c r="N111" s="299"/>
      <c r="O111" s="299"/>
      <c r="P111" s="299"/>
      <c r="Q111" s="299"/>
      <c r="R111" s="299"/>
      <c r="S111" s="299"/>
      <c r="T111" s="299"/>
      <c r="U111" s="299"/>
      <c r="V111" s="299"/>
      <c r="W111" s="299"/>
      <c r="X111" s="299"/>
      <c r="Y111" s="299"/>
      <c r="Z111" s="299"/>
      <c r="AA111" s="299"/>
      <c r="AB111" s="299"/>
      <c r="AC111" s="300"/>
      <c r="AD111" s="302" t="n">
        <f aca="false">IF(SUM(L111:AC111)=0,0,SUM(L111:AC111)/'Conformación JD'!$X$14)</f>
        <v>0</v>
      </c>
      <c r="AE111" s="301" t="n">
        <f aca="false">SUM(L111:AC111)</f>
        <v>0</v>
      </c>
      <c r="AF111" s="301" t="n">
        <f aca="false">+AC111+AA111+Y111+W111+U111+S111+Q111+O111+M111</f>
        <v>0</v>
      </c>
      <c r="AG111" s="357" t="n">
        <f aca="false">IF(AE111=0,0,AF111/AE111)</f>
        <v>0</v>
      </c>
      <c r="AH111" s="358"/>
    </row>
    <row r="112" customFormat="false" ht="15.75" hidden="false" customHeight="true" outlineLevel="0" collapsed="false">
      <c r="A112" s="353"/>
      <c r="B112" s="353"/>
      <c r="C112" s="353"/>
      <c r="D112" s="353"/>
      <c r="E112" s="299" t="n">
        <v>9</v>
      </c>
      <c r="F112" s="354"/>
      <c r="G112" s="355"/>
      <c r="H112" s="355"/>
      <c r="I112" s="299"/>
      <c r="J112" s="300" t="n">
        <f aca="false">IF(H112&lt;&gt;"OTROS",1,0)*IF(I112=1,1,0)</f>
        <v>0</v>
      </c>
      <c r="K112" s="356"/>
      <c r="L112" s="299"/>
      <c r="M112" s="299"/>
      <c r="N112" s="299"/>
      <c r="O112" s="299"/>
      <c r="P112" s="299"/>
      <c r="Q112" s="299"/>
      <c r="R112" s="299"/>
      <c r="S112" s="299"/>
      <c r="T112" s="299"/>
      <c r="U112" s="299"/>
      <c r="V112" s="299"/>
      <c r="W112" s="299"/>
      <c r="X112" s="299"/>
      <c r="Y112" s="299"/>
      <c r="Z112" s="299"/>
      <c r="AA112" s="299"/>
      <c r="AB112" s="299"/>
      <c r="AC112" s="300"/>
      <c r="AD112" s="302" t="n">
        <f aca="false">IF(SUM(L112:AC112)=0,0,SUM(L112:AC112)/'Conformación JD'!$X$14)</f>
        <v>0</v>
      </c>
      <c r="AE112" s="301" t="n">
        <f aca="false">SUM(L112:AC112)</f>
        <v>0</v>
      </c>
      <c r="AF112" s="301" t="n">
        <f aca="false">+AC112+AA112+Y112+W112+U112+S112+Q112+O112+M112</f>
        <v>0</v>
      </c>
      <c r="AG112" s="357" t="n">
        <f aca="false">IF(AE112=0,0,AF112/AE112)</f>
        <v>0</v>
      </c>
      <c r="AH112" s="358"/>
    </row>
    <row r="113" customFormat="false" ht="15.75" hidden="false" customHeight="true" outlineLevel="0" collapsed="false">
      <c r="A113" s="353"/>
      <c r="B113" s="353"/>
      <c r="C113" s="353"/>
      <c r="D113" s="353"/>
      <c r="E113" s="360" t="n">
        <v>10</v>
      </c>
      <c r="F113" s="361"/>
      <c r="G113" s="362"/>
      <c r="H113" s="362"/>
      <c r="I113" s="360"/>
      <c r="J113" s="300" t="n">
        <f aca="false">IF(H113&lt;&gt;"OTROS",1,0)*IF(I113=1,1,0)</f>
        <v>0</v>
      </c>
      <c r="K113" s="356"/>
      <c r="L113" s="360"/>
      <c r="M113" s="360"/>
      <c r="N113" s="360"/>
      <c r="O113" s="360"/>
      <c r="P113" s="360"/>
      <c r="Q113" s="360"/>
      <c r="R113" s="360"/>
      <c r="S113" s="360"/>
      <c r="T113" s="360"/>
      <c r="U113" s="360"/>
      <c r="V113" s="360"/>
      <c r="W113" s="360"/>
      <c r="X113" s="360"/>
      <c r="Y113" s="360"/>
      <c r="Z113" s="360"/>
      <c r="AA113" s="360"/>
      <c r="AB113" s="360"/>
      <c r="AC113" s="363"/>
      <c r="AD113" s="302" t="n">
        <f aca="false">IF(SUM(L113:AC113)=0,0,SUM(L113:AC113)/'Conformación JD'!$X$14)</f>
        <v>0</v>
      </c>
      <c r="AE113" s="301" t="n">
        <f aca="false">SUM(L113:AC113)</f>
        <v>0</v>
      </c>
      <c r="AF113" s="301" t="n">
        <f aca="false">+AC113+AA113+Y113+W113+U113+S113+Q113+O113+M113</f>
        <v>0</v>
      </c>
      <c r="AG113" s="357" t="n">
        <f aca="false">IF(AE113=0,0,AF113/AE113)</f>
        <v>0</v>
      </c>
      <c r="AH113" s="358"/>
    </row>
    <row r="114" customFormat="false" ht="15.75" hidden="false" customHeight="true" outlineLevel="0" collapsed="false">
      <c r="A114" s="305"/>
      <c r="B114" s="305"/>
      <c r="C114" s="305"/>
      <c r="D114" s="305"/>
      <c r="E114" s="364" t="s">
        <v>366</v>
      </c>
      <c r="F114" s="364"/>
      <c r="G114" s="364"/>
      <c r="H114" s="364"/>
      <c r="I114" s="365" t="n">
        <f aca="false">IF((COUNTIF(G104:G113,"&lt;&gt;"))&lt;&gt;0,SUM(I104:I113)/COUNTIF(G104:G113,"&lt;&gt;"),0)</f>
        <v>0</v>
      </c>
      <c r="J114" s="366" t="n">
        <f aca="false">IF((COUNTIF(H104:H113,"&lt;&gt;"))&lt;&gt;0,SUM(J104:J113)/COUNTIF(H104:H113,"&lt;&gt;"),0)</f>
        <v>0</v>
      </c>
      <c r="K114" s="310" t="n">
        <f aca="false">IF((COUNTIF(H104:H113,"&lt;&gt;"))&lt;&gt;0,SUM(K104:K113)/COUNTIF(H104:H113,"&lt;&gt;"),0)</f>
        <v>0</v>
      </c>
      <c r="L114" s="307" t="n">
        <f aca="false">SUM(L104:L113)</f>
        <v>0</v>
      </c>
      <c r="M114" s="307" t="n">
        <f aca="false">SUM(M104:M113)</f>
        <v>0</v>
      </c>
      <c r="N114" s="307" t="n">
        <f aca="false">SUM(N104:N113)</f>
        <v>0</v>
      </c>
      <c r="O114" s="307" t="n">
        <f aca="false">SUM(O104:O113)</f>
        <v>0</v>
      </c>
      <c r="P114" s="307" t="n">
        <f aca="false">SUM(P104:P113)</f>
        <v>0</v>
      </c>
      <c r="Q114" s="307" t="n">
        <f aca="false">SUM(Q104:Q113)</f>
        <v>0</v>
      </c>
      <c r="R114" s="307" t="n">
        <f aca="false">SUM(R104:R113)</f>
        <v>0</v>
      </c>
      <c r="S114" s="307" t="n">
        <f aca="false">SUM(S104:S113)</f>
        <v>0</v>
      </c>
      <c r="T114" s="307" t="n">
        <f aca="false">SUM(T104:T113)</f>
        <v>0</v>
      </c>
      <c r="U114" s="307" t="n">
        <f aca="false">SUM(U104:U113)</f>
        <v>0</v>
      </c>
      <c r="V114" s="307" t="n">
        <f aca="false">SUM(V104:V113)</f>
        <v>0</v>
      </c>
      <c r="W114" s="307" t="n">
        <f aca="false">SUM(W104:W113)</f>
        <v>0</v>
      </c>
      <c r="X114" s="307" t="n">
        <f aca="false">SUM(X104:X113)</f>
        <v>0</v>
      </c>
      <c r="Y114" s="307" t="n">
        <f aca="false">SUM(Y104:Y113)</f>
        <v>0</v>
      </c>
      <c r="Z114" s="307" t="n">
        <f aca="false">SUM(Z104:Z113)</f>
        <v>0</v>
      </c>
      <c r="AA114" s="307" t="n">
        <f aca="false">SUM(AA104:AA113)</f>
        <v>0</v>
      </c>
      <c r="AB114" s="307" t="n">
        <f aca="false">SUM(AB104:AB113)</f>
        <v>0</v>
      </c>
      <c r="AC114" s="307" t="n">
        <f aca="false">SUM(AC104:AC113)</f>
        <v>0</v>
      </c>
      <c r="AD114" s="310" t="n">
        <f aca="false">IF(SUM(AD104:AD113)=0,0,SUM(AD104:AD113)/COUNTIF(AD104:AD113,"&lt;&gt;0"))</f>
        <v>0</v>
      </c>
      <c r="AE114" s="365" t="n">
        <f aca="false">IF(SUM(AE104:AE113)=0,0,SUM(AE104:AE113)/COUNTIF(AE104:AE113,"&lt;&gt;0"))</f>
        <v>0</v>
      </c>
      <c r="AF114" s="365" t="n">
        <f aca="false">IF(SUM(AF104:AF113)=0,0,SUM(AF104:AF113)/COUNTIF(AF104:AF113,"&lt;&gt;0"))</f>
        <v>0</v>
      </c>
      <c r="AG114" s="310" t="n">
        <f aca="false">IF(SUM(AG104:AG113)=0,0,SUM(AG104:AG113)/COUNTIF(AD104:AD113,"&lt;&gt;0"))</f>
        <v>0</v>
      </c>
      <c r="AH114" s="367"/>
    </row>
    <row r="115" customFormat="false" ht="15.75" hidden="false" customHeight="true" outlineLevel="0" collapsed="false">
      <c r="A115" s="287" t="s">
        <v>315</v>
      </c>
      <c r="B115" s="287" t="s">
        <v>316</v>
      </c>
      <c r="C115" s="287" t="s">
        <v>317</v>
      </c>
      <c r="D115" s="288" t="s">
        <v>318</v>
      </c>
      <c r="E115" s="344" t="s">
        <v>349</v>
      </c>
      <c r="F115" s="345" t="s">
        <v>350</v>
      </c>
      <c r="G115" s="346" t="s">
        <v>351</v>
      </c>
      <c r="H115" s="347" t="s">
        <v>352</v>
      </c>
      <c r="I115" s="348" t="s">
        <v>353</v>
      </c>
      <c r="J115" s="348" t="s">
        <v>354</v>
      </c>
      <c r="K115" s="347" t="s">
        <v>355</v>
      </c>
      <c r="L115" s="346" t="s">
        <v>320</v>
      </c>
      <c r="M115" s="346"/>
      <c r="N115" s="346"/>
      <c r="O115" s="346"/>
      <c r="P115" s="346"/>
      <c r="Q115" s="346"/>
      <c r="R115" s="346"/>
      <c r="S115" s="346"/>
      <c r="T115" s="346"/>
      <c r="U115" s="346"/>
      <c r="V115" s="346"/>
      <c r="W115" s="346"/>
      <c r="X115" s="346"/>
      <c r="Y115" s="346"/>
      <c r="Z115" s="346"/>
      <c r="AA115" s="346"/>
      <c r="AB115" s="346"/>
      <c r="AC115" s="346"/>
      <c r="AD115" s="349"/>
      <c r="AE115" s="349"/>
      <c r="AF115" s="349"/>
      <c r="AG115" s="349"/>
      <c r="AH115" s="184"/>
    </row>
    <row r="116" customFormat="false" ht="15.75" hidden="false" customHeight="true" outlineLevel="0" collapsed="false">
      <c r="A116" s="287"/>
      <c r="B116" s="287"/>
      <c r="C116" s="287"/>
      <c r="D116" s="288"/>
      <c r="E116" s="344"/>
      <c r="F116" s="345"/>
      <c r="G116" s="346"/>
      <c r="H116" s="347"/>
      <c r="I116" s="348"/>
      <c r="J116" s="348"/>
      <c r="K116" s="347"/>
      <c r="L116" s="293" t="s">
        <v>321</v>
      </c>
      <c r="M116" s="293"/>
      <c r="N116" s="293" t="s">
        <v>356</v>
      </c>
      <c r="O116" s="293"/>
      <c r="P116" s="293" t="s">
        <v>357</v>
      </c>
      <c r="Q116" s="293"/>
      <c r="R116" s="293" t="s">
        <v>324</v>
      </c>
      <c r="S116" s="293"/>
      <c r="T116" s="293" t="s">
        <v>325</v>
      </c>
      <c r="U116" s="293"/>
      <c r="V116" s="293" t="s">
        <v>326</v>
      </c>
      <c r="W116" s="293"/>
      <c r="X116" s="293" t="s">
        <v>327</v>
      </c>
      <c r="Y116" s="293"/>
      <c r="Z116" s="293" t="s">
        <v>328</v>
      </c>
      <c r="AA116" s="293"/>
      <c r="AB116" s="293" t="s">
        <v>329</v>
      </c>
      <c r="AC116" s="293"/>
      <c r="AD116" s="350" t="s">
        <v>358</v>
      </c>
      <c r="AE116" s="350" t="s">
        <v>359</v>
      </c>
      <c r="AF116" s="350" t="s">
        <v>360</v>
      </c>
      <c r="AG116" s="350" t="s">
        <v>361</v>
      </c>
      <c r="AH116" s="351" t="s">
        <v>362</v>
      </c>
    </row>
    <row r="117" customFormat="false" ht="40.5" hidden="false" customHeight="true" outlineLevel="0" collapsed="false">
      <c r="A117" s="287"/>
      <c r="B117" s="287"/>
      <c r="C117" s="287"/>
      <c r="D117" s="288"/>
      <c r="E117" s="344"/>
      <c r="F117" s="345"/>
      <c r="G117" s="346"/>
      <c r="H117" s="347"/>
      <c r="I117" s="348"/>
      <c r="J117" s="348"/>
      <c r="K117" s="347"/>
      <c r="L117" s="295" t="s">
        <v>68</v>
      </c>
      <c r="M117" s="295" t="s">
        <v>298</v>
      </c>
      <c r="N117" s="295" t="s">
        <v>68</v>
      </c>
      <c r="O117" s="295" t="s">
        <v>298</v>
      </c>
      <c r="P117" s="295" t="s">
        <v>68</v>
      </c>
      <c r="Q117" s="295" t="s">
        <v>298</v>
      </c>
      <c r="R117" s="295" t="s">
        <v>68</v>
      </c>
      <c r="S117" s="295" t="s">
        <v>298</v>
      </c>
      <c r="T117" s="295" t="s">
        <v>68</v>
      </c>
      <c r="U117" s="295" t="s">
        <v>298</v>
      </c>
      <c r="V117" s="295" t="s">
        <v>68</v>
      </c>
      <c r="W117" s="295" t="s">
        <v>298</v>
      </c>
      <c r="X117" s="295" t="s">
        <v>68</v>
      </c>
      <c r="Y117" s="295" t="s">
        <v>298</v>
      </c>
      <c r="Z117" s="295" t="s">
        <v>68</v>
      </c>
      <c r="AA117" s="295" t="s">
        <v>298</v>
      </c>
      <c r="AB117" s="295" t="s">
        <v>68</v>
      </c>
      <c r="AC117" s="296" t="s">
        <v>298</v>
      </c>
      <c r="AD117" s="350"/>
      <c r="AE117" s="350"/>
      <c r="AF117" s="350"/>
      <c r="AG117" s="350"/>
      <c r="AH117" s="351"/>
    </row>
    <row r="118" customFormat="false" ht="15.75" hidden="false" customHeight="true" outlineLevel="0" collapsed="false">
      <c r="A118" s="353" t="n">
        <f aca="false">'Listado CAPS'!A115</f>
        <v>0</v>
      </c>
      <c r="B118" s="353" t="n">
        <f aca="false">'Listado CAPS'!B115</f>
        <v>0</v>
      </c>
      <c r="C118" s="353" t="n">
        <f aca="false">'Listado CAPS'!C115</f>
        <v>0</v>
      </c>
      <c r="D118" s="353" t="str">
        <f aca="false">'Listado CAPS'!D11</f>
        <v>I</v>
      </c>
      <c r="E118" s="299" t="n">
        <v>1</v>
      </c>
      <c r="F118" s="354"/>
      <c r="G118" s="304"/>
      <c r="H118" s="355"/>
      <c r="I118" s="299"/>
      <c r="J118" s="300" t="n">
        <f aca="false">IF(H118&lt;&gt;"OTROS",1,0)*IF(I118=1,1,0)</f>
        <v>0</v>
      </c>
      <c r="K118" s="356"/>
      <c r="L118" s="299"/>
      <c r="M118" s="299"/>
      <c r="N118" s="299"/>
      <c r="O118" s="299"/>
      <c r="P118" s="299"/>
      <c r="Q118" s="299"/>
      <c r="R118" s="299"/>
      <c r="S118" s="299"/>
      <c r="T118" s="299"/>
      <c r="U118" s="299"/>
      <c r="V118" s="299"/>
      <c r="W118" s="299"/>
      <c r="X118" s="299"/>
      <c r="Y118" s="299"/>
      <c r="Z118" s="299"/>
      <c r="AA118" s="299"/>
      <c r="AB118" s="299"/>
      <c r="AC118" s="300"/>
      <c r="AD118" s="302" t="n">
        <f aca="false">IF(SUM(L118:AC118)=0,0,SUM(L118:AC118)/'Conformación JD'!$X$15)</f>
        <v>0</v>
      </c>
      <c r="AE118" s="301" t="n">
        <f aca="false">SUM(L118:AC118)</f>
        <v>0</v>
      </c>
      <c r="AF118" s="301" t="n">
        <f aca="false">+AC118+AA118+Y118+W118+U118+S118+Q118+O118+M118</f>
        <v>0</v>
      </c>
      <c r="AG118" s="357" t="n">
        <f aca="false">IF(AE118=0,0,AF118/AE118)</f>
        <v>0</v>
      </c>
      <c r="AH118" s="299"/>
    </row>
    <row r="119" customFormat="false" ht="13.8" hidden="false" customHeight="false" outlineLevel="0" collapsed="false">
      <c r="A119" s="353"/>
      <c r="B119" s="353"/>
      <c r="C119" s="353"/>
      <c r="D119" s="353"/>
      <c r="E119" s="299" t="n">
        <v>2</v>
      </c>
      <c r="F119" s="354"/>
      <c r="G119" s="304"/>
      <c r="H119" s="355"/>
      <c r="I119" s="299"/>
      <c r="J119" s="300" t="n">
        <f aca="false">IF(H119&lt;&gt;"OTROS",1,0)*IF(I119=1,1,0)</f>
        <v>0</v>
      </c>
      <c r="K119" s="356"/>
      <c r="L119" s="299"/>
      <c r="M119" s="299"/>
      <c r="N119" s="299"/>
      <c r="O119" s="299"/>
      <c r="P119" s="299"/>
      <c r="Q119" s="299"/>
      <c r="R119" s="299"/>
      <c r="S119" s="299"/>
      <c r="T119" s="299"/>
      <c r="U119" s="299"/>
      <c r="V119" s="299"/>
      <c r="W119" s="299"/>
      <c r="X119" s="299"/>
      <c r="Y119" s="299"/>
      <c r="Z119" s="299"/>
      <c r="AA119" s="299"/>
      <c r="AB119" s="299"/>
      <c r="AC119" s="300"/>
      <c r="AD119" s="302" t="n">
        <f aca="false">IF(SUM(L119:AC119)=0,0,SUM(L119:AC119)/'Conformación JD'!$X$15)</f>
        <v>0</v>
      </c>
      <c r="AE119" s="301" t="n">
        <f aca="false">SUM(L119:AC119)</f>
        <v>0</v>
      </c>
      <c r="AF119" s="301" t="n">
        <f aca="false">+AC119+AA119+Y119+W119+U119+S119+Q119+O119+M119</f>
        <v>0</v>
      </c>
      <c r="AG119" s="357" t="n">
        <f aca="false">IF(AE119=0,0,AF119/AE119)</f>
        <v>0</v>
      </c>
      <c r="AH119" s="358"/>
    </row>
    <row r="120" customFormat="false" ht="13.8" hidden="false" customHeight="false" outlineLevel="0" collapsed="false">
      <c r="A120" s="353"/>
      <c r="B120" s="353"/>
      <c r="C120" s="353"/>
      <c r="D120" s="353"/>
      <c r="E120" s="299" t="n">
        <v>3</v>
      </c>
      <c r="F120" s="354"/>
      <c r="G120" s="304"/>
      <c r="H120" s="355"/>
      <c r="I120" s="299"/>
      <c r="J120" s="300" t="n">
        <f aca="false">IF(H120&lt;&gt;"OTROS",1,0)*IF(I120=1,1,0)</f>
        <v>0</v>
      </c>
      <c r="K120" s="356"/>
      <c r="L120" s="299"/>
      <c r="M120" s="299"/>
      <c r="N120" s="299"/>
      <c r="O120" s="299"/>
      <c r="P120" s="299"/>
      <c r="Q120" s="299"/>
      <c r="R120" s="299"/>
      <c r="S120" s="299"/>
      <c r="T120" s="299"/>
      <c r="U120" s="299"/>
      <c r="V120" s="299"/>
      <c r="W120" s="299"/>
      <c r="X120" s="299"/>
      <c r="Y120" s="299"/>
      <c r="Z120" s="299"/>
      <c r="AA120" s="299"/>
      <c r="AB120" s="299"/>
      <c r="AC120" s="300"/>
      <c r="AD120" s="302" t="n">
        <f aca="false">IF(SUM(L120:AC120)=0,0,SUM(L120:AC120)/'Conformación JD'!$X$15)</f>
        <v>0</v>
      </c>
      <c r="AE120" s="301" t="n">
        <f aca="false">SUM(L120:AC120)</f>
        <v>0</v>
      </c>
      <c r="AF120" s="301" t="n">
        <f aca="false">+AC120+AA120+Y120+W120+U120+S120+Q120+O120+M120</f>
        <v>0</v>
      </c>
      <c r="AG120" s="357" t="n">
        <f aca="false">IF(AE120=0,0,AF120/AE120)</f>
        <v>0</v>
      </c>
      <c r="AH120" s="359"/>
    </row>
    <row r="121" customFormat="false" ht="13.8" hidden="false" customHeight="false" outlineLevel="0" collapsed="false">
      <c r="A121" s="353"/>
      <c r="B121" s="353"/>
      <c r="C121" s="353"/>
      <c r="D121" s="353"/>
      <c r="E121" s="299" t="n">
        <v>4</v>
      </c>
      <c r="F121" s="354"/>
      <c r="G121" s="355"/>
      <c r="H121" s="355"/>
      <c r="I121" s="299"/>
      <c r="J121" s="300" t="n">
        <f aca="false">IF(H121&lt;&gt;"OTROS",1,0)*IF(I121=1,1,0)</f>
        <v>0</v>
      </c>
      <c r="K121" s="356"/>
      <c r="L121" s="299"/>
      <c r="M121" s="299"/>
      <c r="N121" s="299"/>
      <c r="O121" s="299"/>
      <c r="P121" s="299"/>
      <c r="Q121" s="299"/>
      <c r="R121" s="299"/>
      <c r="S121" s="299"/>
      <c r="T121" s="299"/>
      <c r="U121" s="299"/>
      <c r="V121" s="299"/>
      <c r="W121" s="299"/>
      <c r="X121" s="299"/>
      <c r="Y121" s="299"/>
      <c r="Z121" s="299"/>
      <c r="AA121" s="299"/>
      <c r="AB121" s="299"/>
      <c r="AC121" s="300"/>
      <c r="AD121" s="302" t="n">
        <f aca="false">IF(SUM(L121:AC121)=0,0,SUM(L121:AC121)/'Conformación JD'!$X$15)</f>
        <v>0</v>
      </c>
      <c r="AE121" s="301" t="n">
        <f aca="false">SUM(L121:AC121)</f>
        <v>0</v>
      </c>
      <c r="AF121" s="301" t="n">
        <f aca="false">+AC121+AA121+Y121+W121+U121+S121+Q121+O121+M121</f>
        <v>0</v>
      </c>
      <c r="AG121" s="357" t="n">
        <f aca="false">IF(AE121=0,0,AF121/AE121)</f>
        <v>0</v>
      </c>
      <c r="AH121" s="358"/>
    </row>
    <row r="122" customFormat="false" ht="13.8" hidden="false" customHeight="false" outlineLevel="0" collapsed="false">
      <c r="A122" s="353"/>
      <c r="B122" s="353"/>
      <c r="C122" s="353"/>
      <c r="D122" s="353"/>
      <c r="E122" s="299" t="n">
        <v>5</v>
      </c>
      <c r="F122" s="354"/>
      <c r="G122" s="355"/>
      <c r="H122" s="355"/>
      <c r="I122" s="299"/>
      <c r="J122" s="300" t="n">
        <f aca="false">IF(H122&lt;&gt;"OTROS",1,0)*IF(I122=1,1,0)</f>
        <v>0</v>
      </c>
      <c r="K122" s="356"/>
      <c r="L122" s="299"/>
      <c r="M122" s="299"/>
      <c r="N122" s="299"/>
      <c r="O122" s="299"/>
      <c r="P122" s="299"/>
      <c r="Q122" s="299"/>
      <c r="R122" s="299"/>
      <c r="S122" s="299"/>
      <c r="T122" s="299"/>
      <c r="U122" s="299"/>
      <c r="V122" s="299"/>
      <c r="W122" s="299"/>
      <c r="X122" s="299"/>
      <c r="Y122" s="299"/>
      <c r="Z122" s="299"/>
      <c r="AA122" s="299"/>
      <c r="AB122" s="299"/>
      <c r="AC122" s="300"/>
      <c r="AD122" s="302" t="n">
        <f aca="false">IF(SUM(L122:AC122)=0,0,SUM(L122:AC122)/'Conformación JD'!$X$15)</f>
        <v>0</v>
      </c>
      <c r="AE122" s="301" t="n">
        <f aca="false">SUM(L122:AC122)</f>
        <v>0</v>
      </c>
      <c r="AF122" s="301" t="n">
        <f aca="false">+AC122+AA122+Y122+W122+U122+S122+Q122+O122+M122</f>
        <v>0</v>
      </c>
      <c r="AG122" s="357" t="n">
        <f aca="false">IF(AE122=0,0,AF122/AE122)</f>
        <v>0</v>
      </c>
      <c r="AH122" s="358"/>
    </row>
    <row r="123" customFormat="false" ht="13.8" hidden="false" customHeight="false" outlineLevel="0" collapsed="false">
      <c r="A123" s="353"/>
      <c r="B123" s="353"/>
      <c r="C123" s="353"/>
      <c r="D123" s="353"/>
      <c r="E123" s="299" t="n">
        <v>6</v>
      </c>
      <c r="F123" s="354"/>
      <c r="G123" s="355"/>
      <c r="H123" s="355"/>
      <c r="I123" s="299"/>
      <c r="J123" s="300" t="n">
        <f aca="false">IF(H123&lt;&gt;"OTROS",1,0)*IF(I123=1,1,0)</f>
        <v>0</v>
      </c>
      <c r="K123" s="356"/>
      <c r="L123" s="299"/>
      <c r="M123" s="299"/>
      <c r="N123" s="299"/>
      <c r="O123" s="299"/>
      <c r="P123" s="299"/>
      <c r="Q123" s="299"/>
      <c r="R123" s="299"/>
      <c r="S123" s="299"/>
      <c r="T123" s="299"/>
      <c r="U123" s="299"/>
      <c r="V123" s="299"/>
      <c r="W123" s="299"/>
      <c r="X123" s="299"/>
      <c r="Y123" s="299"/>
      <c r="Z123" s="299"/>
      <c r="AA123" s="299"/>
      <c r="AB123" s="299"/>
      <c r="AC123" s="300"/>
      <c r="AD123" s="302" t="n">
        <f aca="false">IF(SUM(L123:AC123)=0,0,SUM(L123:AC123)/'Conformación JD'!$X$15)</f>
        <v>0</v>
      </c>
      <c r="AE123" s="301" t="n">
        <f aca="false">SUM(L123:AC123)</f>
        <v>0</v>
      </c>
      <c r="AF123" s="301" t="n">
        <f aca="false">+AC123+AA123+Y123+W123+U123+S123+Q123+O123+M123</f>
        <v>0</v>
      </c>
      <c r="AG123" s="357" t="n">
        <f aca="false">IF(AE123=0,0,AF123/AE123)</f>
        <v>0</v>
      </c>
      <c r="AH123" s="358"/>
    </row>
    <row r="124" customFormat="false" ht="13.8" hidden="false" customHeight="false" outlineLevel="0" collapsed="false">
      <c r="A124" s="353"/>
      <c r="B124" s="353"/>
      <c r="C124" s="353"/>
      <c r="D124" s="353"/>
      <c r="E124" s="299" t="n">
        <v>7</v>
      </c>
      <c r="F124" s="354"/>
      <c r="G124" s="355"/>
      <c r="H124" s="355"/>
      <c r="I124" s="299"/>
      <c r="J124" s="300" t="n">
        <f aca="false">IF(H124&lt;&gt;"OTROS",1,0)*IF(I124=1,1,0)</f>
        <v>0</v>
      </c>
      <c r="K124" s="356"/>
      <c r="L124" s="299"/>
      <c r="M124" s="299"/>
      <c r="N124" s="299"/>
      <c r="O124" s="299"/>
      <c r="P124" s="299"/>
      <c r="Q124" s="299"/>
      <c r="R124" s="299"/>
      <c r="S124" s="299"/>
      <c r="T124" s="299"/>
      <c r="U124" s="299"/>
      <c r="V124" s="299"/>
      <c r="W124" s="299"/>
      <c r="X124" s="299"/>
      <c r="Y124" s="299"/>
      <c r="Z124" s="299"/>
      <c r="AA124" s="299"/>
      <c r="AB124" s="299"/>
      <c r="AC124" s="300"/>
      <c r="AD124" s="302" t="n">
        <f aca="false">IF(SUM(L124:AC124)=0,0,SUM(L124:AC124)/'Conformación JD'!$X$15)</f>
        <v>0</v>
      </c>
      <c r="AE124" s="301" t="n">
        <f aca="false">SUM(L124:AC124)</f>
        <v>0</v>
      </c>
      <c r="AF124" s="301" t="n">
        <f aca="false">+AC124+AA124+Y124+W124+U124+S124+Q124+O124+M124</f>
        <v>0</v>
      </c>
      <c r="AG124" s="357" t="n">
        <f aca="false">IF(AE124=0,0,AF124/AE124)</f>
        <v>0</v>
      </c>
      <c r="AH124" s="358"/>
    </row>
    <row r="125" customFormat="false" ht="13.8" hidden="false" customHeight="false" outlineLevel="0" collapsed="false">
      <c r="A125" s="353"/>
      <c r="B125" s="353"/>
      <c r="C125" s="353"/>
      <c r="D125" s="353"/>
      <c r="E125" s="299" t="n">
        <v>8</v>
      </c>
      <c r="F125" s="354"/>
      <c r="G125" s="355"/>
      <c r="H125" s="355"/>
      <c r="I125" s="299"/>
      <c r="J125" s="300" t="n">
        <f aca="false">IF(H125&lt;&gt;"OTROS",1,0)*IF(I125=1,1,0)</f>
        <v>0</v>
      </c>
      <c r="K125" s="356"/>
      <c r="L125" s="299"/>
      <c r="M125" s="299"/>
      <c r="N125" s="299"/>
      <c r="O125" s="299"/>
      <c r="P125" s="299"/>
      <c r="Q125" s="299"/>
      <c r="R125" s="299"/>
      <c r="S125" s="299"/>
      <c r="T125" s="299"/>
      <c r="U125" s="299"/>
      <c r="V125" s="299"/>
      <c r="W125" s="299"/>
      <c r="X125" s="299"/>
      <c r="Y125" s="299"/>
      <c r="Z125" s="299"/>
      <c r="AA125" s="299"/>
      <c r="AB125" s="299"/>
      <c r="AC125" s="300"/>
      <c r="AD125" s="302" t="n">
        <f aca="false">IF(SUM(L125:AC125)=0,0,SUM(L125:AC125)/'Conformación JD'!$X$15)</f>
        <v>0</v>
      </c>
      <c r="AE125" s="301" t="n">
        <f aca="false">SUM(L125:AC125)</f>
        <v>0</v>
      </c>
      <c r="AF125" s="301" t="n">
        <f aca="false">+AC125+AA125+Y125+W125+U125+S125+Q125+O125+M125</f>
        <v>0</v>
      </c>
      <c r="AG125" s="357" t="n">
        <f aca="false">IF(AE125=0,0,AF125/AE125)</f>
        <v>0</v>
      </c>
      <c r="AH125" s="358"/>
    </row>
    <row r="126" customFormat="false" ht="13.8" hidden="false" customHeight="false" outlineLevel="0" collapsed="false">
      <c r="A126" s="353"/>
      <c r="B126" s="353"/>
      <c r="C126" s="353"/>
      <c r="D126" s="353"/>
      <c r="E126" s="299" t="n">
        <v>9</v>
      </c>
      <c r="F126" s="354"/>
      <c r="G126" s="355"/>
      <c r="H126" s="355"/>
      <c r="I126" s="299"/>
      <c r="J126" s="300" t="n">
        <f aca="false">IF(H126&lt;&gt;"OTROS",1,0)*IF(I126=1,1,0)</f>
        <v>0</v>
      </c>
      <c r="K126" s="356"/>
      <c r="L126" s="299"/>
      <c r="M126" s="299"/>
      <c r="N126" s="299"/>
      <c r="O126" s="299"/>
      <c r="P126" s="299"/>
      <c r="Q126" s="299"/>
      <c r="R126" s="299"/>
      <c r="S126" s="299"/>
      <c r="T126" s="299"/>
      <c r="U126" s="299"/>
      <c r="V126" s="299"/>
      <c r="W126" s="299"/>
      <c r="X126" s="299"/>
      <c r="Y126" s="299"/>
      <c r="Z126" s="299"/>
      <c r="AA126" s="299"/>
      <c r="AB126" s="299"/>
      <c r="AC126" s="300"/>
      <c r="AD126" s="302" t="n">
        <f aca="false">IF(SUM(L126:AC126)=0,0,SUM(L126:AC126)/'Conformación JD'!$X$15)</f>
        <v>0</v>
      </c>
      <c r="AE126" s="301" t="n">
        <f aca="false">SUM(L126:AC126)</f>
        <v>0</v>
      </c>
      <c r="AF126" s="301" t="n">
        <f aca="false">+AC126+AA126+Y126+W126+U126+S126+Q126+O126+M126</f>
        <v>0</v>
      </c>
      <c r="AG126" s="357" t="n">
        <f aca="false">IF(AE126=0,0,AF126/AE126)</f>
        <v>0</v>
      </c>
      <c r="AH126" s="358"/>
    </row>
    <row r="127" customFormat="false" ht="13.8" hidden="false" customHeight="false" outlineLevel="0" collapsed="false">
      <c r="A127" s="353"/>
      <c r="B127" s="353"/>
      <c r="C127" s="353"/>
      <c r="D127" s="353"/>
      <c r="E127" s="360" t="n">
        <v>10</v>
      </c>
      <c r="F127" s="361"/>
      <c r="G127" s="362"/>
      <c r="H127" s="362"/>
      <c r="I127" s="360"/>
      <c r="J127" s="300" t="n">
        <f aca="false">IF(H127&lt;&gt;"OTROS",1,0)*IF(I127=1,1,0)</f>
        <v>0</v>
      </c>
      <c r="K127" s="356"/>
      <c r="L127" s="360"/>
      <c r="M127" s="360"/>
      <c r="N127" s="360"/>
      <c r="O127" s="360"/>
      <c r="P127" s="360"/>
      <c r="Q127" s="360"/>
      <c r="R127" s="360"/>
      <c r="S127" s="360"/>
      <c r="T127" s="360"/>
      <c r="U127" s="360"/>
      <c r="V127" s="360"/>
      <c r="W127" s="360"/>
      <c r="X127" s="360"/>
      <c r="Y127" s="360"/>
      <c r="Z127" s="360"/>
      <c r="AA127" s="360"/>
      <c r="AB127" s="360"/>
      <c r="AC127" s="363"/>
      <c r="AD127" s="302" t="n">
        <f aca="false">IF(SUM(L127:AC127)=0,0,SUM(L127:AC127)/'Conformación JD'!$X$15)</f>
        <v>0</v>
      </c>
      <c r="AE127" s="301" t="n">
        <f aca="false">SUM(L127:AC127)</f>
        <v>0</v>
      </c>
      <c r="AF127" s="301" t="n">
        <f aca="false">+AC127+AA127+Y127+W127+U127+S127+Q127+O127+M127</f>
        <v>0</v>
      </c>
      <c r="AG127" s="357" t="n">
        <f aca="false">IF(AE127=0,0,AF127/AE127)</f>
        <v>0</v>
      </c>
      <c r="AH127" s="358"/>
    </row>
    <row r="128" customFormat="false" ht="13.8" hidden="false" customHeight="true" outlineLevel="0" collapsed="false">
      <c r="A128" s="305"/>
      <c r="B128" s="305"/>
      <c r="C128" s="305"/>
      <c r="D128" s="305"/>
      <c r="E128" s="364" t="s">
        <v>366</v>
      </c>
      <c r="F128" s="364"/>
      <c r="G128" s="364"/>
      <c r="H128" s="364"/>
      <c r="I128" s="365" t="n">
        <f aca="false">IF((COUNTIF(G118:G127,"&lt;&gt;"))&lt;&gt;0,SUM(I118:I127)/COUNTIF(G118:G127,"&lt;&gt;"),0)</f>
        <v>0</v>
      </c>
      <c r="J128" s="366" t="n">
        <f aca="false">IF((COUNTIF(H118:H127,"&lt;&gt;"))&lt;&gt;0,SUM(J118:J127)/COUNTIF(H118:H127,"&lt;&gt;"),0)</f>
        <v>0</v>
      </c>
      <c r="K128" s="310" t="n">
        <f aca="false">IF((COUNTIF(H118:H127,"&lt;&gt;"))&lt;&gt;0,SUM(K118:K127)/COUNTIF(H118:H127,"&lt;&gt;"),0)</f>
        <v>0</v>
      </c>
      <c r="L128" s="307" t="n">
        <f aca="false">SUM(L118:L127)</f>
        <v>0</v>
      </c>
      <c r="M128" s="307" t="n">
        <f aca="false">SUM(M118:M127)</f>
        <v>0</v>
      </c>
      <c r="N128" s="307" t="n">
        <f aca="false">SUM(N118:N127)</f>
        <v>0</v>
      </c>
      <c r="O128" s="307" t="n">
        <f aca="false">SUM(O118:O127)</f>
        <v>0</v>
      </c>
      <c r="P128" s="307" t="n">
        <f aca="false">SUM(P118:P127)</f>
        <v>0</v>
      </c>
      <c r="Q128" s="307" t="n">
        <f aca="false">SUM(Q118:Q127)</f>
        <v>0</v>
      </c>
      <c r="R128" s="307" t="n">
        <f aca="false">SUM(R118:R127)</f>
        <v>0</v>
      </c>
      <c r="S128" s="307" t="n">
        <f aca="false">SUM(S118:S127)</f>
        <v>0</v>
      </c>
      <c r="T128" s="307" t="n">
        <f aca="false">SUM(T118:T127)</f>
        <v>0</v>
      </c>
      <c r="U128" s="307" t="n">
        <f aca="false">SUM(U118:U127)</f>
        <v>0</v>
      </c>
      <c r="V128" s="307" t="n">
        <f aca="false">SUM(V118:V127)</f>
        <v>0</v>
      </c>
      <c r="W128" s="307" t="n">
        <f aca="false">SUM(W118:W127)</f>
        <v>0</v>
      </c>
      <c r="X128" s="307" t="n">
        <f aca="false">SUM(X118:X127)</f>
        <v>0</v>
      </c>
      <c r="Y128" s="307" t="n">
        <f aca="false">SUM(Y118:Y127)</f>
        <v>0</v>
      </c>
      <c r="Z128" s="307" t="n">
        <f aca="false">SUM(Z118:Z127)</f>
        <v>0</v>
      </c>
      <c r="AA128" s="307" t="n">
        <f aca="false">SUM(AA118:AA127)</f>
        <v>0</v>
      </c>
      <c r="AB128" s="307" t="n">
        <f aca="false">SUM(AB118:AB127)</f>
        <v>0</v>
      </c>
      <c r="AC128" s="307" t="n">
        <f aca="false">SUM(AC118:AC127)</f>
        <v>0</v>
      </c>
      <c r="AD128" s="310" t="n">
        <f aca="false">IF(SUM(AD118:AD127)=0,0,SUM(AD118:AD127)/COUNTIF(AD118:AD127,"&lt;&gt;0"))</f>
        <v>0</v>
      </c>
      <c r="AE128" s="365" t="n">
        <f aca="false">IF(SUM(AE118:AE127)=0,0,SUM(AE118:AE127)/COUNTIF(AE118:AE127,"&lt;&gt;0"))</f>
        <v>0</v>
      </c>
      <c r="AF128" s="365" t="n">
        <f aca="false">IF(SUM(AF118:AF127)=0,0,SUM(AF118:AF127)/COUNTIF(AF118:AF127,"&lt;&gt;0"))</f>
        <v>0</v>
      </c>
      <c r="AG128" s="310" t="n">
        <f aca="false">IF(SUM(AG118:AG127)=0,0,SUM(AG118:AG127)/COUNTIF(AD118:AD127,"&lt;&gt;0"))</f>
        <v>0</v>
      </c>
      <c r="AH128" s="367"/>
    </row>
    <row r="129" customFormat="false" ht="12.75" hidden="false" customHeight="true" outlineLevel="0" collapsed="false">
      <c r="A129" s="287" t="s">
        <v>315</v>
      </c>
      <c r="B129" s="287" t="s">
        <v>316</v>
      </c>
      <c r="C129" s="287" t="s">
        <v>317</v>
      </c>
      <c r="D129" s="288" t="s">
        <v>318</v>
      </c>
      <c r="E129" s="344" t="s">
        <v>349</v>
      </c>
      <c r="F129" s="345" t="s">
        <v>350</v>
      </c>
      <c r="G129" s="346" t="s">
        <v>351</v>
      </c>
      <c r="H129" s="347" t="s">
        <v>352</v>
      </c>
      <c r="I129" s="348" t="s">
        <v>353</v>
      </c>
      <c r="J129" s="348" t="s">
        <v>354</v>
      </c>
      <c r="K129" s="347" t="s">
        <v>355</v>
      </c>
      <c r="L129" s="346" t="s">
        <v>320</v>
      </c>
      <c r="M129" s="346"/>
      <c r="N129" s="346"/>
      <c r="O129" s="346"/>
      <c r="P129" s="346"/>
      <c r="Q129" s="346"/>
      <c r="R129" s="346"/>
      <c r="S129" s="346"/>
      <c r="T129" s="346"/>
      <c r="U129" s="346"/>
      <c r="V129" s="346"/>
      <c r="W129" s="346"/>
      <c r="X129" s="346"/>
      <c r="Y129" s="346"/>
      <c r="Z129" s="346"/>
      <c r="AA129" s="346"/>
      <c r="AB129" s="346"/>
      <c r="AC129" s="346"/>
      <c r="AD129" s="349"/>
      <c r="AE129" s="349"/>
      <c r="AF129" s="349"/>
      <c r="AG129" s="349"/>
      <c r="AH129" s="184"/>
    </row>
    <row r="130" customFormat="false" ht="12.75" hidden="false" customHeight="true" outlineLevel="0" collapsed="false">
      <c r="A130" s="287"/>
      <c r="B130" s="287"/>
      <c r="C130" s="287"/>
      <c r="D130" s="288"/>
      <c r="E130" s="344"/>
      <c r="F130" s="345"/>
      <c r="G130" s="346"/>
      <c r="H130" s="347"/>
      <c r="I130" s="348"/>
      <c r="J130" s="348"/>
      <c r="K130" s="347"/>
      <c r="L130" s="293" t="s">
        <v>321</v>
      </c>
      <c r="M130" s="293"/>
      <c r="N130" s="293" t="s">
        <v>356</v>
      </c>
      <c r="O130" s="293"/>
      <c r="P130" s="293" t="s">
        <v>357</v>
      </c>
      <c r="Q130" s="293"/>
      <c r="R130" s="293" t="s">
        <v>324</v>
      </c>
      <c r="S130" s="293"/>
      <c r="T130" s="293" t="s">
        <v>325</v>
      </c>
      <c r="U130" s="293"/>
      <c r="V130" s="293" t="s">
        <v>326</v>
      </c>
      <c r="W130" s="293"/>
      <c r="X130" s="293" t="s">
        <v>327</v>
      </c>
      <c r="Y130" s="293"/>
      <c r="Z130" s="293" t="s">
        <v>328</v>
      </c>
      <c r="AA130" s="293"/>
      <c r="AB130" s="293" t="s">
        <v>329</v>
      </c>
      <c r="AC130" s="293"/>
      <c r="AD130" s="350" t="s">
        <v>358</v>
      </c>
      <c r="AE130" s="350" t="s">
        <v>359</v>
      </c>
      <c r="AF130" s="350" t="s">
        <v>360</v>
      </c>
      <c r="AG130" s="350" t="s">
        <v>361</v>
      </c>
      <c r="AH130" s="351" t="s">
        <v>362</v>
      </c>
    </row>
    <row r="131" customFormat="false" ht="42.75" hidden="false" customHeight="true" outlineLevel="0" collapsed="false">
      <c r="A131" s="287"/>
      <c r="B131" s="287"/>
      <c r="C131" s="287"/>
      <c r="D131" s="288"/>
      <c r="E131" s="344"/>
      <c r="F131" s="345"/>
      <c r="G131" s="346"/>
      <c r="H131" s="347"/>
      <c r="I131" s="348"/>
      <c r="J131" s="348"/>
      <c r="K131" s="347"/>
      <c r="L131" s="295" t="s">
        <v>68</v>
      </c>
      <c r="M131" s="295" t="s">
        <v>298</v>
      </c>
      <c r="N131" s="295" t="s">
        <v>68</v>
      </c>
      <c r="O131" s="295" t="s">
        <v>298</v>
      </c>
      <c r="P131" s="295" t="s">
        <v>68</v>
      </c>
      <c r="Q131" s="295" t="s">
        <v>298</v>
      </c>
      <c r="R131" s="295" t="s">
        <v>68</v>
      </c>
      <c r="S131" s="295" t="s">
        <v>298</v>
      </c>
      <c r="T131" s="295" t="s">
        <v>68</v>
      </c>
      <c r="U131" s="295" t="s">
        <v>298</v>
      </c>
      <c r="V131" s="295" t="s">
        <v>68</v>
      </c>
      <c r="W131" s="295" t="s">
        <v>298</v>
      </c>
      <c r="X131" s="295" t="s">
        <v>68</v>
      </c>
      <c r="Y131" s="295" t="s">
        <v>298</v>
      </c>
      <c r="Z131" s="295" t="s">
        <v>68</v>
      </c>
      <c r="AA131" s="295" t="s">
        <v>298</v>
      </c>
      <c r="AB131" s="295" t="s">
        <v>68</v>
      </c>
      <c r="AC131" s="296" t="s">
        <v>298</v>
      </c>
      <c r="AD131" s="350"/>
      <c r="AE131" s="350"/>
      <c r="AF131" s="350"/>
      <c r="AG131" s="350"/>
      <c r="AH131" s="351"/>
    </row>
    <row r="132" customFormat="false" ht="13.8" hidden="false" customHeight="false" outlineLevel="0" collapsed="false">
      <c r="A132" s="353" t="n">
        <f aca="false">'Listado CAPS'!A129</f>
        <v>0</v>
      </c>
      <c r="B132" s="353" t="n">
        <f aca="false">'Listado CAPS'!B129</f>
        <v>0</v>
      </c>
      <c r="C132" s="353" t="n">
        <f aca="false">'Listado CAPS'!C129</f>
        <v>0</v>
      </c>
      <c r="D132" s="353" t="str">
        <f aca="false">'Listado CAPS'!D12</f>
        <v>J</v>
      </c>
      <c r="E132" s="299" t="n">
        <v>1</v>
      </c>
      <c r="F132" s="354"/>
      <c r="G132" s="304"/>
      <c r="H132" s="355"/>
      <c r="I132" s="299"/>
      <c r="J132" s="300" t="n">
        <f aca="false">IF(H132&lt;&gt;"OTROS",1,0)*IF(I132=1,1,0)</f>
        <v>0</v>
      </c>
      <c r="K132" s="356"/>
      <c r="L132" s="299"/>
      <c r="M132" s="299"/>
      <c r="N132" s="299"/>
      <c r="O132" s="299"/>
      <c r="P132" s="299"/>
      <c r="Q132" s="299"/>
      <c r="R132" s="299"/>
      <c r="S132" s="299"/>
      <c r="T132" s="299"/>
      <c r="U132" s="299"/>
      <c r="V132" s="299"/>
      <c r="W132" s="299"/>
      <c r="X132" s="299"/>
      <c r="Y132" s="299"/>
      <c r="Z132" s="299"/>
      <c r="AA132" s="299"/>
      <c r="AB132" s="299"/>
      <c r="AC132" s="300"/>
      <c r="AD132" s="302" t="n">
        <f aca="false">IF(SUM(L132:AC132)=0,0,SUM(L132:AC132)/'Conformación JD'!$X$16)</f>
        <v>0</v>
      </c>
      <c r="AE132" s="301" t="n">
        <f aca="false">SUM(L132:AC132)</f>
        <v>0</v>
      </c>
      <c r="AF132" s="301" t="n">
        <f aca="false">+AC132+AA132+Y132+W132+U132+S132+Q132+O132+M132</f>
        <v>0</v>
      </c>
      <c r="AG132" s="357" t="n">
        <f aca="false">IF(AE132=0,0,AF132/AE132)</f>
        <v>0</v>
      </c>
      <c r="AH132" s="299"/>
    </row>
    <row r="133" customFormat="false" ht="13.8" hidden="false" customHeight="false" outlineLevel="0" collapsed="false">
      <c r="A133" s="353"/>
      <c r="B133" s="353"/>
      <c r="C133" s="353"/>
      <c r="D133" s="353"/>
      <c r="E133" s="299" t="n">
        <v>2</v>
      </c>
      <c r="F133" s="354"/>
      <c r="G133" s="304"/>
      <c r="H133" s="355"/>
      <c r="I133" s="299"/>
      <c r="J133" s="300" t="n">
        <f aca="false">IF(H133&lt;&gt;"OTROS",1,0)*IF(I133=1,1,0)</f>
        <v>0</v>
      </c>
      <c r="K133" s="356"/>
      <c r="L133" s="299"/>
      <c r="M133" s="299"/>
      <c r="N133" s="299"/>
      <c r="O133" s="299"/>
      <c r="P133" s="299"/>
      <c r="Q133" s="299"/>
      <c r="R133" s="299"/>
      <c r="S133" s="299"/>
      <c r="T133" s="299"/>
      <c r="U133" s="299"/>
      <c r="V133" s="299"/>
      <c r="W133" s="299"/>
      <c r="X133" s="299"/>
      <c r="Y133" s="299"/>
      <c r="Z133" s="299"/>
      <c r="AA133" s="299"/>
      <c r="AB133" s="299"/>
      <c r="AC133" s="300"/>
      <c r="AD133" s="302" t="n">
        <f aca="false">IF(SUM(L133:AC133)=0,0,SUM(L133:AC133)/'Conformación JD'!$X$16)</f>
        <v>0</v>
      </c>
      <c r="AE133" s="301" t="n">
        <f aca="false">SUM(L133:AC133)</f>
        <v>0</v>
      </c>
      <c r="AF133" s="301" t="n">
        <f aca="false">+AC133+AA133+Y133+W133+U133+S133+Q133+O133+M133</f>
        <v>0</v>
      </c>
      <c r="AG133" s="357" t="n">
        <f aca="false">IF(AE133=0,0,AF133/AE133)</f>
        <v>0</v>
      </c>
      <c r="AH133" s="358"/>
    </row>
    <row r="134" customFormat="false" ht="13.8" hidden="false" customHeight="false" outlineLevel="0" collapsed="false">
      <c r="A134" s="353"/>
      <c r="B134" s="353"/>
      <c r="C134" s="353"/>
      <c r="D134" s="353"/>
      <c r="E134" s="299" t="n">
        <v>3</v>
      </c>
      <c r="F134" s="354"/>
      <c r="G134" s="304"/>
      <c r="H134" s="355"/>
      <c r="I134" s="299"/>
      <c r="J134" s="300" t="n">
        <f aca="false">IF(H134&lt;&gt;"OTROS",1,0)*IF(I134=1,1,0)</f>
        <v>0</v>
      </c>
      <c r="K134" s="356"/>
      <c r="L134" s="299"/>
      <c r="M134" s="299"/>
      <c r="N134" s="299"/>
      <c r="O134" s="299"/>
      <c r="P134" s="299"/>
      <c r="Q134" s="299"/>
      <c r="R134" s="299"/>
      <c r="S134" s="299"/>
      <c r="T134" s="299"/>
      <c r="U134" s="299"/>
      <c r="V134" s="299"/>
      <c r="W134" s="299"/>
      <c r="X134" s="299"/>
      <c r="Y134" s="299"/>
      <c r="Z134" s="299"/>
      <c r="AA134" s="299"/>
      <c r="AB134" s="299"/>
      <c r="AC134" s="300"/>
      <c r="AD134" s="302" t="n">
        <f aca="false">IF(SUM(L134:AC134)=0,0,SUM(L134:AC134)/'Conformación JD'!$X$16)</f>
        <v>0</v>
      </c>
      <c r="AE134" s="301" t="n">
        <f aca="false">SUM(L134:AC134)</f>
        <v>0</v>
      </c>
      <c r="AF134" s="301" t="n">
        <f aca="false">+AC134+AA134+Y134+W134+U134+S134+Q134+O134+M134</f>
        <v>0</v>
      </c>
      <c r="AG134" s="357" t="n">
        <f aca="false">IF(AE134=0,0,AF134/AE134)</f>
        <v>0</v>
      </c>
      <c r="AH134" s="359"/>
    </row>
    <row r="135" customFormat="false" ht="13.8" hidden="false" customHeight="false" outlineLevel="0" collapsed="false">
      <c r="A135" s="353"/>
      <c r="B135" s="353"/>
      <c r="C135" s="353"/>
      <c r="D135" s="353"/>
      <c r="E135" s="299" t="n">
        <v>4</v>
      </c>
      <c r="F135" s="354"/>
      <c r="G135" s="355"/>
      <c r="H135" s="355"/>
      <c r="I135" s="299"/>
      <c r="J135" s="300" t="n">
        <f aca="false">IF(H135&lt;&gt;"OTROS",1,0)*IF(I135=1,1,0)</f>
        <v>0</v>
      </c>
      <c r="K135" s="356"/>
      <c r="L135" s="299"/>
      <c r="M135" s="299"/>
      <c r="N135" s="299"/>
      <c r="O135" s="299"/>
      <c r="P135" s="299"/>
      <c r="Q135" s="299"/>
      <c r="R135" s="299"/>
      <c r="S135" s="299"/>
      <c r="T135" s="299"/>
      <c r="U135" s="299"/>
      <c r="V135" s="299"/>
      <c r="W135" s="299"/>
      <c r="X135" s="299"/>
      <c r="Y135" s="299"/>
      <c r="Z135" s="299"/>
      <c r="AA135" s="299"/>
      <c r="AB135" s="299"/>
      <c r="AC135" s="300"/>
      <c r="AD135" s="302" t="n">
        <f aca="false">IF(SUM(L135:AC135)=0,0,SUM(L135:AC135)/'Conformación JD'!$X$16)</f>
        <v>0</v>
      </c>
      <c r="AE135" s="301" t="n">
        <f aca="false">SUM(L135:AC135)</f>
        <v>0</v>
      </c>
      <c r="AF135" s="301" t="n">
        <f aca="false">+AC135+AA135+Y135+W135+U135+S135+Q135+O135+M135</f>
        <v>0</v>
      </c>
      <c r="AG135" s="357" t="n">
        <f aca="false">IF(AE135=0,0,AF135/AE135)</f>
        <v>0</v>
      </c>
      <c r="AH135" s="358"/>
    </row>
    <row r="136" customFormat="false" ht="13.8" hidden="false" customHeight="false" outlineLevel="0" collapsed="false">
      <c r="A136" s="353"/>
      <c r="B136" s="353"/>
      <c r="C136" s="353"/>
      <c r="D136" s="353"/>
      <c r="E136" s="299" t="n">
        <v>5</v>
      </c>
      <c r="F136" s="354"/>
      <c r="G136" s="355"/>
      <c r="H136" s="355"/>
      <c r="I136" s="299"/>
      <c r="J136" s="300" t="n">
        <f aca="false">IF(H136&lt;&gt;"OTROS",1,0)*IF(I136=1,1,0)</f>
        <v>0</v>
      </c>
      <c r="K136" s="356"/>
      <c r="L136" s="299"/>
      <c r="M136" s="299"/>
      <c r="N136" s="299"/>
      <c r="O136" s="299"/>
      <c r="P136" s="299"/>
      <c r="Q136" s="299"/>
      <c r="R136" s="299"/>
      <c r="S136" s="299"/>
      <c r="T136" s="299"/>
      <c r="U136" s="299"/>
      <c r="V136" s="299"/>
      <c r="W136" s="299"/>
      <c r="X136" s="299"/>
      <c r="Y136" s="299"/>
      <c r="Z136" s="299"/>
      <c r="AA136" s="299"/>
      <c r="AB136" s="299"/>
      <c r="AC136" s="300"/>
      <c r="AD136" s="302" t="n">
        <f aca="false">IF(SUM(L136:AC136)=0,0,SUM(L136:AC136)/'Conformación JD'!$X$16)</f>
        <v>0</v>
      </c>
      <c r="AE136" s="301" t="n">
        <f aca="false">SUM(L136:AC136)</f>
        <v>0</v>
      </c>
      <c r="AF136" s="301" t="n">
        <f aca="false">+AC136+AA136+Y136+W136+U136+S136+Q136+O136+M136</f>
        <v>0</v>
      </c>
      <c r="AG136" s="357" t="n">
        <f aca="false">IF(AE136=0,0,AF136/AE136)</f>
        <v>0</v>
      </c>
      <c r="AH136" s="358"/>
    </row>
    <row r="137" customFormat="false" ht="13.8" hidden="false" customHeight="false" outlineLevel="0" collapsed="false">
      <c r="A137" s="353"/>
      <c r="B137" s="353"/>
      <c r="C137" s="353"/>
      <c r="D137" s="353"/>
      <c r="E137" s="299" t="n">
        <v>6</v>
      </c>
      <c r="F137" s="354"/>
      <c r="G137" s="355"/>
      <c r="H137" s="355"/>
      <c r="I137" s="299"/>
      <c r="J137" s="300" t="n">
        <f aca="false">IF(H137&lt;&gt;"OTROS",1,0)*IF(I137=1,1,0)</f>
        <v>0</v>
      </c>
      <c r="K137" s="356"/>
      <c r="L137" s="299"/>
      <c r="M137" s="299"/>
      <c r="N137" s="299"/>
      <c r="O137" s="299"/>
      <c r="P137" s="299"/>
      <c r="Q137" s="299"/>
      <c r="R137" s="299"/>
      <c r="S137" s="299"/>
      <c r="T137" s="299"/>
      <c r="U137" s="299"/>
      <c r="V137" s="299"/>
      <c r="W137" s="299"/>
      <c r="X137" s="299"/>
      <c r="Y137" s="299"/>
      <c r="Z137" s="299"/>
      <c r="AA137" s="299"/>
      <c r="AB137" s="299"/>
      <c r="AC137" s="300"/>
      <c r="AD137" s="302" t="n">
        <f aca="false">IF(SUM(L137:AC137)=0,0,SUM(L137:AC137)/'Conformación JD'!$X$16)</f>
        <v>0</v>
      </c>
      <c r="AE137" s="301" t="n">
        <f aca="false">SUM(L137:AC137)</f>
        <v>0</v>
      </c>
      <c r="AF137" s="301" t="n">
        <f aca="false">+AC137+AA137+Y137+W137+U137+S137+Q137+O137+M137</f>
        <v>0</v>
      </c>
      <c r="AG137" s="357" t="n">
        <f aca="false">IF(AE137=0,0,AF137/AE137)</f>
        <v>0</v>
      </c>
      <c r="AH137" s="358"/>
    </row>
    <row r="138" customFormat="false" ht="13.8" hidden="false" customHeight="false" outlineLevel="0" collapsed="false">
      <c r="A138" s="353"/>
      <c r="B138" s="353"/>
      <c r="C138" s="353"/>
      <c r="D138" s="353"/>
      <c r="E138" s="299" t="n">
        <v>7</v>
      </c>
      <c r="F138" s="354"/>
      <c r="G138" s="355"/>
      <c r="H138" s="355"/>
      <c r="I138" s="299"/>
      <c r="J138" s="300" t="n">
        <f aca="false">IF(H138&lt;&gt;"OTROS",1,0)*IF(I138=1,1,0)</f>
        <v>0</v>
      </c>
      <c r="K138" s="356"/>
      <c r="L138" s="299"/>
      <c r="M138" s="299"/>
      <c r="N138" s="299"/>
      <c r="O138" s="299"/>
      <c r="P138" s="299"/>
      <c r="Q138" s="299"/>
      <c r="R138" s="299"/>
      <c r="S138" s="299"/>
      <c r="T138" s="299"/>
      <c r="U138" s="299"/>
      <c r="V138" s="299"/>
      <c r="W138" s="299"/>
      <c r="X138" s="299"/>
      <c r="Y138" s="299"/>
      <c r="Z138" s="299"/>
      <c r="AA138" s="299"/>
      <c r="AB138" s="299"/>
      <c r="AC138" s="300"/>
      <c r="AD138" s="302" t="n">
        <f aca="false">IF(SUM(L138:AC138)=0,0,SUM(L138:AC138)/'Conformación JD'!$X$16)</f>
        <v>0</v>
      </c>
      <c r="AE138" s="301" t="n">
        <f aca="false">SUM(L138:AC138)</f>
        <v>0</v>
      </c>
      <c r="AF138" s="301" t="n">
        <f aca="false">+AC138+AA138+Y138+W138+U138+S138+Q138+O138+M138</f>
        <v>0</v>
      </c>
      <c r="AG138" s="357" t="n">
        <f aca="false">IF(AE138=0,0,AF138/AE138)</f>
        <v>0</v>
      </c>
      <c r="AH138" s="358"/>
    </row>
    <row r="139" customFormat="false" ht="13.8" hidden="false" customHeight="false" outlineLevel="0" collapsed="false">
      <c r="A139" s="353"/>
      <c r="B139" s="353"/>
      <c r="C139" s="353"/>
      <c r="D139" s="353"/>
      <c r="E139" s="299" t="n">
        <v>8</v>
      </c>
      <c r="F139" s="354"/>
      <c r="G139" s="355"/>
      <c r="H139" s="355"/>
      <c r="I139" s="299"/>
      <c r="J139" s="300" t="n">
        <f aca="false">IF(H139&lt;&gt;"OTROS",1,0)*IF(I139=1,1,0)</f>
        <v>0</v>
      </c>
      <c r="K139" s="356"/>
      <c r="L139" s="299"/>
      <c r="M139" s="299"/>
      <c r="N139" s="299"/>
      <c r="O139" s="299"/>
      <c r="P139" s="299"/>
      <c r="Q139" s="299"/>
      <c r="R139" s="299"/>
      <c r="S139" s="299"/>
      <c r="T139" s="299"/>
      <c r="U139" s="299"/>
      <c r="V139" s="299"/>
      <c r="W139" s="299"/>
      <c r="X139" s="299"/>
      <c r="Y139" s="299"/>
      <c r="Z139" s="299"/>
      <c r="AA139" s="299"/>
      <c r="AB139" s="299"/>
      <c r="AC139" s="300"/>
      <c r="AD139" s="302" t="n">
        <f aca="false">IF(SUM(L139:AC139)=0,0,SUM(L139:AC139)/'Conformación JD'!$X$16)</f>
        <v>0</v>
      </c>
      <c r="AE139" s="301" t="n">
        <f aca="false">SUM(L139:AC139)</f>
        <v>0</v>
      </c>
      <c r="AF139" s="301" t="n">
        <f aca="false">+AC139+AA139+Y139+W139+U139+S139+Q139+O139+M139</f>
        <v>0</v>
      </c>
      <c r="AG139" s="357" t="n">
        <f aca="false">IF(AE139=0,0,AF139/AE139)</f>
        <v>0</v>
      </c>
      <c r="AH139" s="358"/>
    </row>
    <row r="140" customFormat="false" ht="13.8" hidden="false" customHeight="false" outlineLevel="0" collapsed="false">
      <c r="A140" s="353"/>
      <c r="B140" s="353"/>
      <c r="C140" s="353"/>
      <c r="D140" s="353"/>
      <c r="E140" s="299" t="n">
        <v>9</v>
      </c>
      <c r="F140" s="354"/>
      <c r="G140" s="355"/>
      <c r="H140" s="355"/>
      <c r="I140" s="299"/>
      <c r="J140" s="300" t="n">
        <f aca="false">IF(H140&lt;&gt;"OTROS",1,0)*IF(I140=1,1,0)</f>
        <v>0</v>
      </c>
      <c r="K140" s="356"/>
      <c r="L140" s="299"/>
      <c r="M140" s="299"/>
      <c r="N140" s="299"/>
      <c r="O140" s="299"/>
      <c r="P140" s="299"/>
      <c r="Q140" s="299"/>
      <c r="R140" s="299"/>
      <c r="S140" s="299"/>
      <c r="T140" s="299"/>
      <c r="U140" s="299"/>
      <c r="V140" s="299"/>
      <c r="W140" s="299"/>
      <c r="X140" s="299"/>
      <c r="Y140" s="299"/>
      <c r="Z140" s="299"/>
      <c r="AA140" s="299"/>
      <c r="AB140" s="299"/>
      <c r="AC140" s="300"/>
      <c r="AD140" s="302" t="n">
        <f aca="false">IF(SUM(L140:AC140)=0,0,SUM(L140:AC140)/'Conformación JD'!$X$16)</f>
        <v>0</v>
      </c>
      <c r="AE140" s="301" t="n">
        <f aca="false">SUM(L140:AC140)</f>
        <v>0</v>
      </c>
      <c r="AF140" s="301" t="n">
        <f aca="false">+AC140+AA140+Y140+W140+U140+S140+Q140+O140+M140</f>
        <v>0</v>
      </c>
      <c r="AG140" s="357" t="n">
        <f aca="false">IF(AE140=0,0,AF140/AE140)</f>
        <v>0</v>
      </c>
      <c r="AH140" s="358"/>
    </row>
    <row r="141" customFormat="false" ht="13.8" hidden="false" customHeight="false" outlineLevel="0" collapsed="false">
      <c r="A141" s="353"/>
      <c r="B141" s="353"/>
      <c r="C141" s="353"/>
      <c r="D141" s="353"/>
      <c r="E141" s="360" t="n">
        <v>10</v>
      </c>
      <c r="F141" s="361"/>
      <c r="G141" s="362"/>
      <c r="H141" s="362"/>
      <c r="I141" s="360"/>
      <c r="J141" s="300" t="n">
        <f aca="false">IF(H141&lt;&gt;"OTROS",1,0)*IF(I141=1,1,0)</f>
        <v>0</v>
      </c>
      <c r="K141" s="356"/>
      <c r="L141" s="360"/>
      <c r="M141" s="360"/>
      <c r="N141" s="360"/>
      <c r="O141" s="360"/>
      <c r="P141" s="360"/>
      <c r="Q141" s="360"/>
      <c r="R141" s="360"/>
      <c r="S141" s="360"/>
      <c r="T141" s="360"/>
      <c r="U141" s="360"/>
      <c r="V141" s="360"/>
      <c r="W141" s="360"/>
      <c r="X141" s="360"/>
      <c r="Y141" s="360"/>
      <c r="Z141" s="360"/>
      <c r="AA141" s="360"/>
      <c r="AB141" s="360"/>
      <c r="AC141" s="363"/>
      <c r="AD141" s="302" t="n">
        <f aca="false">IF(SUM(L141:AC141)=0,0,SUM(L141:AC141)/'Conformación JD'!$X$16)</f>
        <v>0</v>
      </c>
      <c r="AE141" s="301" t="n">
        <f aca="false">SUM(L141:AC141)</f>
        <v>0</v>
      </c>
      <c r="AF141" s="301" t="n">
        <f aca="false">+AC141+AA141+Y141+W141+U141+S141+Q141+O141+M141</f>
        <v>0</v>
      </c>
      <c r="AG141" s="357" t="n">
        <f aca="false">IF(AE141=0,0,AF141/AE141)</f>
        <v>0</v>
      </c>
      <c r="AH141" s="358"/>
    </row>
    <row r="142" customFormat="false" ht="13.8" hidden="false" customHeight="true" outlineLevel="0" collapsed="false">
      <c r="A142" s="305"/>
      <c r="B142" s="305"/>
      <c r="C142" s="305"/>
      <c r="D142" s="305"/>
      <c r="E142" s="364" t="s">
        <v>366</v>
      </c>
      <c r="F142" s="364"/>
      <c r="G142" s="364"/>
      <c r="H142" s="364"/>
      <c r="I142" s="365" t="n">
        <f aca="false">IF((COUNTIF(G132:G141,"&lt;&gt;"))&lt;&gt;0,SUM(I132:I141)/COUNTIF(G132:G141,"&lt;&gt;"),0)</f>
        <v>0</v>
      </c>
      <c r="J142" s="366" t="n">
        <f aca="false">IF((COUNTIF(H132:H141,"&lt;&gt;"))&lt;&gt;0,SUM(J132:J141)/COUNTIF(H132:H141,"&lt;&gt;"),0)</f>
        <v>0</v>
      </c>
      <c r="K142" s="310" t="n">
        <f aca="false">IF((COUNTIF(H132:H141,"&lt;&gt;"))&lt;&gt;0,SUM(K132:K141)/COUNTIF(H132:H141,"&lt;&gt;"),0)</f>
        <v>0</v>
      </c>
      <c r="L142" s="307" t="n">
        <f aca="false">SUM(L132:L141)</f>
        <v>0</v>
      </c>
      <c r="M142" s="307" t="n">
        <f aca="false">SUM(M132:M141)</f>
        <v>0</v>
      </c>
      <c r="N142" s="307" t="n">
        <f aca="false">SUM(N132:N141)</f>
        <v>0</v>
      </c>
      <c r="O142" s="307" t="n">
        <f aca="false">SUM(O132:O141)</f>
        <v>0</v>
      </c>
      <c r="P142" s="307" t="n">
        <f aca="false">SUM(P132:P141)</f>
        <v>0</v>
      </c>
      <c r="Q142" s="307" t="n">
        <f aca="false">SUM(Q132:Q141)</f>
        <v>0</v>
      </c>
      <c r="R142" s="307" t="n">
        <f aca="false">SUM(R132:R141)</f>
        <v>0</v>
      </c>
      <c r="S142" s="307" t="n">
        <f aca="false">SUM(S132:S141)</f>
        <v>0</v>
      </c>
      <c r="T142" s="307" t="n">
        <f aca="false">SUM(T132:T141)</f>
        <v>0</v>
      </c>
      <c r="U142" s="307" t="n">
        <f aca="false">SUM(U132:U141)</f>
        <v>0</v>
      </c>
      <c r="V142" s="307" t="n">
        <f aca="false">SUM(V132:V141)</f>
        <v>0</v>
      </c>
      <c r="W142" s="307" t="n">
        <f aca="false">SUM(W132:W141)</f>
        <v>0</v>
      </c>
      <c r="X142" s="307" t="n">
        <f aca="false">SUM(X132:X141)</f>
        <v>0</v>
      </c>
      <c r="Y142" s="307" t="n">
        <f aca="false">SUM(Y132:Y141)</f>
        <v>0</v>
      </c>
      <c r="Z142" s="307" t="n">
        <f aca="false">SUM(Z132:Z141)</f>
        <v>0</v>
      </c>
      <c r="AA142" s="307" t="n">
        <f aca="false">SUM(AA132:AA141)</f>
        <v>0</v>
      </c>
      <c r="AB142" s="307" t="n">
        <f aca="false">SUM(AB132:AB141)</f>
        <v>0</v>
      </c>
      <c r="AC142" s="307" t="n">
        <f aca="false">SUM(AC132:AC141)</f>
        <v>0</v>
      </c>
      <c r="AD142" s="310" t="n">
        <f aca="false">IF(SUM(AD132:AD141)=0,0,SUM(AD132:AD141)/COUNTIF(AD132:AD141,"&lt;&gt;0"))</f>
        <v>0</v>
      </c>
      <c r="AE142" s="365" t="n">
        <f aca="false">IF(SUM(AE132:AE141)=0,0,SUM(AE132:AE141)/COUNTIF(AE132:AE141,"&lt;&gt;0"))</f>
        <v>0</v>
      </c>
      <c r="AF142" s="365" t="n">
        <f aca="false">IF(SUM(AF132:AF141)=0,0,SUM(AF132:AF141)/COUNTIF(AF132:AF141,"&lt;&gt;0"))</f>
        <v>0</v>
      </c>
      <c r="AG142" s="310" t="n">
        <f aca="false">IF(SUM(AG132:AG141)=0,0,SUM(AG132:AG141)/COUNTIF(AD132:AD141,"&lt;&gt;0"))</f>
        <v>0</v>
      </c>
      <c r="AH142" s="367"/>
    </row>
    <row r="143" customFormat="false" ht="12.75" hidden="false" customHeight="true" outlineLevel="0" collapsed="false">
      <c r="A143" s="287" t="s">
        <v>315</v>
      </c>
      <c r="B143" s="287" t="s">
        <v>316</v>
      </c>
      <c r="C143" s="287" t="s">
        <v>317</v>
      </c>
      <c r="D143" s="288" t="s">
        <v>318</v>
      </c>
      <c r="E143" s="344" t="s">
        <v>349</v>
      </c>
      <c r="F143" s="345" t="s">
        <v>350</v>
      </c>
      <c r="G143" s="346" t="s">
        <v>351</v>
      </c>
      <c r="H143" s="347" t="s">
        <v>352</v>
      </c>
      <c r="I143" s="348" t="s">
        <v>353</v>
      </c>
      <c r="J143" s="348" t="s">
        <v>354</v>
      </c>
      <c r="K143" s="347" t="s">
        <v>355</v>
      </c>
      <c r="L143" s="346" t="s">
        <v>320</v>
      </c>
      <c r="M143" s="346"/>
      <c r="N143" s="346"/>
      <c r="O143" s="346"/>
      <c r="P143" s="346"/>
      <c r="Q143" s="346"/>
      <c r="R143" s="346"/>
      <c r="S143" s="346"/>
      <c r="T143" s="346"/>
      <c r="U143" s="346"/>
      <c r="V143" s="346"/>
      <c r="W143" s="346"/>
      <c r="X143" s="346"/>
      <c r="Y143" s="346"/>
      <c r="Z143" s="346"/>
      <c r="AA143" s="346"/>
      <c r="AB143" s="346"/>
      <c r="AC143" s="346"/>
      <c r="AD143" s="349"/>
      <c r="AE143" s="349"/>
      <c r="AF143" s="349"/>
      <c r="AG143" s="349"/>
      <c r="AH143" s="184"/>
    </row>
    <row r="144" customFormat="false" ht="12" hidden="false" customHeight="true" outlineLevel="0" collapsed="false">
      <c r="A144" s="287"/>
      <c r="B144" s="287"/>
      <c r="C144" s="287"/>
      <c r="D144" s="288"/>
      <c r="E144" s="344"/>
      <c r="F144" s="345"/>
      <c r="G144" s="346"/>
      <c r="H144" s="347"/>
      <c r="I144" s="348"/>
      <c r="J144" s="348"/>
      <c r="K144" s="347"/>
      <c r="L144" s="293" t="s">
        <v>321</v>
      </c>
      <c r="M144" s="293"/>
      <c r="N144" s="293" t="s">
        <v>356</v>
      </c>
      <c r="O144" s="293"/>
      <c r="P144" s="293" t="s">
        <v>357</v>
      </c>
      <c r="Q144" s="293"/>
      <c r="R144" s="293" t="s">
        <v>324</v>
      </c>
      <c r="S144" s="293"/>
      <c r="T144" s="293" t="s">
        <v>325</v>
      </c>
      <c r="U144" s="293"/>
      <c r="V144" s="293" t="s">
        <v>326</v>
      </c>
      <c r="W144" s="293"/>
      <c r="X144" s="293" t="s">
        <v>327</v>
      </c>
      <c r="Y144" s="293"/>
      <c r="Z144" s="293" t="s">
        <v>328</v>
      </c>
      <c r="AA144" s="293"/>
      <c r="AB144" s="293" t="s">
        <v>329</v>
      </c>
      <c r="AC144" s="293"/>
      <c r="AD144" s="350" t="s">
        <v>358</v>
      </c>
      <c r="AE144" s="350" t="s">
        <v>359</v>
      </c>
      <c r="AF144" s="350" t="s">
        <v>360</v>
      </c>
      <c r="AG144" s="350" t="s">
        <v>361</v>
      </c>
      <c r="AH144" s="351" t="s">
        <v>362</v>
      </c>
    </row>
    <row r="145" customFormat="false" ht="42" hidden="false" customHeight="true" outlineLevel="0" collapsed="false">
      <c r="A145" s="287"/>
      <c r="B145" s="287"/>
      <c r="C145" s="287"/>
      <c r="D145" s="288"/>
      <c r="E145" s="344"/>
      <c r="F145" s="345"/>
      <c r="G145" s="346"/>
      <c r="H145" s="347"/>
      <c r="I145" s="348"/>
      <c r="J145" s="348"/>
      <c r="K145" s="347"/>
      <c r="L145" s="295" t="s">
        <v>68</v>
      </c>
      <c r="M145" s="295" t="s">
        <v>298</v>
      </c>
      <c r="N145" s="295" t="s">
        <v>68</v>
      </c>
      <c r="O145" s="295" t="s">
        <v>298</v>
      </c>
      <c r="P145" s="295" t="s">
        <v>68</v>
      </c>
      <c r="Q145" s="295" t="s">
        <v>298</v>
      </c>
      <c r="R145" s="295" t="s">
        <v>68</v>
      </c>
      <c r="S145" s="295" t="s">
        <v>298</v>
      </c>
      <c r="T145" s="295" t="s">
        <v>68</v>
      </c>
      <c r="U145" s="295" t="s">
        <v>298</v>
      </c>
      <c r="V145" s="295" t="s">
        <v>68</v>
      </c>
      <c r="W145" s="295" t="s">
        <v>298</v>
      </c>
      <c r="X145" s="295" t="s">
        <v>68</v>
      </c>
      <c r="Y145" s="295" t="s">
        <v>298</v>
      </c>
      <c r="Z145" s="295" t="s">
        <v>68</v>
      </c>
      <c r="AA145" s="295" t="s">
        <v>298</v>
      </c>
      <c r="AB145" s="295" t="s">
        <v>68</v>
      </c>
      <c r="AC145" s="296" t="s">
        <v>298</v>
      </c>
      <c r="AD145" s="350"/>
      <c r="AE145" s="350"/>
      <c r="AF145" s="350"/>
      <c r="AG145" s="350"/>
      <c r="AH145" s="351"/>
    </row>
    <row r="146" customFormat="false" ht="13.8" hidden="false" customHeight="false" outlineLevel="0" collapsed="false">
      <c r="A146" s="353" t="n">
        <f aca="false">'Listado CAPS'!A143</f>
        <v>0</v>
      </c>
      <c r="B146" s="353" t="n">
        <f aca="false">'Listado CAPS'!B143</f>
        <v>0</v>
      </c>
      <c r="C146" s="353" t="n">
        <f aca="false">'Listado CAPS'!C143</f>
        <v>0</v>
      </c>
      <c r="D146" s="353" t="str">
        <f aca="false">'Listado CAPS'!D13</f>
        <v>K</v>
      </c>
      <c r="E146" s="299" t="n">
        <v>1</v>
      </c>
      <c r="F146" s="354"/>
      <c r="G146" s="304"/>
      <c r="H146" s="355"/>
      <c r="I146" s="299"/>
      <c r="J146" s="300" t="n">
        <f aca="false">IF(H146&lt;&gt;"OTROS",1,0)*IF(I146=1,1,0)</f>
        <v>0</v>
      </c>
      <c r="K146" s="356"/>
      <c r="L146" s="299"/>
      <c r="M146" s="299"/>
      <c r="N146" s="299"/>
      <c r="O146" s="299"/>
      <c r="P146" s="299"/>
      <c r="Q146" s="299"/>
      <c r="R146" s="299"/>
      <c r="S146" s="299"/>
      <c r="T146" s="299"/>
      <c r="U146" s="299"/>
      <c r="V146" s="299"/>
      <c r="W146" s="299"/>
      <c r="X146" s="299"/>
      <c r="Y146" s="299"/>
      <c r="Z146" s="299"/>
      <c r="AA146" s="299"/>
      <c r="AB146" s="299"/>
      <c r="AC146" s="300"/>
      <c r="AD146" s="302" t="n">
        <f aca="false">IF(SUM(L146:AC146)=0,0,SUM(L146:AC146)/'Conformación JD'!$X$17)</f>
        <v>0</v>
      </c>
      <c r="AE146" s="301" t="n">
        <f aca="false">SUM(L146:AC146)</f>
        <v>0</v>
      </c>
      <c r="AF146" s="301" t="n">
        <f aca="false">+AC146+AA146+Y146+W146+U146+S146+Q146+O146+M146</f>
        <v>0</v>
      </c>
      <c r="AG146" s="357" t="n">
        <f aca="false">IF(AE146=0,0,AF146/AE146)</f>
        <v>0</v>
      </c>
      <c r="AH146" s="299"/>
    </row>
    <row r="147" customFormat="false" ht="13.8" hidden="false" customHeight="false" outlineLevel="0" collapsed="false">
      <c r="A147" s="353"/>
      <c r="B147" s="353"/>
      <c r="C147" s="353"/>
      <c r="D147" s="353"/>
      <c r="E147" s="299" t="n">
        <v>2</v>
      </c>
      <c r="F147" s="354"/>
      <c r="G147" s="304"/>
      <c r="H147" s="355"/>
      <c r="I147" s="299"/>
      <c r="J147" s="300" t="n">
        <f aca="false">IF(H147&lt;&gt;"OTROS",1,0)*IF(I147=1,1,0)</f>
        <v>0</v>
      </c>
      <c r="K147" s="356"/>
      <c r="L147" s="299"/>
      <c r="M147" s="299"/>
      <c r="N147" s="299"/>
      <c r="O147" s="299"/>
      <c r="P147" s="299"/>
      <c r="Q147" s="299"/>
      <c r="R147" s="299"/>
      <c r="S147" s="299"/>
      <c r="T147" s="299"/>
      <c r="U147" s="299"/>
      <c r="V147" s="299"/>
      <c r="W147" s="299"/>
      <c r="X147" s="299"/>
      <c r="Y147" s="299"/>
      <c r="Z147" s="299"/>
      <c r="AA147" s="299"/>
      <c r="AB147" s="299"/>
      <c r="AC147" s="300"/>
      <c r="AD147" s="302" t="n">
        <f aca="false">IF(SUM(L147:AC147)=0,0,SUM(L147:AC147)/'Conformación JD'!$X$17)</f>
        <v>0</v>
      </c>
      <c r="AE147" s="301" t="n">
        <f aca="false">SUM(L147:AC147)</f>
        <v>0</v>
      </c>
      <c r="AF147" s="301" t="n">
        <f aca="false">+AC147+AA147+Y147+W147+U147+S147+Q147+O147+M147</f>
        <v>0</v>
      </c>
      <c r="AG147" s="357" t="n">
        <f aca="false">IF(AE147=0,0,AF147/AE147)</f>
        <v>0</v>
      </c>
      <c r="AH147" s="358"/>
    </row>
    <row r="148" customFormat="false" ht="13.8" hidden="false" customHeight="false" outlineLevel="0" collapsed="false">
      <c r="A148" s="353"/>
      <c r="B148" s="353"/>
      <c r="C148" s="353"/>
      <c r="D148" s="353"/>
      <c r="E148" s="299" t="n">
        <v>3</v>
      </c>
      <c r="F148" s="354"/>
      <c r="G148" s="304"/>
      <c r="H148" s="355"/>
      <c r="I148" s="299"/>
      <c r="J148" s="300" t="n">
        <f aca="false">IF(H148&lt;&gt;"OTROS",1,0)*IF(I148=1,1,0)</f>
        <v>0</v>
      </c>
      <c r="K148" s="356"/>
      <c r="L148" s="299"/>
      <c r="M148" s="299"/>
      <c r="N148" s="299"/>
      <c r="O148" s="299"/>
      <c r="P148" s="299"/>
      <c r="Q148" s="299"/>
      <c r="R148" s="299"/>
      <c r="S148" s="299"/>
      <c r="T148" s="299"/>
      <c r="U148" s="299"/>
      <c r="V148" s="299"/>
      <c r="W148" s="299"/>
      <c r="X148" s="299"/>
      <c r="Y148" s="299"/>
      <c r="Z148" s="299"/>
      <c r="AA148" s="299"/>
      <c r="AB148" s="299"/>
      <c r="AC148" s="300"/>
      <c r="AD148" s="302" t="n">
        <f aca="false">IF(SUM(L148:AC148)=0,0,SUM(L148:AC148)/'Conformación JD'!$X$17)</f>
        <v>0</v>
      </c>
      <c r="AE148" s="301" t="n">
        <f aca="false">SUM(L148:AC148)</f>
        <v>0</v>
      </c>
      <c r="AF148" s="301" t="n">
        <f aca="false">+AC148+AA148+Y148+W148+U148+S148+Q148+O148+M148</f>
        <v>0</v>
      </c>
      <c r="AG148" s="357" t="n">
        <f aca="false">IF(AE148=0,0,AF148/AE148)</f>
        <v>0</v>
      </c>
      <c r="AH148" s="359"/>
    </row>
    <row r="149" customFormat="false" ht="13.8" hidden="false" customHeight="false" outlineLevel="0" collapsed="false">
      <c r="A149" s="353"/>
      <c r="B149" s="353"/>
      <c r="C149" s="353"/>
      <c r="D149" s="353"/>
      <c r="E149" s="299" t="n">
        <v>4</v>
      </c>
      <c r="F149" s="354"/>
      <c r="G149" s="355"/>
      <c r="H149" s="355"/>
      <c r="I149" s="299"/>
      <c r="J149" s="300" t="n">
        <f aca="false">IF(H149&lt;&gt;"OTROS",1,0)*IF(I149=1,1,0)</f>
        <v>0</v>
      </c>
      <c r="K149" s="356"/>
      <c r="L149" s="299"/>
      <c r="M149" s="299"/>
      <c r="N149" s="299"/>
      <c r="O149" s="299"/>
      <c r="P149" s="299"/>
      <c r="Q149" s="299"/>
      <c r="R149" s="299"/>
      <c r="S149" s="299"/>
      <c r="T149" s="299"/>
      <c r="U149" s="299"/>
      <c r="V149" s="299"/>
      <c r="W149" s="299"/>
      <c r="X149" s="299"/>
      <c r="Y149" s="299"/>
      <c r="Z149" s="299"/>
      <c r="AA149" s="299"/>
      <c r="AB149" s="299"/>
      <c r="AC149" s="300"/>
      <c r="AD149" s="302" t="n">
        <f aca="false">IF(SUM(L149:AC149)=0,0,SUM(L149:AC149)/'Conformación JD'!$X$17)</f>
        <v>0</v>
      </c>
      <c r="AE149" s="301" t="n">
        <f aca="false">SUM(L149:AC149)</f>
        <v>0</v>
      </c>
      <c r="AF149" s="301" t="n">
        <f aca="false">+AC149+AA149+Y149+W149+U149+S149+Q149+O149+M149</f>
        <v>0</v>
      </c>
      <c r="AG149" s="357" t="n">
        <f aca="false">IF(AE149=0,0,AF149/AE149)</f>
        <v>0</v>
      </c>
      <c r="AH149" s="358"/>
    </row>
    <row r="150" customFormat="false" ht="13.8" hidden="false" customHeight="false" outlineLevel="0" collapsed="false">
      <c r="A150" s="353"/>
      <c r="B150" s="353"/>
      <c r="C150" s="353"/>
      <c r="D150" s="353"/>
      <c r="E150" s="299" t="n">
        <v>5</v>
      </c>
      <c r="F150" s="354"/>
      <c r="G150" s="355"/>
      <c r="H150" s="355"/>
      <c r="I150" s="299"/>
      <c r="J150" s="300" t="n">
        <f aca="false">IF(H150&lt;&gt;"OTROS",1,0)*IF(I150=1,1,0)</f>
        <v>0</v>
      </c>
      <c r="K150" s="356"/>
      <c r="L150" s="299"/>
      <c r="M150" s="299"/>
      <c r="N150" s="299"/>
      <c r="O150" s="299"/>
      <c r="P150" s="299"/>
      <c r="Q150" s="299"/>
      <c r="R150" s="299"/>
      <c r="S150" s="299"/>
      <c r="T150" s="299"/>
      <c r="U150" s="299"/>
      <c r="V150" s="299"/>
      <c r="W150" s="299"/>
      <c r="X150" s="299"/>
      <c r="Y150" s="299"/>
      <c r="Z150" s="299"/>
      <c r="AA150" s="299"/>
      <c r="AB150" s="299"/>
      <c r="AC150" s="300"/>
      <c r="AD150" s="302" t="n">
        <f aca="false">IF(SUM(L150:AC150)=0,0,SUM(L150:AC150)/'Conformación JD'!$X$17)</f>
        <v>0</v>
      </c>
      <c r="AE150" s="301" t="n">
        <f aca="false">SUM(L150:AC150)</f>
        <v>0</v>
      </c>
      <c r="AF150" s="301" t="n">
        <f aca="false">+AC150+AA150+Y150+W150+U150+S150+Q150+O150+M150</f>
        <v>0</v>
      </c>
      <c r="AG150" s="357" t="n">
        <f aca="false">IF(AE150=0,0,AF150/AE150)</f>
        <v>0</v>
      </c>
      <c r="AH150" s="358"/>
    </row>
    <row r="151" customFormat="false" ht="13.8" hidden="false" customHeight="false" outlineLevel="0" collapsed="false">
      <c r="A151" s="353"/>
      <c r="B151" s="353"/>
      <c r="C151" s="353"/>
      <c r="D151" s="353"/>
      <c r="E151" s="299" t="n">
        <v>6</v>
      </c>
      <c r="F151" s="354"/>
      <c r="G151" s="355"/>
      <c r="H151" s="355"/>
      <c r="I151" s="299"/>
      <c r="J151" s="300" t="n">
        <f aca="false">IF(H151&lt;&gt;"OTROS",1,0)*IF(I151=1,1,0)</f>
        <v>0</v>
      </c>
      <c r="K151" s="356"/>
      <c r="L151" s="299"/>
      <c r="M151" s="299"/>
      <c r="N151" s="299"/>
      <c r="O151" s="299"/>
      <c r="P151" s="299"/>
      <c r="Q151" s="299"/>
      <c r="R151" s="299"/>
      <c r="S151" s="299"/>
      <c r="T151" s="299"/>
      <c r="U151" s="299"/>
      <c r="V151" s="299"/>
      <c r="W151" s="299"/>
      <c r="X151" s="299"/>
      <c r="Y151" s="299"/>
      <c r="Z151" s="299"/>
      <c r="AA151" s="299"/>
      <c r="AB151" s="299"/>
      <c r="AC151" s="300"/>
      <c r="AD151" s="302" t="n">
        <f aca="false">IF(SUM(L151:AC151)=0,0,SUM(L151:AC151)/'Conformación JD'!$X$17)</f>
        <v>0</v>
      </c>
      <c r="AE151" s="301" t="n">
        <f aca="false">SUM(L151:AC151)</f>
        <v>0</v>
      </c>
      <c r="AF151" s="301" t="n">
        <f aca="false">+AC151+AA151+Y151+W151+U151+S151+Q151+O151+M151</f>
        <v>0</v>
      </c>
      <c r="AG151" s="357" t="n">
        <f aca="false">IF(AE151=0,0,AF151/AE151)</f>
        <v>0</v>
      </c>
      <c r="AH151" s="358"/>
    </row>
    <row r="152" customFormat="false" ht="13.8" hidden="false" customHeight="false" outlineLevel="0" collapsed="false">
      <c r="A152" s="353"/>
      <c r="B152" s="353"/>
      <c r="C152" s="353"/>
      <c r="D152" s="353"/>
      <c r="E152" s="299" t="n">
        <v>7</v>
      </c>
      <c r="F152" s="354"/>
      <c r="G152" s="355"/>
      <c r="H152" s="355"/>
      <c r="I152" s="299"/>
      <c r="J152" s="300" t="n">
        <f aca="false">IF(H152&lt;&gt;"OTROS",1,0)*IF(I152=1,1,0)</f>
        <v>0</v>
      </c>
      <c r="K152" s="356"/>
      <c r="L152" s="299"/>
      <c r="M152" s="299"/>
      <c r="N152" s="299"/>
      <c r="O152" s="299"/>
      <c r="P152" s="299"/>
      <c r="Q152" s="299"/>
      <c r="R152" s="299"/>
      <c r="S152" s="299"/>
      <c r="T152" s="299"/>
      <c r="U152" s="299"/>
      <c r="V152" s="299"/>
      <c r="W152" s="299"/>
      <c r="X152" s="299"/>
      <c r="Y152" s="299"/>
      <c r="Z152" s="299"/>
      <c r="AA152" s="299"/>
      <c r="AB152" s="299"/>
      <c r="AC152" s="300"/>
      <c r="AD152" s="302" t="n">
        <f aca="false">IF(SUM(L152:AC152)=0,0,SUM(L152:AC152)/'Conformación JD'!$X$17)</f>
        <v>0</v>
      </c>
      <c r="AE152" s="301" t="n">
        <f aca="false">SUM(L152:AC152)</f>
        <v>0</v>
      </c>
      <c r="AF152" s="301" t="n">
        <f aca="false">+AC152+AA152+Y152+W152+U152+S152+Q152+O152+M152</f>
        <v>0</v>
      </c>
      <c r="AG152" s="357" t="n">
        <f aca="false">IF(AE152=0,0,AF152/AE152)</f>
        <v>0</v>
      </c>
      <c r="AH152" s="358"/>
    </row>
    <row r="153" customFormat="false" ht="13.8" hidden="false" customHeight="false" outlineLevel="0" collapsed="false">
      <c r="A153" s="353"/>
      <c r="B153" s="353"/>
      <c r="C153" s="353"/>
      <c r="D153" s="353"/>
      <c r="E153" s="299" t="n">
        <v>8</v>
      </c>
      <c r="F153" s="354"/>
      <c r="G153" s="355"/>
      <c r="H153" s="355"/>
      <c r="I153" s="299"/>
      <c r="J153" s="300" t="n">
        <f aca="false">IF(H153&lt;&gt;"OTROS",1,0)*IF(I153=1,1,0)</f>
        <v>0</v>
      </c>
      <c r="K153" s="356"/>
      <c r="L153" s="299"/>
      <c r="M153" s="299"/>
      <c r="N153" s="299"/>
      <c r="O153" s="299"/>
      <c r="P153" s="299"/>
      <c r="Q153" s="299"/>
      <c r="R153" s="299"/>
      <c r="S153" s="299"/>
      <c r="T153" s="299"/>
      <c r="U153" s="299"/>
      <c r="V153" s="299"/>
      <c r="W153" s="299"/>
      <c r="X153" s="299"/>
      <c r="Y153" s="299"/>
      <c r="Z153" s="299"/>
      <c r="AA153" s="299"/>
      <c r="AB153" s="299"/>
      <c r="AC153" s="300"/>
      <c r="AD153" s="302" t="n">
        <f aca="false">IF(SUM(L153:AC153)=0,0,SUM(L153:AC153)/'Conformación JD'!$X$17)</f>
        <v>0</v>
      </c>
      <c r="AE153" s="301" t="n">
        <f aca="false">SUM(L153:AC153)</f>
        <v>0</v>
      </c>
      <c r="AF153" s="301" t="n">
        <f aca="false">+AC153+AA153+Y153+W153+U153+S153+Q153+O153+M153</f>
        <v>0</v>
      </c>
      <c r="AG153" s="357" t="n">
        <f aca="false">IF(AE153=0,0,AF153/AE153)</f>
        <v>0</v>
      </c>
      <c r="AH153" s="358"/>
    </row>
    <row r="154" customFormat="false" ht="13.8" hidden="false" customHeight="false" outlineLevel="0" collapsed="false">
      <c r="A154" s="353"/>
      <c r="B154" s="353"/>
      <c r="C154" s="353"/>
      <c r="D154" s="353"/>
      <c r="E154" s="299" t="n">
        <v>9</v>
      </c>
      <c r="F154" s="354"/>
      <c r="G154" s="355"/>
      <c r="H154" s="355"/>
      <c r="I154" s="299"/>
      <c r="J154" s="300" t="n">
        <f aca="false">IF(H154&lt;&gt;"OTROS",1,0)*IF(I154=1,1,0)</f>
        <v>0</v>
      </c>
      <c r="K154" s="356"/>
      <c r="L154" s="299"/>
      <c r="M154" s="299"/>
      <c r="N154" s="299"/>
      <c r="O154" s="299"/>
      <c r="P154" s="299"/>
      <c r="Q154" s="299"/>
      <c r="R154" s="299"/>
      <c r="S154" s="299"/>
      <c r="T154" s="299"/>
      <c r="U154" s="299"/>
      <c r="V154" s="299"/>
      <c r="W154" s="299"/>
      <c r="X154" s="299"/>
      <c r="Y154" s="299"/>
      <c r="Z154" s="299"/>
      <c r="AA154" s="299"/>
      <c r="AB154" s="299"/>
      <c r="AC154" s="300"/>
      <c r="AD154" s="302" t="n">
        <f aca="false">IF(SUM(L154:AC154)=0,0,SUM(L154:AC154)/'Conformación JD'!$X$17)</f>
        <v>0</v>
      </c>
      <c r="AE154" s="301" t="n">
        <f aca="false">SUM(L154:AC154)</f>
        <v>0</v>
      </c>
      <c r="AF154" s="301" t="n">
        <f aca="false">+AC154+AA154+Y154+W154+U154+S154+Q154+O154+M154</f>
        <v>0</v>
      </c>
      <c r="AG154" s="357" t="n">
        <f aca="false">IF(AE154=0,0,AF154/AE154)</f>
        <v>0</v>
      </c>
      <c r="AH154" s="358"/>
    </row>
    <row r="155" customFormat="false" ht="13.8" hidden="false" customHeight="false" outlineLevel="0" collapsed="false">
      <c r="A155" s="353"/>
      <c r="B155" s="353"/>
      <c r="C155" s="353"/>
      <c r="D155" s="353"/>
      <c r="E155" s="360" t="n">
        <v>10</v>
      </c>
      <c r="F155" s="361"/>
      <c r="G155" s="362"/>
      <c r="H155" s="362"/>
      <c r="I155" s="360"/>
      <c r="J155" s="300" t="n">
        <f aca="false">IF(H155&lt;&gt;"OTROS",1,0)*IF(I155=1,1,0)</f>
        <v>0</v>
      </c>
      <c r="K155" s="356"/>
      <c r="L155" s="360"/>
      <c r="M155" s="360"/>
      <c r="N155" s="360"/>
      <c r="O155" s="360"/>
      <c r="P155" s="360"/>
      <c r="Q155" s="360"/>
      <c r="R155" s="360"/>
      <c r="S155" s="360"/>
      <c r="T155" s="360"/>
      <c r="U155" s="360"/>
      <c r="V155" s="360"/>
      <c r="W155" s="360"/>
      <c r="X155" s="360"/>
      <c r="Y155" s="360"/>
      <c r="Z155" s="360"/>
      <c r="AA155" s="360"/>
      <c r="AB155" s="360"/>
      <c r="AC155" s="363"/>
      <c r="AD155" s="302" t="n">
        <f aca="false">IF(SUM(L155:AC155)=0,0,SUM(L155:AC155)/'Conformación JD'!$X$17)</f>
        <v>0</v>
      </c>
      <c r="AE155" s="301" t="n">
        <f aca="false">SUM(L155:AC155)</f>
        <v>0</v>
      </c>
      <c r="AF155" s="301" t="n">
        <f aca="false">+AC155+AA155+Y155+W155+U155+S155+Q155+O155+M155</f>
        <v>0</v>
      </c>
      <c r="AG155" s="357" t="n">
        <f aca="false">IF(AE155=0,0,AF155/AE155)</f>
        <v>0</v>
      </c>
      <c r="AH155" s="358"/>
    </row>
    <row r="156" customFormat="false" ht="13.8" hidden="false" customHeight="true" outlineLevel="0" collapsed="false">
      <c r="A156" s="305"/>
      <c r="B156" s="305"/>
      <c r="C156" s="305"/>
      <c r="D156" s="305"/>
      <c r="E156" s="364" t="s">
        <v>366</v>
      </c>
      <c r="F156" s="364"/>
      <c r="G156" s="364"/>
      <c r="H156" s="364"/>
      <c r="I156" s="365" t="n">
        <f aca="false">IF((COUNTIF(G146:G155,"&lt;&gt;"))&lt;&gt;0,SUM(I146:I155)/COUNTIF(G146:G155,"&lt;&gt;"),0)</f>
        <v>0</v>
      </c>
      <c r="J156" s="366" t="n">
        <f aca="false">IF((COUNTIF(H146:H155,"&lt;&gt;"))&lt;&gt;0,SUM(J146:J155)/COUNTIF(H146:H155,"&lt;&gt;"),0)</f>
        <v>0</v>
      </c>
      <c r="K156" s="310" t="n">
        <f aca="false">IF((COUNTIF(H146:H155,"&lt;&gt;"))&lt;&gt;0,SUM(K146:K155)/COUNTIF(H146:H155,"&lt;&gt;"),0)</f>
        <v>0</v>
      </c>
      <c r="L156" s="307" t="n">
        <f aca="false">SUM(L146:L155)</f>
        <v>0</v>
      </c>
      <c r="M156" s="307" t="n">
        <f aca="false">SUM(M146:M155)</f>
        <v>0</v>
      </c>
      <c r="N156" s="307" t="n">
        <f aca="false">SUM(N146:N155)</f>
        <v>0</v>
      </c>
      <c r="O156" s="307" t="n">
        <f aca="false">SUM(O146:O155)</f>
        <v>0</v>
      </c>
      <c r="P156" s="307" t="n">
        <f aca="false">SUM(P146:P155)</f>
        <v>0</v>
      </c>
      <c r="Q156" s="307" t="n">
        <f aca="false">SUM(Q146:Q155)</f>
        <v>0</v>
      </c>
      <c r="R156" s="307" t="n">
        <f aca="false">SUM(R146:R155)</f>
        <v>0</v>
      </c>
      <c r="S156" s="307" t="n">
        <f aca="false">SUM(S146:S155)</f>
        <v>0</v>
      </c>
      <c r="T156" s="307" t="n">
        <f aca="false">SUM(T146:T155)</f>
        <v>0</v>
      </c>
      <c r="U156" s="307" t="n">
        <f aca="false">SUM(U146:U155)</f>
        <v>0</v>
      </c>
      <c r="V156" s="307" t="n">
        <f aca="false">SUM(V146:V155)</f>
        <v>0</v>
      </c>
      <c r="W156" s="307" t="n">
        <f aca="false">SUM(W146:W155)</f>
        <v>0</v>
      </c>
      <c r="X156" s="307" t="n">
        <f aca="false">SUM(X146:X155)</f>
        <v>0</v>
      </c>
      <c r="Y156" s="307" t="n">
        <f aca="false">SUM(Y146:Y155)</f>
        <v>0</v>
      </c>
      <c r="Z156" s="307" t="n">
        <f aca="false">SUM(Z146:Z155)</f>
        <v>0</v>
      </c>
      <c r="AA156" s="307" t="n">
        <f aca="false">SUM(AA146:AA155)</f>
        <v>0</v>
      </c>
      <c r="AB156" s="307" t="n">
        <f aca="false">SUM(AB146:AB155)</f>
        <v>0</v>
      </c>
      <c r="AC156" s="307" t="n">
        <f aca="false">SUM(AC146:AC155)</f>
        <v>0</v>
      </c>
      <c r="AD156" s="310" t="n">
        <f aca="false">IF(SUM(AD146:AD155)=0,0,SUM(AD146:AD155)/COUNTIF(AD146:AD155,"&lt;&gt;0"))</f>
        <v>0</v>
      </c>
      <c r="AE156" s="365" t="n">
        <f aca="false">IF(SUM(AE146:AE155)=0,0,SUM(AE146:AE155)/COUNTIF(AE146:AE155,"&lt;&gt;0"))</f>
        <v>0</v>
      </c>
      <c r="AF156" s="365" t="n">
        <f aca="false">IF(SUM(AF146:AF155)=0,0,SUM(AF146:AF155)/COUNTIF(AF146:AF155,"&lt;&gt;0"))</f>
        <v>0</v>
      </c>
      <c r="AG156" s="310" t="n">
        <f aca="false">IF(SUM(AG146:AG155)=0,0,SUM(AG146:AG155)/COUNTIF(AD146:AD155,"&lt;&gt;0"))</f>
        <v>0</v>
      </c>
      <c r="AH156" s="367"/>
    </row>
    <row r="157" customFormat="false" ht="12.75" hidden="false" customHeight="true" outlineLevel="0" collapsed="false">
      <c r="A157" s="287" t="s">
        <v>315</v>
      </c>
      <c r="B157" s="287" t="s">
        <v>316</v>
      </c>
      <c r="C157" s="287" t="s">
        <v>317</v>
      </c>
      <c r="D157" s="288" t="s">
        <v>318</v>
      </c>
      <c r="E157" s="344" t="s">
        <v>349</v>
      </c>
      <c r="F157" s="345" t="s">
        <v>350</v>
      </c>
      <c r="G157" s="346" t="s">
        <v>351</v>
      </c>
      <c r="H157" s="347" t="s">
        <v>352</v>
      </c>
      <c r="I157" s="348" t="s">
        <v>353</v>
      </c>
      <c r="J157" s="348" t="s">
        <v>354</v>
      </c>
      <c r="K157" s="347" t="s">
        <v>355</v>
      </c>
      <c r="L157" s="346" t="s">
        <v>320</v>
      </c>
      <c r="M157" s="346"/>
      <c r="N157" s="346"/>
      <c r="O157" s="346"/>
      <c r="P157" s="346"/>
      <c r="Q157" s="346"/>
      <c r="R157" s="346"/>
      <c r="S157" s="346"/>
      <c r="T157" s="346"/>
      <c r="U157" s="346"/>
      <c r="V157" s="346"/>
      <c r="W157" s="346"/>
      <c r="X157" s="346"/>
      <c r="Y157" s="346"/>
      <c r="Z157" s="346"/>
      <c r="AA157" s="346"/>
      <c r="AB157" s="346"/>
      <c r="AC157" s="346"/>
      <c r="AD157" s="349"/>
      <c r="AE157" s="349"/>
      <c r="AF157" s="349"/>
      <c r="AG157" s="349"/>
      <c r="AH157" s="184"/>
    </row>
    <row r="158" customFormat="false" ht="12.75" hidden="false" customHeight="true" outlineLevel="0" collapsed="false">
      <c r="A158" s="287"/>
      <c r="B158" s="287"/>
      <c r="C158" s="287"/>
      <c r="D158" s="288"/>
      <c r="E158" s="344"/>
      <c r="F158" s="345"/>
      <c r="G158" s="346"/>
      <c r="H158" s="347"/>
      <c r="I158" s="348"/>
      <c r="J158" s="348"/>
      <c r="K158" s="347"/>
      <c r="L158" s="293" t="s">
        <v>321</v>
      </c>
      <c r="M158" s="293"/>
      <c r="N158" s="293" t="s">
        <v>356</v>
      </c>
      <c r="O158" s="293"/>
      <c r="P158" s="293" t="s">
        <v>357</v>
      </c>
      <c r="Q158" s="293"/>
      <c r="R158" s="293" t="s">
        <v>324</v>
      </c>
      <c r="S158" s="293"/>
      <c r="T158" s="293" t="s">
        <v>325</v>
      </c>
      <c r="U158" s="293"/>
      <c r="V158" s="293" t="s">
        <v>326</v>
      </c>
      <c r="W158" s="293"/>
      <c r="X158" s="293" t="s">
        <v>327</v>
      </c>
      <c r="Y158" s="293"/>
      <c r="Z158" s="293" t="s">
        <v>328</v>
      </c>
      <c r="AA158" s="293"/>
      <c r="AB158" s="293" t="s">
        <v>329</v>
      </c>
      <c r="AC158" s="293"/>
      <c r="AD158" s="350" t="s">
        <v>358</v>
      </c>
      <c r="AE158" s="350" t="s">
        <v>359</v>
      </c>
      <c r="AF158" s="350" t="s">
        <v>360</v>
      </c>
      <c r="AG158" s="350" t="s">
        <v>361</v>
      </c>
      <c r="AH158" s="351" t="s">
        <v>362</v>
      </c>
    </row>
    <row r="159" customFormat="false" ht="46.5" hidden="false" customHeight="true" outlineLevel="0" collapsed="false">
      <c r="A159" s="287"/>
      <c r="B159" s="287"/>
      <c r="C159" s="287"/>
      <c r="D159" s="288"/>
      <c r="E159" s="344"/>
      <c r="F159" s="345"/>
      <c r="G159" s="346"/>
      <c r="H159" s="347"/>
      <c r="I159" s="348"/>
      <c r="J159" s="348"/>
      <c r="K159" s="347"/>
      <c r="L159" s="295" t="s">
        <v>68</v>
      </c>
      <c r="M159" s="295" t="s">
        <v>298</v>
      </c>
      <c r="N159" s="295" t="s">
        <v>68</v>
      </c>
      <c r="O159" s="295" t="s">
        <v>298</v>
      </c>
      <c r="P159" s="295" t="s">
        <v>68</v>
      </c>
      <c r="Q159" s="295" t="s">
        <v>298</v>
      </c>
      <c r="R159" s="295" t="s">
        <v>68</v>
      </c>
      <c r="S159" s="295" t="s">
        <v>298</v>
      </c>
      <c r="T159" s="295" t="s">
        <v>68</v>
      </c>
      <c r="U159" s="295" t="s">
        <v>298</v>
      </c>
      <c r="V159" s="295" t="s">
        <v>68</v>
      </c>
      <c r="W159" s="295" t="s">
        <v>298</v>
      </c>
      <c r="X159" s="295" t="s">
        <v>68</v>
      </c>
      <c r="Y159" s="295" t="s">
        <v>298</v>
      </c>
      <c r="Z159" s="295" t="s">
        <v>68</v>
      </c>
      <c r="AA159" s="295" t="s">
        <v>298</v>
      </c>
      <c r="AB159" s="295" t="s">
        <v>68</v>
      </c>
      <c r="AC159" s="296" t="s">
        <v>298</v>
      </c>
      <c r="AD159" s="350"/>
      <c r="AE159" s="350"/>
      <c r="AF159" s="350"/>
      <c r="AG159" s="350"/>
      <c r="AH159" s="351"/>
    </row>
    <row r="160" customFormat="false" ht="13.8" hidden="false" customHeight="false" outlineLevel="0" collapsed="false">
      <c r="A160" s="353" t="n">
        <f aca="false">'Listado CAPS'!A157</f>
        <v>0</v>
      </c>
      <c r="B160" s="353" t="n">
        <f aca="false">'Listado CAPS'!B157</f>
        <v>0</v>
      </c>
      <c r="C160" s="353" t="n">
        <f aca="false">'Listado CAPS'!C157</f>
        <v>0</v>
      </c>
      <c r="D160" s="353" t="str">
        <f aca="false">'Listado CAPS'!D14</f>
        <v>L</v>
      </c>
      <c r="E160" s="299" t="n">
        <v>1</v>
      </c>
      <c r="F160" s="354"/>
      <c r="G160" s="304"/>
      <c r="H160" s="355"/>
      <c r="I160" s="299"/>
      <c r="J160" s="300" t="n">
        <f aca="false">IF(H160&lt;&gt;"OTROS",1,0)*IF(I160=1,1,0)</f>
        <v>0</v>
      </c>
      <c r="K160" s="356"/>
      <c r="L160" s="299"/>
      <c r="M160" s="299"/>
      <c r="N160" s="299"/>
      <c r="O160" s="299"/>
      <c r="P160" s="299"/>
      <c r="Q160" s="299"/>
      <c r="R160" s="299"/>
      <c r="S160" s="299"/>
      <c r="T160" s="299"/>
      <c r="U160" s="299"/>
      <c r="V160" s="299"/>
      <c r="W160" s="299"/>
      <c r="X160" s="299"/>
      <c r="Y160" s="299"/>
      <c r="Z160" s="299"/>
      <c r="AA160" s="299"/>
      <c r="AB160" s="299"/>
      <c r="AC160" s="300"/>
      <c r="AD160" s="302" t="n">
        <f aca="false">IF(SUM(L160:AC160)=0,0,SUM(L160:AC160)/'Conformación JD'!$X$18)</f>
        <v>0</v>
      </c>
      <c r="AE160" s="301" t="n">
        <f aca="false">SUM(L160:AC160)</f>
        <v>0</v>
      </c>
      <c r="AF160" s="301" t="n">
        <f aca="false">+AC160+AA160+Y160+W160+U160+S160+Q160+O160+M160</f>
        <v>0</v>
      </c>
      <c r="AG160" s="357" t="n">
        <f aca="false">IF(AE160=0,0,AF160/AE160)</f>
        <v>0</v>
      </c>
      <c r="AH160" s="299"/>
    </row>
    <row r="161" customFormat="false" ht="13.8" hidden="false" customHeight="false" outlineLevel="0" collapsed="false">
      <c r="A161" s="353"/>
      <c r="B161" s="353"/>
      <c r="C161" s="353"/>
      <c r="D161" s="353"/>
      <c r="E161" s="299" t="n">
        <v>2</v>
      </c>
      <c r="F161" s="354"/>
      <c r="G161" s="304"/>
      <c r="H161" s="355"/>
      <c r="I161" s="299"/>
      <c r="J161" s="300" t="n">
        <f aca="false">IF(H161&lt;&gt;"OTROS",1,0)*IF(I161=1,1,0)</f>
        <v>0</v>
      </c>
      <c r="K161" s="356"/>
      <c r="L161" s="299"/>
      <c r="M161" s="299"/>
      <c r="N161" s="299"/>
      <c r="O161" s="299"/>
      <c r="P161" s="299"/>
      <c r="Q161" s="299"/>
      <c r="R161" s="299"/>
      <c r="S161" s="299"/>
      <c r="T161" s="299"/>
      <c r="U161" s="299"/>
      <c r="V161" s="299"/>
      <c r="W161" s="299"/>
      <c r="X161" s="299"/>
      <c r="Y161" s="299"/>
      <c r="Z161" s="299"/>
      <c r="AA161" s="299"/>
      <c r="AB161" s="299"/>
      <c r="AC161" s="300"/>
      <c r="AD161" s="302" t="n">
        <f aca="false">IF(SUM(L161:AC161)=0,0,SUM(L161:AC161)/'Conformación JD'!$X$18)</f>
        <v>0</v>
      </c>
      <c r="AE161" s="301" t="n">
        <f aca="false">SUM(L161:AC161)</f>
        <v>0</v>
      </c>
      <c r="AF161" s="301" t="n">
        <f aca="false">+AC161+AA161+Y161+W161+U161+S161+Q161+O161+M161</f>
        <v>0</v>
      </c>
      <c r="AG161" s="357" t="n">
        <f aca="false">IF(AE161=0,0,AF161/AE161)</f>
        <v>0</v>
      </c>
      <c r="AH161" s="358"/>
    </row>
    <row r="162" customFormat="false" ht="13.8" hidden="false" customHeight="false" outlineLevel="0" collapsed="false">
      <c r="A162" s="353"/>
      <c r="B162" s="353"/>
      <c r="C162" s="353"/>
      <c r="D162" s="353"/>
      <c r="E162" s="299" t="n">
        <v>3</v>
      </c>
      <c r="F162" s="354"/>
      <c r="G162" s="304"/>
      <c r="H162" s="355"/>
      <c r="I162" s="299"/>
      <c r="J162" s="300" t="n">
        <f aca="false">IF(H162&lt;&gt;"OTROS",1,0)*IF(I162=1,1,0)</f>
        <v>0</v>
      </c>
      <c r="K162" s="356"/>
      <c r="L162" s="299"/>
      <c r="M162" s="299"/>
      <c r="N162" s="299"/>
      <c r="O162" s="299"/>
      <c r="P162" s="299"/>
      <c r="Q162" s="299"/>
      <c r="R162" s="299"/>
      <c r="S162" s="299"/>
      <c r="T162" s="299"/>
      <c r="U162" s="299"/>
      <c r="V162" s="299"/>
      <c r="W162" s="299"/>
      <c r="X162" s="299"/>
      <c r="Y162" s="299"/>
      <c r="Z162" s="299"/>
      <c r="AA162" s="299"/>
      <c r="AB162" s="299"/>
      <c r="AC162" s="300"/>
      <c r="AD162" s="302" t="n">
        <f aca="false">IF(SUM(L162:AC162)=0,0,SUM(L162:AC162)/'Conformación JD'!$X$18)</f>
        <v>0</v>
      </c>
      <c r="AE162" s="301" t="n">
        <f aca="false">SUM(L162:AC162)</f>
        <v>0</v>
      </c>
      <c r="AF162" s="301" t="n">
        <f aca="false">+AC162+AA162+Y162+W162+U162+S162+Q162+O162+M162</f>
        <v>0</v>
      </c>
      <c r="AG162" s="357" t="n">
        <f aca="false">IF(AE162=0,0,AF162/AE162)</f>
        <v>0</v>
      </c>
      <c r="AH162" s="359"/>
    </row>
    <row r="163" customFormat="false" ht="13.8" hidden="false" customHeight="false" outlineLevel="0" collapsed="false">
      <c r="A163" s="353"/>
      <c r="B163" s="353"/>
      <c r="C163" s="353"/>
      <c r="D163" s="353"/>
      <c r="E163" s="299" t="n">
        <v>4</v>
      </c>
      <c r="F163" s="354"/>
      <c r="G163" s="355"/>
      <c r="H163" s="355"/>
      <c r="I163" s="299"/>
      <c r="J163" s="300" t="n">
        <f aca="false">IF(H163&lt;&gt;"OTROS",1,0)*IF(I163=1,1,0)</f>
        <v>0</v>
      </c>
      <c r="K163" s="356"/>
      <c r="L163" s="299"/>
      <c r="M163" s="299"/>
      <c r="N163" s="299"/>
      <c r="O163" s="299"/>
      <c r="P163" s="299"/>
      <c r="Q163" s="299"/>
      <c r="R163" s="299"/>
      <c r="S163" s="299"/>
      <c r="T163" s="299"/>
      <c r="U163" s="299"/>
      <c r="V163" s="299"/>
      <c r="W163" s="299"/>
      <c r="X163" s="299"/>
      <c r="Y163" s="299"/>
      <c r="Z163" s="299"/>
      <c r="AA163" s="299"/>
      <c r="AB163" s="299"/>
      <c r="AC163" s="300"/>
      <c r="AD163" s="302" t="n">
        <f aca="false">IF(SUM(L163:AC163)=0,0,SUM(L163:AC163)/'Conformación JD'!$X$18)</f>
        <v>0</v>
      </c>
      <c r="AE163" s="301" t="n">
        <f aca="false">SUM(L163:AC163)</f>
        <v>0</v>
      </c>
      <c r="AF163" s="301" t="n">
        <f aca="false">+AC163+AA163+Y163+W163+U163+S163+Q163+O163+M163</f>
        <v>0</v>
      </c>
      <c r="AG163" s="357" t="n">
        <f aca="false">IF(AE163=0,0,AF163/AE163)</f>
        <v>0</v>
      </c>
      <c r="AH163" s="358"/>
    </row>
    <row r="164" customFormat="false" ht="13.8" hidden="false" customHeight="false" outlineLevel="0" collapsed="false">
      <c r="A164" s="353"/>
      <c r="B164" s="353"/>
      <c r="C164" s="353"/>
      <c r="D164" s="353"/>
      <c r="E164" s="299" t="n">
        <v>5</v>
      </c>
      <c r="F164" s="354"/>
      <c r="G164" s="355"/>
      <c r="H164" s="355"/>
      <c r="I164" s="299"/>
      <c r="J164" s="300" t="n">
        <f aca="false">IF(H164&lt;&gt;"OTROS",1,0)*IF(I164=1,1,0)</f>
        <v>0</v>
      </c>
      <c r="K164" s="356"/>
      <c r="L164" s="299"/>
      <c r="M164" s="299"/>
      <c r="N164" s="299"/>
      <c r="O164" s="299"/>
      <c r="P164" s="299"/>
      <c r="Q164" s="299"/>
      <c r="R164" s="299"/>
      <c r="S164" s="299"/>
      <c r="T164" s="299"/>
      <c r="U164" s="299"/>
      <c r="V164" s="299"/>
      <c r="W164" s="299"/>
      <c r="X164" s="299"/>
      <c r="Y164" s="299"/>
      <c r="Z164" s="299"/>
      <c r="AA164" s="299"/>
      <c r="AB164" s="299"/>
      <c r="AC164" s="300"/>
      <c r="AD164" s="302" t="n">
        <f aca="false">IF(SUM(L164:AC164)=0,0,SUM(L164:AC164)/'Conformación JD'!$X$18)</f>
        <v>0</v>
      </c>
      <c r="AE164" s="301" t="n">
        <f aca="false">SUM(L164:AC164)</f>
        <v>0</v>
      </c>
      <c r="AF164" s="301" t="n">
        <f aca="false">+AC164+AA164+Y164+W164+U164+S164+Q164+O164+M164</f>
        <v>0</v>
      </c>
      <c r="AG164" s="357" t="n">
        <f aca="false">IF(AE164=0,0,AF164/AE164)</f>
        <v>0</v>
      </c>
      <c r="AH164" s="358"/>
    </row>
    <row r="165" customFormat="false" ht="13.8" hidden="false" customHeight="false" outlineLevel="0" collapsed="false">
      <c r="A165" s="353"/>
      <c r="B165" s="353"/>
      <c r="C165" s="353"/>
      <c r="D165" s="353"/>
      <c r="E165" s="299" t="n">
        <v>6</v>
      </c>
      <c r="F165" s="354"/>
      <c r="G165" s="355"/>
      <c r="H165" s="355"/>
      <c r="I165" s="299"/>
      <c r="J165" s="300" t="n">
        <f aca="false">IF(H165&lt;&gt;"OTROS",1,0)*IF(I165=1,1,0)</f>
        <v>0</v>
      </c>
      <c r="K165" s="356"/>
      <c r="L165" s="299"/>
      <c r="M165" s="299"/>
      <c r="N165" s="299"/>
      <c r="O165" s="299"/>
      <c r="P165" s="299"/>
      <c r="Q165" s="299"/>
      <c r="R165" s="299"/>
      <c r="S165" s="299"/>
      <c r="T165" s="299"/>
      <c r="U165" s="299"/>
      <c r="V165" s="299"/>
      <c r="W165" s="299"/>
      <c r="X165" s="299"/>
      <c r="Y165" s="299"/>
      <c r="Z165" s="299"/>
      <c r="AA165" s="299"/>
      <c r="AB165" s="299"/>
      <c r="AC165" s="300"/>
      <c r="AD165" s="302" t="n">
        <f aca="false">IF(SUM(L165:AC165)=0,0,SUM(L165:AC165)/'Conformación JD'!$X$18)</f>
        <v>0</v>
      </c>
      <c r="AE165" s="301" t="n">
        <f aca="false">SUM(L165:AC165)</f>
        <v>0</v>
      </c>
      <c r="AF165" s="301" t="n">
        <f aca="false">+AC165+AA165+Y165+W165+U165+S165+Q165+O165+M165</f>
        <v>0</v>
      </c>
      <c r="AG165" s="357" t="n">
        <f aca="false">IF(AE165=0,0,AF165/AE165)</f>
        <v>0</v>
      </c>
      <c r="AH165" s="358"/>
    </row>
    <row r="166" customFormat="false" ht="13.8" hidden="false" customHeight="false" outlineLevel="0" collapsed="false">
      <c r="A166" s="353"/>
      <c r="B166" s="353"/>
      <c r="C166" s="353"/>
      <c r="D166" s="353"/>
      <c r="E166" s="299" t="n">
        <v>7</v>
      </c>
      <c r="F166" s="354"/>
      <c r="G166" s="355"/>
      <c r="H166" s="355"/>
      <c r="I166" s="299"/>
      <c r="J166" s="300" t="n">
        <f aca="false">IF(H166&lt;&gt;"OTROS",1,0)*IF(I166=1,1,0)</f>
        <v>0</v>
      </c>
      <c r="K166" s="356"/>
      <c r="L166" s="299"/>
      <c r="M166" s="299"/>
      <c r="N166" s="299"/>
      <c r="O166" s="299"/>
      <c r="P166" s="299"/>
      <c r="Q166" s="299"/>
      <c r="R166" s="299"/>
      <c r="S166" s="299"/>
      <c r="T166" s="299"/>
      <c r="U166" s="299"/>
      <c r="V166" s="299"/>
      <c r="W166" s="299"/>
      <c r="X166" s="299"/>
      <c r="Y166" s="299"/>
      <c r="Z166" s="299"/>
      <c r="AA166" s="299"/>
      <c r="AB166" s="299"/>
      <c r="AC166" s="300"/>
      <c r="AD166" s="302" t="n">
        <f aca="false">IF(SUM(L166:AC166)=0,0,SUM(L166:AC166)/'Conformación JD'!$X$18)</f>
        <v>0</v>
      </c>
      <c r="AE166" s="301" t="n">
        <f aca="false">SUM(L166:AC166)</f>
        <v>0</v>
      </c>
      <c r="AF166" s="301" t="n">
        <f aca="false">+AC166+AA166+Y166+W166+U166+S166+Q166+O166+M166</f>
        <v>0</v>
      </c>
      <c r="AG166" s="357" t="n">
        <f aca="false">IF(AE166=0,0,AF166/AE166)</f>
        <v>0</v>
      </c>
      <c r="AH166" s="358"/>
    </row>
    <row r="167" customFormat="false" ht="13.8" hidden="false" customHeight="false" outlineLevel="0" collapsed="false">
      <c r="A167" s="353"/>
      <c r="B167" s="353"/>
      <c r="C167" s="353"/>
      <c r="D167" s="353"/>
      <c r="E167" s="299" t="n">
        <v>8</v>
      </c>
      <c r="F167" s="354"/>
      <c r="G167" s="355"/>
      <c r="H167" s="355"/>
      <c r="I167" s="299"/>
      <c r="J167" s="300" t="n">
        <f aca="false">IF(H167&lt;&gt;"OTROS",1,0)*IF(I167=1,1,0)</f>
        <v>0</v>
      </c>
      <c r="K167" s="356"/>
      <c r="L167" s="299"/>
      <c r="M167" s="299"/>
      <c r="N167" s="299"/>
      <c r="O167" s="299"/>
      <c r="P167" s="299"/>
      <c r="Q167" s="299"/>
      <c r="R167" s="299"/>
      <c r="S167" s="299"/>
      <c r="T167" s="299"/>
      <c r="U167" s="299"/>
      <c r="V167" s="299"/>
      <c r="W167" s="299"/>
      <c r="X167" s="299"/>
      <c r="Y167" s="299"/>
      <c r="Z167" s="299"/>
      <c r="AA167" s="299"/>
      <c r="AB167" s="299"/>
      <c r="AC167" s="300"/>
      <c r="AD167" s="302" t="n">
        <f aca="false">IF(SUM(L167:AC167)=0,0,SUM(L167:AC167)/'Conformación JD'!$X$18)</f>
        <v>0</v>
      </c>
      <c r="AE167" s="301" t="n">
        <f aca="false">SUM(L167:AC167)</f>
        <v>0</v>
      </c>
      <c r="AF167" s="301" t="n">
        <f aca="false">+AC167+AA167+Y167+W167+U167+S167+Q167+O167+M167</f>
        <v>0</v>
      </c>
      <c r="AG167" s="357" t="n">
        <f aca="false">IF(AE167=0,0,AF167/AE167)</f>
        <v>0</v>
      </c>
      <c r="AH167" s="358"/>
    </row>
    <row r="168" customFormat="false" ht="13.8" hidden="false" customHeight="false" outlineLevel="0" collapsed="false">
      <c r="A168" s="353"/>
      <c r="B168" s="353"/>
      <c r="C168" s="353"/>
      <c r="D168" s="353"/>
      <c r="E168" s="299" t="n">
        <v>9</v>
      </c>
      <c r="F168" s="354"/>
      <c r="G168" s="355"/>
      <c r="H168" s="355"/>
      <c r="I168" s="299"/>
      <c r="J168" s="300" t="n">
        <f aca="false">IF(H168&lt;&gt;"OTROS",1,0)*IF(I168=1,1,0)</f>
        <v>0</v>
      </c>
      <c r="K168" s="356"/>
      <c r="L168" s="299"/>
      <c r="M168" s="299"/>
      <c r="N168" s="299"/>
      <c r="O168" s="299"/>
      <c r="P168" s="299"/>
      <c r="Q168" s="299"/>
      <c r="R168" s="299"/>
      <c r="S168" s="299"/>
      <c r="T168" s="299"/>
      <c r="U168" s="299"/>
      <c r="V168" s="299"/>
      <c r="W168" s="299"/>
      <c r="X168" s="299"/>
      <c r="Y168" s="299"/>
      <c r="Z168" s="299"/>
      <c r="AA168" s="299"/>
      <c r="AB168" s="299"/>
      <c r="AC168" s="300"/>
      <c r="AD168" s="302" t="n">
        <f aca="false">IF(SUM(L168:AC168)=0,0,SUM(L168:AC168)/'Conformación JD'!$X$18)</f>
        <v>0</v>
      </c>
      <c r="AE168" s="301" t="n">
        <f aca="false">SUM(L168:AC168)</f>
        <v>0</v>
      </c>
      <c r="AF168" s="301" t="n">
        <f aca="false">+AC168+AA168+Y168+W168+U168+S168+Q168+O168+M168</f>
        <v>0</v>
      </c>
      <c r="AG168" s="357" t="n">
        <f aca="false">IF(AE168=0,0,AF168/AE168)</f>
        <v>0</v>
      </c>
      <c r="AH168" s="358"/>
    </row>
    <row r="169" customFormat="false" ht="13.8" hidden="false" customHeight="false" outlineLevel="0" collapsed="false">
      <c r="A169" s="353"/>
      <c r="B169" s="353"/>
      <c r="C169" s="353"/>
      <c r="D169" s="353"/>
      <c r="E169" s="360" t="n">
        <v>10</v>
      </c>
      <c r="F169" s="361"/>
      <c r="G169" s="362"/>
      <c r="H169" s="362"/>
      <c r="I169" s="360"/>
      <c r="J169" s="300" t="n">
        <f aca="false">IF(H169&lt;&gt;"OTROS",1,0)*IF(I169=1,1,0)</f>
        <v>0</v>
      </c>
      <c r="K169" s="356"/>
      <c r="L169" s="360"/>
      <c r="M169" s="360"/>
      <c r="N169" s="360"/>
      <c r="O169" s="360"/>
      <c r="P169" s="360"/>
      <c r="Q169" s="360"/>
      <c r="R169" s="360"/>
      <c r="S169" s="360"/>
      <c r="T169" s="360"/>
      <c r="U169" s="360"/>
      <c r="V169" s="360"/>
      <c r="W169" s="360"/>
      <c r="X169" s="360"/>
      <c r="Y169" s="360"/>
      <c r="Z169" s="360"/>
      <c r="AA169" s="360"/>
      <c r="AB169" s="360"/>
      <c r="AC169" s="363"/>
      <c r="AD169" s="302" t="n">
        <f aca="false">IF(SUM(L169:AC169)=0,0,SUM(L169:AC169)/'Conformación JD'!$X$18)</f>
        <v>0</v>
      </c>
      <c r="AE169" s="301" t="n">
        <f aca="false">SUM(L169:AC169)</f>
        <v>0</v>
      </c>
      <c r="AF169" s="301" t="n">
        <f aca="false">+AC169+AA169+Y169+W169+U169+S169+Q169+O169+M169</f>
        <v>0</v>
      </c>
      <c r="AG169" s="357" t="n">
        <f aca="false">IF(AE169=0,0,AF169/AE169)</f>
        <v>0</v>
      </c>
      <c r="AH169" s="358"/>
    </row>
    <row r="170" customFormat="false" ht="13.8" hidden="false" customHeight="true" outlineLevel="0" collapsed="false">
      <c r="A170" s="305"/>
      <c r="B170" s="305"/>
      <c r="C170" s="305"/>
      <c r="D170" s="305"/>
      <c r="E170" s="364" t="s">
        <v>366</v>
      </c>
      <c r="F170" s="364"/>
      <c r="G170" s="364"/>
      <c r="H170" s="364"/>
      <c r="I170" s="365" t="n">
        <f aca="false">IF((COUNTIF(G160:G169,"&lt;&gt;"))&lt;&gt;0,SUM(I160:I169)/COUNTIF(G160:G169,"&lt;&gt;"),0)</f>
        <v>0</v>
      </c>
      <c r="J170" s="366" t="n">
        <f aca="false">IF((COUNTIF(H160:H169,"&lt;&gt;"))&lt;&gt;0,SUM(J160:J169)/COUNTIF(H160:H169,"&lt;&gt;"),0)</f>
        <v>0</v>
      </c>
      <c r="K170" s="310" t="n">
        <f aca="false">IF((COUNTIF(H160:H169,"&lt;&gt;"))&lt;&gt;0,SUM(K160:K169)/COUNTIF(H160:H169,"&lt;&gt;"),0)</f>
        <v>0</v>
      </c>
      <c r="L170" s="307" t="n">
        <f aca="false">SUM(L160:L169)</f>
        <v>0</v>
      </c>
      <c r="M170" s="307" t="n">
        <f aca="false">SUM(M160:M169)</f>
        <v>0</v>
      </c>
      <c r="N170" s="307" t="n">
        <f aca="false">SUM(N160:N169)</f>
        <v>0</v>
      </c>
      <c r="O170" s="307" t="n">
        <f aca="false">SUM(O160:O169)</f>
        <v>0</v>
      </c>
      <c r="P170" s="307" t="n">
        <f aca="false">SUM(P160:P169)</f>
        <v>0</v>
      </c>
      <c r="Q170" s="307" t="n">
        <f aca="false">SUM(Q160:Q169)</f>
        <v>0</v>
      </c>
      <c r="R170" s="307" t="n">
        <f aca="false">SUM(R160:R169)</f>
        <v>0</v>
      </c>
      <c r="S170" s="307" t="n">
        <f aca="false">SUM(S160:S169)</f>
        <v>0</v>
      </c>
      <c r="T170" s="307" t="n">
        <f aca="false">SUM(T160:T169)</f>
        <v>0</v>
      </c>
      <c r="U170" s="307" t="n">
        <f aca="false">SUM(U160:U169)</f>
        <v>0</v>
      </c>
      <c r="V170" s="307" t="n">
        <f aca="false">SUM(V160:V169)</f>
        <v>0</v>
      </c>
      <c r="W170" s="307" t="n">
        <f aca="false">SUM(W160:W169)</f>
        <v>0</v>
      </c>
      <c r="X170" s="307" t="n">
        <f aca="false">SUM(X160:X169)</f>
        <v>0</v>
      </c>
      <c r="Y170" s="307" t="n">
        <f aca="false">SUM(Y160:Y169)</f>
        <v>0</v>
      </c>
      <c r="Z170" s="307" t="n">
        <f aca="false">SUM(Z160:Z169)</f>
        <v>0</v>
      </c>
      <c r="AA170" s="307" t="n">
        <f aca="false">SUM(AA160:AA169)</f>
        <v>0</v>
      </c>
      <c r="AB170" s="307" t="n">
        <f aca="false">SUM(AB160:AB169)</f>
        <v>0</v>
      </c>
      <c r="AC170" s="307" t="n">
        <f aca="false">SUM(AC160:AC169)</f>
        <v>0</v>
      </c>
      <c r="AD170" s="310" t="n">
        <f aca="false">IF(SUM(AD160:AD169)=0,0,SUM(AD160:AD169)/COUNTIF(AD160:AD169,"&lt;&gt;0"))</f>
        <v>0</v>
      </c>
      <c r="AE170" s="365" t="n">
        <f aca="false">IF(SUM(AE160:AE169)=0,0,SUM(AE160:AE169)/COUNTIF(AE160:AE169,"&lt;&gt;0"))</f>
        <v>0</v>
      </c>
      <c r="AF170" s="365" t="n">
        <f aca="false">IF(SUM(AF160:AF169)=0,0,SUM(AF160:AF169)/COUNTIF(AF160:AF169,"&lt;&gt;0"))</f>
        <v>0</v>
      </c>
      <c r="AG170" s="310" t="n">
        <f aca="false">IF(SUM(AG160:AG169)=0,0,SUM(AG160:AG169)/COUNTIF(AD160:AD169,"&lt;&gt;0"))</f>
        <v>0</v>
      </c>
      <c r="AH170" s="367"/>
    </row>
    <row r="171" customFormat="false" ht="12.75" hidden="false" customHeight="true" outlineLevel="0" collapsed="false">
      <c r="A171" s="287" t="s">
        <v>315</v>
      </c>
      <c r="B171" s="287" t="s">
        <v>316</v>
      </c>
      <c r="C171" s="287" t="s">
        <v>317</v>
      </c>
      <c r="D171" s="288" t="s">
        <v>318</v>
      </c>
      <c r="E171" s="344" t="s">
        <v>349</v>
      </c>
      <c r="F171" s="345" t="s">
        <v>350</v>
      </c>
      <c r="G171" s="346" t="s">
        <v>351</v>
      </c>
      <c r="H171" s="347" t="s">
        <v>352</v>
      </c>
      <c r="I171" s="348" t="s">
        <v>353</v>
      </c>
      <c r="J171" s="348" t="s">
        <v>354</v>
      </c>
      <c r="K171" s="347" t="s">
        <v>355</v>
      </c>
      <c r="L171" s="346" t="s">
        <v>320</v>
      </c>
      <c r="M171" s="346"/>
      <c r="N171" s="346"/>
      <c r="O171" s="346"/>
      <c r="P171" s="346"/>
      <c r="Q171" s="346"/>
      <c r="R171" s="346"/>
      <c r="S171" s="346"/>
      <c r="T171" s="346"/>
      <c r="U171" s="346"/>
      <c r="V171" s="346"/>
      <c r="W171" s="346"/>
      <c r="X171" s="346"/>
      <c r="Y171" s="346"/>
      <c r="Z171" s="346"/>
      <c r="AA171" s="346"/>
      <c r="AB171" s="346"/>
      <c r="AC171" s="346"/>
      <c r="AD171" s="349"/>
      <c r="AE171" s="349"/>
      <c r="AF171" s="349"/>
      <c r="AG171" s="349"/>
      <c r="AH171" s="184"/>
    </row>
    <row r="172" customFormat="false" ht="12.75" hidden="false" customHeight="true" outlineLevel="0" collapsed="false">
      <c r="A172" s="287"/>
      <c r="B172" s="287"/>
      <c r="C172" s="287"/>
      <c r="D172" s="288"/>
      <c r="E172" s="344"/>
      <c r="F172" s="345"/>
      <c r="G172" s="346"/>
      <c r="H172" s="347"/>
      <c r="I172" s="348"/>
      <c r="J172" s="348"/>
      <c r="K172" s="347"/>
      <c r="L172" s="293" t="s">
        <v>321</v>
      </c>
      <c r="M172" s="293"/>
      <c r="N172" s="293" t="s">
        <v>356</v>
      </c>
      <c r="O172" s="293"/>
      <c r="P172" s="293" t="s">
        <v>357</v>
      </c>
      <c r="Q172" s="293"/>
      <c r="R172" s="293" t="s">
        <v>324</v>
      </c>
      <c r="S172" s="293"/>
      <c r="T172" s="293" t="s">
        <v>325</v>
      </c>
      <c r="U172" s="293"/>
      <c r="V172" s="293" t="s">
        <v>326</v>
      </c>
      <c r="W172" s="293"/>
      <c r="X172" s="293" t="s">
        <v>327</v>
      </c>
      <c r="Y172" s="293"/>
      <c r="Z172" s="293" t="s">
        <v>328</v>
      </c>
      <c r="AA172" s="293"/>
      <c r="AB172" s="293" t="s">
        <v>329</v>
      </c>
      <c r="AC172" s="293"/>
      <c r="AD172" s="350" t="s">
        <v>358</v>
      </c>
      <c r="AE172" s="350" t="s">
        <v>359</v>
      </c>
      <c r="AF172" s="350" t="s">
        <v>360</v>
      </c>
      <c r="AG172" s="350" t="s">
        <v>361</v>
      </c>
      <c r="AH172" s="351" t="s">
        <v>362</v>
      </c>
    </row>
    <row r="173" customFormat="false" ht="42.75" hidden="false" customHeight="true" outlineLevel="0" collapsed="false">
      <c r="A173" s="287"/>
      <c r="B173" s="287"/>
      <c r="C173" s="287"/>
      <c r="D173" s="288"/>
      <c r="E173" s="344"/>
      <c r="F173" s="345"/>
      <c r="G173" s="346"/>
      <c r="H173" s="347"/>
      <c r="I173" s="348"/>
      <c r="J173" s="348"/>
      <c r="K173" s="347"/>
      <c r="L173" s="295" t="s">
        <v>68</v>
      </c>
      <c r="M173" s="295" t="s">
        <v>298</v>
      </c>
      <c r="N173" s="295" t="s">
        <v>68</v>
      </c>
      <c r="O173" s="295" t="s">
        <v>298</v>
      </c>
      <c r="P173" s="295" t="s">
        <v>68</v>
      </c>
      <c r="Q173" s="295" t="s">
        <v>298</v>
      </c>
      <c r="R173" s="295" t="s">
        <v>68</v>
      </c>
      <c r="S173" s="295" t="s">
        <v>298</v>
      </c>
      <c r="T173" s="295" t="s">
        <v>68</v>
      </c>
      <c r="U173" s="295" t="s">
        <v>298</v>
      </c>
      <c r="V173" s="295" t="s">
        <v>68</v>
      </c>
      <c r="W173" s="295" t="s">
        <v>298</v>
      </c>
      <c r="X173" s="295" t="s">
        <v>68</v>
      </c>
      <c r="Y173" s="295" t="s">
        <v>298</v>
      </c>
      <c r="Z173" s="295" t="s">
        <v>68</v>
      </c>
      <c r="AA173" s="295" t="s">
        <v>298</v>
      </c>
      <c r="AB173" s="295" t="s">
        <v>68</v>
      </c>
      <c r="AC173" s="296" t="s">
        <v>298</v>
      </c>
      <c r="AD173" s="350"/>
      <c r="AE173" s="350"/>
      <c r="AF173" s="350"/>
      <c r="AG173" s="350"/>
      <c r="AH173" s="351"/>
    </row>
    <row r="174" customFormat="false" ht="13.8" hidden="false" customHeight="false" outlineLevel="0" collapsed="false">
      <c r="A174" s="353" t="n">
        <f aca="false">'Listado CAPS'!A171</f>
        <v>0</v>
      </c>
      <c r="B174" s="353" t="n">
        <f aca="false">'Listado CAPS'!B171</f>
        <v>0</v>
      </c>
      <c r="C174" s="353" t="n">
        <f aca="false">'Listado CAPS'!C171</f>
        <v>0</v>
      </c>
      <c r="D174" s="353" t="str">
        <f aca="false">'Listado CAPS'!D15</f>
        <v>M</v>
      </c>
      <c r="E174" s="299" t="n">
        <v>1</v>
      </c>
      <c r="F174" s="354"/>
      <c r="G174" s="304"/>
      <c r="H174" s="355"/>
      <c r="I174" s="299"/>
      <c r="J174" s="300" t="n">
        <f aca="false">IF(H174&lt;&gt;"OTROS",1,0)*IF(I174=1,1,0)</f>
        <v>0</v>
      </c>
      <c r="K174" s="356"/>
      <c r="L174" s="299"/>
      <c r="M174" s="299"/>
      <c r="N174" s="299"/>
      <c r="O174" s="299"/>
      <c r="P174" s="299"/>
      <c r="Q174" s="299"/>
      <c r="R174" s="299"/>
      <c r="S174" s="299"/>
      <c r="T174" s="299"/>
      <c r="U174" s="299"/>
      <c r="V174" s="299"/>
      <c r="W174" s="299"/>
      <c r="X174" s="299"/>
      <c r="Y174" s="299"/>
      <c r="Z174" s="299"/>
      <c r="AA174" s="299"/>
      <c r="AB174" s="299"/>
      <c r="AC174" s="300"/>
      <c r="AD174" s="302" t="n">
        <f aca="false">IF(SUM(L174:AC174)=0,0,SUM(L174:AC174)/'Conformación JD'!$X$19)</f>
        <v>0</v>
      </c>
      <c r="AE174" s="301" t="n">
        <f aca="false">SUM(L174:AC174)</f>
        <v>0</v>
      </c>
      <c r="AF174" s="301" t="n">
        <f aca="false">+AC174+AA174+Y174+W174+U174+S174+Q174+O174+M174</f>
        <v>0</v>
      </c>
      <c r="AG174" s="357" t="n">
        <f aca="false">IF(AE174=0,0,AF174/AE174)</f>
        <v>0</v>
      </c>
      <c r="AH174" s="299"/>
    </row>
    <row r="175" customFormat="false" ht="13.8" hidden="false" customHeight="false" outlineLevel="0" collapsed="false">
      <c r="A175" s="353"/>
      <c r="B175" s="353"/>
      <c r="C175" s="353"/>
      <c r="D175" s="353"/>
      <c r="E175" s="299" t="n">
        <v>2</v>
      </c>
      <c r="F175" s="354"/>
      <c r="G175" s="304"/>
      <c r="H175" s="355"/>
      <c r="I175" s="299"/>
      <c r="J175" s="300" t="n">
        <f aca="false">IF(H175&lt;&gt;"OTROS",1,0)*IF(I175=1,1,0)</f>
        <v>0</v>
      </c>
      <c r="K175" s="356"/>
      <c r="L175" s="299"/>
      <c r="M175" s="299"/>
      <c r="N175" s="299"/>
      <c r="O175" s="299"/>
      <c r="P175" s="299"/>
      <c r="Q175" s="299"/>
      <c r="R175" s="299"/>
      <c r="S175" s="299"/>
      <c r="T175" s="299"/>
      <c r="U175" s="299"/>
      <c r="V175" s="299"/>
      <c r="W175" s="299"/>
      <c r="X175" s="299"/>
      <c r="Y175" s="299"/>
      <c r="Z175" s="299"/>
      <c r="AA175" s="299"/>
      <c r="AB175" s="299"/>
      <c r="AC175" s="300"/>
      <c r="AD175" s="302" t="n">
        <f aca="false">IF(SUM(L175:AC175)=0,0,SUM(L175:AC175)/'Conformación JD'!$X$19)</f>
        <v>0</v>
      </c>
      <c r="AE175" s="301" t="n">
        <f aca="false">SUM(L175:AC175)</f>
        <v>0</v>
      </c>
      <c r="AF175" s="301" t="n">
        <f aca="false">+AC175+AA175+Y175+W175+U175+S175+Q175+O175+M175</f>
        <v>0</v>
      </c>
      <c r="AG175" s="357" t="n">
        <f aca="false">IF(AE175=0,0,AF175/AE175)</f>
        <v>0</v>
      </c>
      <c r="AH175" s="358"/>
    </row>
    <row r="176" customFormat="false" ht="13.8" hidden="false" customHeight="false" outlineLevel="0" collapsed="false">
      <c r="A176" s="353"/>
      <c r="B176" s="353"/>
      <c r="C176" s="353"/>
      <c r="D176" s="353"/>
      <c r="E176" s="299" t="n">
        <v>3</v>
      </c>
      <c r="F176" s="354"/>
      <c r="G176" s="304"/>
      <c r="H176" s="355"/>
      <c r="I176" s="299"/>
      <c r="J176" s="300" t="n">
        <f aca="false">IF(H176&lt;&gt;"OTROS",1,0)*IF(I176=1,1,0)</f>
        <v>0</v>
      </c>
      <c r="K176" s="356"/>
      <c r="L176" s="299"/>
      <c r="M176" s="299"/>
      <c r="N176" s="299"/>
      <c r="O176" s="299"/>
      <c r="P176" s="299"/>
      <c r="Q176" s="299"/>
      <c r="R176" s="299"/>
      <c r="S176" s="299"/>
      <c r="T176" s="299"/>
      <c r="U176" s="299"/>
      <c r="V176" s="299"/>
      <c r="W176" s="299"/>
      <c r="X176" s="299"/>
      <c r="Y176" s="299"/>
      <c r="Z176" s="299"/>
      <c r="AA176" s="299"/>
      <c r="AB176" s="299"/>
      <c r="AC176" s="300"/>
      <c r="AD176" s="302" t="n">
        <f aca="false">IF(SUM(L176:AC176)=0,0,SUM(L176:AC176)/'Conformación JD'!$X$19)</f>
        <v>0</v>
      </c>
      <c r="AE176" s="301" t="n">
        <f aca="false">SUM(L176:AC176)</f>
        <v>0</v>
      </c>
      <c r="AF176" s="301" t="n">
        <f aca="false">+AC176+AA176+Y176+W176+U176+S176+Q176+O176+M176</f>
        <v>0</v>
      </c>
      <c r="AG176" s="357" t="n">
        <f aca="false">IF(AE176=0,0,AF176/AE176)</f>
        <v>0</v>
      </c>
      <c r="AH176" s="359"/>
    </row>
    <row r="177" customFormat="false" ht="13.8" hidden="false" customHeight="false" outlineLevel="0" collapsed="false">
      <c r="A177" s="353"/>
      <c r="B177" s="353"/>
      <c r="C177" s="353"/>
      <c r="D177" s="353"/>
      <c r="E177" s="299" t="n">
        <v>4</v>
      </c>
      <c r="F177" s="354"/>
      <c r="G177" s="355"/>
      <c r="H177" s="355"/>
      <c r="I177" s="299"/>
      <c r="J177" s="300" t="n">
        <f aca="false">IF(H177&lt;&gt;"OTROS",1,0)*IF(I177=1,1,0)</f>
        <v>0</v>
      </c>
      <c r="K177" s="356"/>
      <c r="L177" s="299"/>
      <c r="M177" s="299"/>
      <c r="N177" s="299"/>
      <c r="O177" s="299"/>
      <c r="P177" s="299"/>
      <c r="Q177" s="299"/>
      <c r="R177" s="299"/>
      <c r="S177" s="299"/>
      <c r="T177" s="299"/>
      <c r="U177" s="299"/>
      <c r="V177" s="299"/>
      <c r="W177" s="299"/>
      <c r="X177" s="299"/>
      <c r="Y177" s="299"/>
      <c r="Z177" s="299"/>
      <c r="AA177" s="299"/>
      <c r="AB177" s="299"/>
      <c r="AC177" s="300"/>
      <c r="AD177" s="302" t="n">
        <f aca="false">IF(SUM(L177:AC177)=0,0,SUM(L177:AC177)/'Conformación JD'!$X$19)</f>
        <v>0</v>
      </c>
      <c r="AE177" s="301" t="n">
        <f aca="false">SUM(L177:AC177)</f>
        <v>0</v>
      </c>
      <c r="AF177" s="301" t="n">
        <f aca="false">+AC177+AA177+Y177+W177+U177+S177+Q177+O177+M177</f>
        <v>0</v>
      </c>
      <c r="AG177" s="357" t="n">
        <f aca="false">IF(AE177=0,0,AF177/AE177)</f>
        <v>0</v>
      </c>
      <c r="AH177" s="358"/>
    </row>
    <row r="178" customFormat="false" ht="13.8" hidden="false" customHeight="false" outlineLevel="0" collapsed="false">
      <c r="A178" s="353"/>
      <c r="B178" s="353"/>
      <c r="C178" s="353"/>
      <c r="D178" s="353"/>
      <c r="E178" s="299" t="n">
        <v>5</v>
      </c>
      <c r="F178" s="354"/>
      <c r="G178" s="355"/>
      <c r="H178" s="355"/>
      <c r="I178" s="299"/>
      <c r="J178" s="300" t="n">
        <f aca="false">IF(H178&lt;&gt;"OTROS",1,0)*IF(I178=1,1,0)</f>
        <v>0</v>
      </c>
      <c r="K178" s="356"/>
      <c r="L178" s="299"/>
      <c r="M178" s="299"/>
      <c r="N178" s="299"/>
      <c r="O178" s="299"/>
      <c r="P178" s="299"/>
      <c r="Q178" s="299"/>
      <c r="R178" s="299"/>
      <c r="S178" s="299"/>
      <c r="T178" s="299"/>
      <c r="U178" s="299"/>
      <c r="V178" s="299"/>
      <c r="W178" s="299"/>
      <c r="X178" s="299"/>
      <c r="Y178" s="299"/>
      <c r="Z178" s="299"/>
      <c r="AA178" s="299"/>
      <c r="AB178" s="299"/>
      <c r="AC178" s="300"/>
      <c r="AD178" s="302" t="n">
        <f aca="false">IF(SUM(L178:AC178)=0,0,SUM(L178:AC178)/'Conformación JD'!$X$19)</f>
        <v>0</v>
      </c>
      <c r="AE178" s="301" t="n">
        <f aca="false">SUM(L178:AC178)</f>
        <v>0</v>
      </c>
      <c r="AF178" s="301" t="n">
        <f aca="false">+AC178+AA178+Y178+W178+U178+S178+Q178+O178+M178</f>
        <v>0</v>
      </c>
      <c r="AG178" s="357" t="n">
        <f aca="false">IF(AE178=0,0,AF178/AE178)</f>
        <v>0</v>
      </c>
      <c r="AH178" s="358"/>
    </row>
    <row r="179" customFormat="false" ht="13.8" hidden="false" customHeight="false" outlineLevel="0" collapsed="false">
      <c r="A179" s="353"/>
      <c r="B179" s="353"/>
      <c r="C179" s="353"/>
      <c r="D179" s="353"/>
      <c r="E179" s="299" t="n">
        <v>6</v>
      </c>
      <c r="F179" s="354"/>
      <c r="G179" s="355"/>
      <c r="H179" s="355"/>
      <c r="I179" s="299"/>
      <c r="J179" s="300" t="n">
        <f aca="false">IF(H179&lt;&gt;"OTROS",1,0)*IF(I179=1,1,0)</f>
        <v>0</v>
      </c>
      <c r="K179" s="356"/>
      <c r="L179" s="299"/>
      <c r="M179" s="299"/>
      <c r="N179" s="299"/>
      <c r="O179" s="299"/>
      <c r="P179" s="299"/>
      <c r="Q179" s="299"/>
      <c r="R179" s="299"/>
      <c r="S179" s="299"/>
      <c r="T179" s="299"/>
      <c r="U179" s="299"/>
      <c r="V179" s="299"/>
      <c r="W179" s="299"/>
      <c r="X179" s="299"/>
      <c r="Y179" s="299"/>
      <c r="Z179" s="299"/>
      <c r="AA179" s="299"/>
      <c r="AB179" s="299"/>
      <c r="AC179" s="300"/>
      <c r="AD179" s="302" t="n">
        <f aca="false">IF(SUM(L179:AC179)=0,0,SUM(L179:AC179)/'Conformación JD'!$X$19)</f>
        <v>0</v>
      </c>
      <c r="AE179" s="301" t="n">
        <f aca="false">SUM(L179:AC179)</f>
        <v>0</v>
      </c>
      <c r="AF179" s="301" t="n">
        <f aca="false">+AC179+AA179+Y179+W179+U179+S179+Q179+O179+M179</f>
        <v>0</v>
      </c>
      <c r="AG179" s="357" t="n">
        <f aca="false">IF(AE179=0,0,AF179/AE179)</f>
        <v>0</v>
      </c>
      <c r="AH179" s="358"/>
    </row>
    <row r="180" customFormat="false" ht="13.8" hidden="false" customHeight="false" outlineLevel="0" collapsed="false">
      <c r="A180" s="353"/>
      <c r="B180" s="353"/>
      <c r="C180" s="353"/>
      <c r="D180" s="353"/>
      <c r="E180" s="299" t="n">
        <v>7</v>
      </c>
      <c r="F180" s="354"/>
      <c r="G180" s="355"/>
      <c r="H180" s="355"/>
      <c r="I180" s="299"/>
      <c r="J180" s="300" t="n">
        <f aca="false">IF(H180&lt;&gt;"OTROS",1,0)*IF(I180=1,1,0)</f>
        <v>0</v>
      </c>
      <c r="K180" s="356"/>
      <c r="L180" s="299"/>
      <c r="M180" s="299"/>
      <c r="N180" s="299"/>
      <c r="O180" s="299"/>
      <c r="P180" s="299"/>
      <c r="Q180" s="299"/>
      <c r="R180" s="299"/>
      <c r="S180" s="299"/>
      <c r="T180" s="299"/>
      <c r="U180" s="299"/>
      <c r="V180" s="299"/>
      <c r="W180" s="299"/>
      <c r="X180" s="299"/>
      <c r="Y180" s="299"/>
      <c r="Z180" s="299"/>
      <c r="AA180" s="299"/>
      <c r="AB180" s="299"/>
      <c r="AC180" s="300"/>
      <c r="AD180" s="302" t="n">
        <f aca="false">IF(SUM(L180:AC180)=0,0,SUM(L180:AC180)/'Conformación JD'!$X$19)</f>
        <v>0</v>
      </c>
      <c r="AE180" s="301" t="n">
        <f aca="false">SUM(L180:AC180)</f>
        <v>0</v>
      </c>
      <c r="AF180" s="301" t="n">
        <f aca="false">+AC180+AA180+Y180+W180+U180+S180+Q180+O180+M180</f>
        <v>0</v>
      </c>
      <c r="AG180" s="357" t="n">
        <f aca="false">IF(AE180=0,0,AF180/AE180)</f>
        <v>0</v>
      </c>
      <c r="AH180" s="358"/>
    </row>
    <row r="181" customFormat="false" ht="13.8" hidden="false" customHeight="false" outlineLevel="0" collapsed="false">
      <c r="A181" s="353"/>
      <c r="B181" s="353"/>
      <c r="C181" s="353"/>
      <c r="D181" s="353"/>
      <c r="E181" s="299" t="n">
        <v>8</v>
      </c>
      <c r="F181" s="354"/>
      <c r="G181" s="355"/>
      <c r="H181" s="355"/>
      <c r="I181" s="299"/>
      <c r="J181" s="300" t="n">
        <f aca="false">IF(H181&lt;&gt;"OTROS",1,0)*IF(I181=1,1,0)</f>
        <v>0</v>
      </c>
      <c r="K181" s="356"/>
      <c r="L181" s="299"/>
      <c r="M181" s="299"/>
      <c r="N181" s="299"/>
      <c r="O181" s="299"/>
      <c r="P181" s="299"/>
      <c r="Q181" s="299"/>
      <c r="R181" s="299"/>
      <c r="S181" s="299"/>
      <c r="T181" s="299"/>
      <c r="U181" s="299"/>
      <c r="V181" s="299"/>
      <c r="W181" s="299"/>
      <c r="X181" s="299"/>
      <c r="Y181" s="299"/>
      <c r="Z181" s="299"/>
      <c r="AA181" s="299"/>
      <c r="AB181" s="299"/>
      <c r="AC181" s="300"/>
      <c r="AD181" s="302" t="n">
        <f aca="false">IF(SUM(L181:AC181)=0,0,SUM(L181:AC181)/'Conformación JD'!$X$19)</f>
        <v>0</v>
      </c>
      <c r="AE181" s="301" t="n">
        <f aca="false">SUM(L181:AC181)</f>
        <v>0</v>
      </c>
      <c r="AF181" s="301" t="n">
        <f aca="false">+AC181+AA181+Y181+W181+U181+S181+Q181+O181+M181</f>
        <v>0</v>
      </c>
      <c r="AG181" s="357" t="n">
        <f aca="false">IF(AE181=0,0,AF181/AE181)</f>
        <v>0</v>
      </c>
      <c r="AH181" s="358"/>
    </row>
    <row r="182" customFormat="false" ht="13.8" hidden="false" customHeight="false" outlineLevel="0" collapsed="false">
      <c r="A182" s="353"/>
      <c r="B182" s="353"/>
      <c r="C182" s="353"/>
      <c r="D182" s="353"/>
      <c r="E182" s="299" t="n">
        <v>9</v>
      </c>
      <c r="F182" s="354"/>
      <c r="G182" s="355"/>
      <c r="H182" s="355"/>
      <c r="I182" s="299"/>
      <c r="J182" s="300" t="n">
        <f aca="false">IF(H182&lt;&gt;"OTROS",1,0)*IF(I182=1,1,0)</f>
        <v>0</v>
      </c>
      <c r="K182" s="356"/>
      <c r="L182" s="299"/>
      <c r="M182" s="299"/>
      <c r="N182" s="299"/>
      <c r="O182" s="299"/>
      <c r="P182" s="299"/>
      <c r="Q182" s="299"/>
      <c r="R182" s="299"/>
      <c r="S182" s="299"/>
      <c r="T182" s="299"/>
      <c r="U182" s="299"/>
      <c r="V182" s="299"/>
      <c r="W182" s="299"/>
      <c r="X182" s="299"/>
      <c r="Y182" s="299"/>
      <c r="Z182" s="299"/>
      <c r="AA182" s="299"/>
      <c r="AB182" s="299"/>
      <c r="AC182" s="300"/>
      <c r="AD182" s="302" t="n">
        <f aca="false">IF(SUM(L182:AC182)=0,0,SUM(L182:AC182)/'Conformación JD'!$X$19)</f>
        <v>0</v>
      </c>
      <c r="AE182" s="301" t="n">
        <f aca="false">SUM(L182:AC182)</f>
        <v>0</v>
      </c>
      <c r="AF182" s="301" t="n">
        <f aca="false">+AC182+AA182+Y182+W182+U182+S182+Q182+O182+M182</f>
        <v>0</v>
      </c>
      <c r="AG182" s="357" t="n">
        <f aca="false">IF(AE182=0,0,AF182/AE182)</f>
        <v>0</v>
      </c>
      <c r="AH182" s="358"/>
    </row>
    <row r="183" customFormat="false" ht="13.8" hidden="false" customHeight="false" outlineLevel="0" collapsed="false">
      <c r="A183" s="353"/>
      <c r="B183" s="353"/>
      <c r="C183" s="353"/>
      <c r="D183" s="353"/>
      <c r="E183" s="360" t="n">
        <v>10</v>
      </c>
      <c r="F183" s="361"/>
      <c r="G183" s="362"/>
      <c r="H183" s="362"/>
      <c r="I183" s="360"/>
      <c r="J183" s="300" t="n">
        <f aca="false">IF(H183&lt;&gt;"OTROS",1,0)*IF(I183=1,1,0)</f>
        <v>0</v>
      </c>
      <c r="K183" s="356"/>
      <c r="L183" s="360"/>
      <c r="M183" s="360"/>
      <c r="N183" s="360"/>
      <c r="O183" s="360"/>
      <c r="P183" s="360"/>
      <c r="Q183" s="360"/>
      <c r="R183" s="360"/>
      <c r="S183" s="360"/>
      <c r="T183" s="360"/>
      <c r="U183" s="360"/>
      <c r="V183" s="360"/>
      <c r="W183" s="360"/>
      <c r="X183" s="360"/>
      <c r="Y183" s="360"/>
      <c r="Z183" s="360"/>
      <c r="AA183" s="360"/>
      <c r="AB183" s="360"/>
      <c r="AC183" s="363"/>
      <c r="AD183" s="302" t="n">
        <f aca="false">IF(SUM(L183:AC183)=0,0,SUM(L183:AC183)/'Conformación JD'!$X$19)</f>
        <v>0</v>
      </c>
      <c r="AE183" s="301" t="n">
        <f aca="false">SUM(L183:AC183)</f>
        <v>0</v>
      </c>
      <c r="AF183" s="301" t="n">
        <f aca="false">+AC183+AA183+Y183+W183+U183+S183+Q183+O183+M183</f>
        <v>0</v>
      </c>
      <c r="AG183" s="357" t="n">
        <f aca="false">IF(AE183=0,0,AF183/AE183)</f>
        <v>0</v>
      </c>
      <c r="AH183" s="358"/>
    </row>
    <row r="184" customFormat="false" ht="13.8" hidden="false" customHeight="true" outlineLevel="0" collapsed="false">
      <c r="A184" s="305"/>
      <c r="B184" s="305"/>
      <c r="C184" s="305"/>
      <c r="D184" s="305"/>
      <c r="E184" s="364" t="s">
        <v>366</v>
      </c>
      <c r="F184" s="364"/>
      <c r="G184" s="364"/>
      <c r="H184" s="364"/>
      <c r="I184" s="365" t="n">
        <f aca="false">IF((COUNTIF(G174:G183,"&lt;&gt;"))&lt;&gt;0,SUM(I174:I183)/COUNTIF(G174:G183,"&lt;&gt;"),0)</f>
        <v>0</v>
      </c>
      <c r="J184" s="366" t="n">
        <f aca="false">IF((COUNTIF(H174:H183,"&lt;&gt;"))&lt;&gt;0,SUM(J174:J183)/COUNTIF(H174:H183,"&lt;&gt;"),0)</f>
        <v>0</v>
      </c>
      <c r="K184" s="310" t="n">
        <f aca="false">IF((COUNTIF(H174:H183,"&lt;&gt;"))&lt;&gt;0,SUM(K174:K183)/COUNTIF(H174:H183,"&lt;&gt;"),0)</f>
        <v>0</v>
      </c>
      <c r="L184" s="307" t="n">
        <f aca="false">SUM(L174:L183)</f>
        <v>0</v>
      </c>
      <c r="M184" s="307" t="n">
        <f aca="false">SUM(M174:M183)</f>
        <v>0</v>
      </c>
      <c r="N184" s="307" t="n">
        <f aca="false">SUM(N174:N183)</f>
        <v>0</v>
      </c>
      <c r="O184" s="307" t="n">
        <f aca="false">SUM(O174:O183)</f>
        <v>0</v>
      </c>
      <c r="P184" s="307" t="n">
        <f aca="false">SUM(P174:P183)</f>
        <v>0</v>
      </c>
      <c r="Q184" s="307" t="n">
        <f aca="false">SUM(Q174:Q183)</f>
        <v>0</v>
      </c>
      <c r="R184" s="307" t="n">
        <f aca="false">SUM(R174:R183)</f>
        <v>0</v>
      </c>
      <c r="S184" s="307" t="n">
        <f aca="false">SUM(S174:S183)</f>
        <v>0</v>
      </c>
      <c r="T184" s="307" t="n">
        <f aca="false">SUM(T174:T183)</f>
        <v>0</v>
      </c>
      <c r="U184" s="307" t="n">
        <f aca="false">SUM(U174:U183)</f>
        <v>0</v>
      </c>
      <c r="V184" s="307" t="n">
        <f aca="false">SUM(V174:V183)</f>
        <v>0</v>
      </c>
      <c r="W184" s="307" t="n">
        <f aca="false">SUM(W174:W183)</f>
        <v>0</v>
      </c>
      <c r="X184" s="307" t="n">
        <f aca="false">SUM(X174:X183)</f>
        <v>0</v>
      </c>
      <c r="Y184" s="307" t="n">
        <f aca="false">SUM(Y174:Y183)</f>
        <v>0</v>
      </c>
      <c r="Z184" s="307" t="n">
        <f aca="false">SUM(Z174:Z183)</f>
        <v>0</v>
      </c>
      <c r="AA184" s="307" t="n">
        <f aca="false">SUM(AA174:AA183)</f>
        <v>0</v>
      </c>
      <c r="AB184" s="307" t="n">
        <f aca="false">SUM(AB174:AB183)</f>
        <v>0</v>
      </c>
      <c r="AC184" s="307" t="n">
        <f aca="false">SUM(AC174:AC183)</f>
        <v>0</v>
      </c>
      <c r="AD184" s="310" t="n">
        <f aca="false">IF(SUM(AD174:AD183)=0,0,SUM(AD174:AD183)/COUNTIF(AD174:AD183,"&lt;&gt;0"))</f>
        <v>0</v>
      </c>
      <c r="AE184" s="365" t="n">
        <f aca="false">IF(SUM(AE174:AE183)=0,0,SUM(AE174:AE183)/COUNTIF(AE174:AE183,"&lt;&gt;0"))</f>
        <v>0</v>
      </c>
      <c r="AF184" s="365" t="n">
        <f aca="false">IF(SUM(AF174:AF183)=0,0,SUM(AF174:AF183)/COUNTIF(AF174:AF183,"&lt;&gt;0"))</f>
        <v>0</v>
      </c>
      <c r="AG184" s="310" t="n">
        <f aca="false">IF(SUM(AG174:AG183)=0,0,SUM(AG174:AG183)/COUNTIF(AD174:AD183,"&lt;&gt;0"))</f>
        <v>0</v>
      </c>
      <c r="AH184" s="367"/>
    </row>
    <row r="185" customFormat="false" ht="12.75" hidden="false" customHeight="true" outlineLevel="0" collapsed="false">
      <c r="A185" s="287" t="s">
        <v>315</v>
      </c>
      <c r="B185" s="287" t="s">
        <v>316</v>
      </c>
      <c r="C185" s="287" t="s">
        <v>317</v>
      </c>
      <c r="D185" s="288" t="s">
        <v>318</v>
      </c>
      <c r="E185" s="344" t="s">
        <v>349</v>
      </c>
      <c r="F185" s="345" t="s">
        <v>350</v>
      </c>
      <c r="G185" s="346" t="s">
        <v>351</v>
      </c>
      <c r="H185" s="347" t="s">
        <v>352</v>
      </c>
      <c r="I185" s="348" t="s">
        <v>353</v>
      </c>
      <c r="J185" s="348" t="s">
        <v>354</v>
      </c>
      <c r="K185" s="347" t="s">
        <v>355</v>
      </c>
      <c r="L185" s="346" t="s">
        <v>320</v>
      </c>
      <c r="M185" s="346"/>
      <c r="N185" s="346"/>
      <c r="O185" s="346"/>
      <c r="P185" s="346"/>
      <c r="Q185" s="346"/>
      <c r="R185" s="346"/>
      <c r="S185" s="346"/>
      <c r="T185" s="346"/>
      <c r="U185" s="346"/>
      <c r="V185" s="346"/>
      <c r="W185" s="346"/>
      <c r="X185" s="346"/>
      <c r="Y185" s="346"/>
      <c r="Z185" s="346"/>
      <c r="AA185" s="346"/>
      <c r="AB185" s="346"/>
      <c r="AC185" s="346"/>
      <c r="AD185" s="349"/>
      <c r="AE185" s="349"/>
      <c r="AF185" s="349"/>
      <c r="AG185" s="349"/>
      <c r="AH185" s="184"/>
    </row>
    <row r="186" customFormat="false" ht="12.75" hidden="false" customHeight="true" outlineLevel="0" collapsed="false">
      <c r="A186" s="287"/>
      <c r="B186" s="287"/>
      <c r="C186" s="287"/>
      <c r="D186" s="288"/>
      <c r="E186" s="344"/>
      <c r="F186" s="345"/>
      <c r="G186" s="346"/>
      <c r="H186" s="347"/>
      <c r="I186" s="348"/>
      <c r="J186" s="348"/>
      <c r="K186" s="347"/>
      <c r="L186" s="293" t="s">
        <v>321</v>
      </c>
      <c r="M186" s="293"/>
      <c r="N186" s="293" t="s">
        <v>356</v>
      </c>
      <c r="O186" s="293"/>
      <c r="P186" s="293" t="s">
        <v>357</v>
      </c>
      <c r="Q186" s="293"/>
      <c r="R186" s="293" t="s">
        <v>324</v>
      </c>
      <c r="S186" s="293"/>
      <c r="T186" s="293" t="s">
        <v>325</v>
      </c>
      <c r="U186" s="293"/>
      <c r="V186" s="293" t="s">
        <v>326</v>
      </c>
      <c r="W186" s="293"/>
      <c r="X186" s="293" t="s">
        <v>327</v>
      </c>
      <c r="Y186" s="293"/>
      <c r="Z186" s="293" t="s">
        <v>328</v>
      </c>
      <c r="AA186" s="293"/>
      <c r="AB186" s="293" t="s">
        <v>329</v>
      </c>
      <c r="AC186" s="293"/>
      <c r="AD186" s="350" t="s">
        <v>358</v>
      </c>
      <c r="AE186" s="350" t="s">
        <v>359</v>
      </c>
      <c r="AF186" s="350" t="s">
        <v>360</v>
      </c>
      <c r="AG186" s="350" t="s">
        <v>361</v>
      </c>
      <c r="AH186" s="351" t="s">
        <v>362</v>
      </c>
    </row>
    <row r="187" customFormat="false" ht="39.75" hidden="false" customHeight="true" outlineLevel="0" collapsed="false">
      <c r="A187" s="287"/>
      <c r="B187" s="287"/>
      <c r="C187" s="287"/>
      <c r="D187" s="288"/>
      <c r="E187" s="344"/>
      <c r="F187" s="345"/>
      <c r="G187" s="346"/>
      <c r="H187" s="347"/>
      <c r="I187" s="348"/>
      <c r="J187" s="348"/>
      <c r="K187" s="347"/>
      <c r="L187" s="295" t="s">
        <v>68</v>
      </c>
      <c r="M187" s="295" t="s">
        <v>298</v>
      </c>
      <c r="N187" s="295" t="s">
        <v>68</v>
      </c>
      <c r="O187" s="295" t="s">
        <v>298</v>
      </c>
      <c r="P187" s="295" t="s">
        <v>68</v>
      </c>
      <c r="Q187" s="295" t="s">
        <v>298</v>
      </c>
      <c r="R187" s="295" t="s">
        <v>68</v>
      </c>
      <c r="S187" s="295" t="s">
        <v>298</v>
      </c>
      <c r="T187" s="295" t="s">
        <v>68</v>
      </c>
      <c r="U187" s="295" t="s">
        <v>298</v>
      </c>
      <c r="V187" s="295" t="s">
        <v>68</v>
      </c>
      <c r="W187" s="295" t="s">
        <v>298</v>
      </c>
      <c r="X187" s="295" t="s">
        <v>68</v>
      </c>
      <c r="Y187" s="295" t="s">
        <v>298</v>
      </c>
      <c r="Z187" s="295" t="s">
        <v>68</v>
      </c>
      <c r="AA187" s="295" t="s">
        <v>298</v>
      </c>
      <c r="AB187" s="295" t="s">
        <v>68</v>
      </c>
      <c r="AC187" s="296" t="s">
        <v>298</v>
      </c>
      <c r="AD187" s="350"/>
      <c r="AE187" s="350"/>
      <c r="AF187" s="350"/>
      <c r="AG187" s="350"/>
      <c r="AH187" s="351"/>
    </row>
    <row r="188" customFormat="false" ht="13.8" hidden="false" customHeight="false" outlineLevel="0" collapsed="false">
      <c r="A188" s="353" t="n">
        <f aca="false">'Listado CAPS'!A185</f>
        <v>0</v>
      </c>
      <c r="B188" s="353" t="n">
        <f aca="false">'Listado CAPS'!B185</f>
        <v>0</v>
      </c>
      <c r="C188" s="353" t="n">
        <f aca="false">'Listado CAPS'!C185</f>
        <v>0</v>
      </c>
      <c r="D188" s="353" t="str">
        <f aca="false">'Listado CAPS'!D16</f>
        <v>N</v>
      </c>
      <c r="E188" s="299" t="n">
        <v>1</v>
      </c>
      <c r="F188" s="354"/>
      <c r="G188" s="304"/>
      <c r="H188" s="355"/>
      <c r="I188" s="299"/>
      <c r="J188" s="300" t="n">
        <f aca="false">IF(H188&lt;&gt;"OTROS",1,0)*IF(I188=1,1,0)</f>
        <v>0</v>
      </c>
      <c r="K188" s="356"/>
      <c r="L188" s="299"/>
      <c r="M188" s="299"/>
      <c r="N188" s="299"/>
      <c r="O188" s="299"/>
      <c r="P188" s="299"/>
      <c r="Q188" s="299"/>
      <c r="R188" s="299"/>
      <c r="S188" s="299"/>
      <c r="T188" s="299"/>
      <c r="U188" s="299"/>
      <c r="V188" s="299"/>
      <c r="W188" s="299"/>
      <c r="X188" s="299"/>
      <c r="Y188" s="299"/>
      <c r="Z188" s="299"/>
      <c r="AA188" s="299"/>
      <c r="AB188" s="299"/>
      <c r="AC188" s="300"/>
      <c r="AD188" s="302" t="n">
        <f aca="false">IF(SUM(L188:AC188)=0,0,SUM(L188:AC188)/'Conformación JD'!$X$20)</f>
        <v>0</v>
      </c>
      <c r="AE188" s="301" t="n">
        <f aca="false">SUM(L188:AC188)</f>
        <v>0</v>
      </c>
      <c r="AF188" s="301" t="n">
        <f aca="false">+AC188+AA188+Y188+W188+U188+S188+Q188+O188+M188</f>
        <v>0</v>
      </c>
      <c r="AG188" s="357" t="n">
        <f aca="false">IF(AE188=0,0,AF188/AE188)</f>
        <v>0</v>
      </c>
      <c r="AH188" s="299"/>
    </row>
    <row r="189" customFormat="false" ht="13.8" hidden="false" customHeight="false" outlineLevel="0" collapsed="false">
      <c r="A189" s="353"/>
      <c r="B189" s="353"/>
      <c r="C189" s="353"/>
      <c r="D189" s="353"/>
      <c r="E189" s="299" t="n">
        <v>2</v>
      </c>
      <c r="F189" s="354"/>
      <c r="G189" s="304"/>
      <c r="H189" s="355"/>
      <c r="I189" s="299"/>
      <c r="J189" s="300" t="n">
        <f aca="false">IF(H189&lt;&gt;"OTROS",1,0)*IF(I189=1,1,0)</f>
        <v>0</v>
      </c>
      <c r="K189" s="356"/>
      <c r="L189" s="299"/>
      <c r="M189" s="299"/>
      <c r="N189" s="299"/>
      <c r="O189" s="299"/>
      <c r="P189" s="299"/>
      <c r="Q189" s="299"/>
      <c r="R189" s="299"/>
      <c r="S189" s="299"/>
      <c r="T189" s="299"/>
      <c r="U189" s="299"/>
      <c r="V189" s="299"/>
      <c r="W189" s="299"/>
      <c r="X189" s="299"/>
      <c r="Y189" s="299"/>
      <c r="Z189" s="299"/>
      <c r="AA189" s="299"/>
      <c r="AB189" s="299"/>
      <c r="AC189" s="300"/>
      <c r="AD189" s="302" t="n">
        <f aca="false">IF(SUM(L189:AC189)=0,0,SUM(L189:AC189)/'Conformación JD'!$X$20)</f>
        <v>0</v>
      </c>
      <c r="AE189" s="301" t="n">
        <f aca="false">SUM(L189:AC189)</f>
        <v>0</v>
      </c>
      <c r="AF189" s="301" t="n">
        <f aca="false">+AC189+AA189+Y189+W189+U189+S189+Q189+O189+M189</f>
        <v>0</v>
      </c>
      <c r="AG189" s="357" t="n">
        <f aca="false">IF(AE189=0,0,AF189/AE189)</f>
        <v>0</v>
      </c>
      <c r="AH189" s="358"/>
    </row>
    <row r="190" customFormat="false" ht="13.8" hidden="false" customHeight="false" outlineLevel="0" collapsed="false">
      <c r="A190" s="353"/>
      <c r="B190" s="353"/>
      <c r="C190" s="353"/>
      <c r="D190" s="353"/>
      <c r="E190" s="299" t="n">
        <v>3</v>
      </c>
      <c r="F190" s="354"/>
      <c r="G190" s="304"/>
      <c r="H190" s="355"/>
      <c r="I190" s="299"/>
      <c r="J190" s="300" t="n">
        <f aca="false">IF(H190&lt;&gt;"OTROS",1,0)*IF(I190=1,1,0)</f>
        <v>0</v>
      </c>
      <c r="K190" s="356"/>
      <c r="L190" s="299"/>
      <c r="M190" s="299"/>
      <c r="N190" s="299"/>
      <c r="O190" s="299"/>
      <c r="P190" s="299"/>
      <c r="Q190" s="299"/>
      <c r="R190" s="299"/>
      <c r="S190" s="299"/>
      <c r="T190" s="299"/>
      <c r="U190" s="299"/>
      <c r="V190" s="299"/>
      <c r="W190" s="299"/>
      <c r="X190" s="299"/>
      <c r="Y190" s="299"/>
      <c r="Z190" s="299"/>
      <c r="AA190" s="299"/>
      <c r="AB190" s="299"/>
      <c r="AC190" s="300"/>
      <c r="AD190" s="302" t="n">
        <f aca="false">IF(SUM(L190:AC190)=0,0,SUM(L190:AC190)/'Conformación JD'!$X$20)</f>
        <v>0</v>
      </c>
      <c r="AE190" s="301" t="n">
        <f aca="false">SUM(L190:AC190)</f>
        <v>0</v>
      </c>
      <c r="AF190" s="301" t="n">
        <f aca="false">+AC190+AA190+Y190+W190+U190+S190+Q190+O190+M190</f>
        <v>0</v>
      </c>
      <c r="AG190" s="357" t="n">
        <f aca="false">IF(AE190=0,0,AF190/AE190)</f>
        <v>0</v>
      </c>
      <c r="AH190" s="359"/>
    </row>
    <row r="191" customFormat="false" ht="13.8" hidden="false" customHeight="false" outlineLevel="0" collapsed="false">
      <c r="A191" s="353"/>
      <c r="B191" s="353"/>
      <c r="C191" s="353"/>
      <c r="D191" s="353"/>
      <c r="E191" s="299" t="n">
        <v>4</v>
      </c>
      <c r="F191" s="354"/>
      <c r="G191" s="355"/>
      <c r="H191" s="355"/>
      <c r="I191" s="299"/>
      <c r="J191" s="300" t="n">
        <f aca="false">IF(H191&lt;&gt;"OTROS",1,0)*IF(I191=1,1,0)</f>
        <v>0</v>
      </c>
      <c r="K191" s="356"/>
      <c r="L191" s="299"/>
      <c r="M191" s="299"/>
      <c r="N191" s="299"/>
      <c r="O191" s="299"/>
      <c r="P191" s="299"/>
      <c r="Q191" s="299"/>
      <c r="R191" s="299"/>
      <c r="S191" s="299"/>
      <c r="T191" s="299"/>
      <c r="U191" s="299"/>
      <c r="V191" s="299"/>
      <c r="W191" s="299"/>
      <c r="X191" s="299"/>
      <c r="Y191" s="299"/>
      <c r="Z191" s="299"/>
      <c r="AA191" s="299"/>
      <c r="AB191" s="299"/>
      <c r="AC191" s="300"/>
      <c r="AD191" s="302" t="n">
        <f aca="false">IF(SUM(L191:AC191)=0,0,SUM(L191:AC191)/'Conformación JD'!$X$20)</f>
        <v>0</v>
      </c>
      <c r="AE191" s="301" t="n">
        <f aca="false">SUM(L191:AC191)</f>
        <v>0</v>
      </c>
      <c r="AF191" s="301" t="n">
        <f aca="false">+AC191+AA191+Y191+W191+U191+S191+Q191+O191+M191</f>
        <v>0</v>
      </c>
      <c r="AG191" s="357" t="n">
        <f aca="false">IF(AE191=0,0,AF191/AE191)</f>
        <v>0</v>
      </c>
      <c r="AH191" s="358"/>
    </row>
    <row r="192" customFormat="false" ht="13.8" hidden="false" customHeight="false" outlineLevel="0" collapsed="false">
      <c r="A192" s="353"/>
      <c r="B192" s="353"/>
      <c r="C192" s="353"/>
      <c r="D192" s="353"/>
      <c r="E192" s="299" t="n">
        <v>5</v>
      </c>
      <c r="F192" s="354"/>
      <c r="G192" s="355"/>
      <c r="H192" s="355"/>
      <c r="I192" s="299"/>
      <c r="J192" s="300" t="n">
        <f aca="false">IF(H192&lt;&gt;"OTROS",1,0)*IF(I192=1,1,0)</f>
        <v>0</v>
      </c>
      <c r="K192" s="356"/>
      <c r="L192" s="299"/>
      <c r="M192" s="299"/>
      <c r="N192" s="299"/>
      <c r="O192" s="299"/>
      <c r="P192" s="299"/>
      <c r="Q192" s="299"/>
      <c r="R192" s="299"/>
      <c r="S192" s="299"/>
      <c r="T192" s="299"/>
      <c r="U192" s="299"/>
      <c r="V192" s="299"/>
      <c r="W192" s="299"/>
      <c r="X192" s="299"/>
      <c r="Y192" s="299"/>
      <c r="Z192" s="299"/>
      <c r="AA192" s="299"/>
      <c r="AB192" s="299"/>
      <c r="AC192" s="300"/>
      <c r="AD192" s="302" t="n">
        <f aca="false">IF(SUM(L192:AC192)=0,0,SUM(L192:AC192)/'Conformación JD'!$X$20)</f>
        <v>0</v>
      </c>
      <c r="AE192" s="301" t="n">
        <f aca="false">SUM(L192:AC192)</f>
        <v>0</v>
      </c>
      <c r="AF192" s="301" t="n">
        <f aca="false">+AC192+AA192+Y192+W192+U192+S192+Q192+O192+M192</f>
        <v>0</v>
      </c>
      <c r="AG192" s="357" t="n">
        <f aca="false">IF(AE192=0,0,AF192/AE192)</f>
        <v>0</v>
      </c>
      <c r="AH192" s="358"/>
    </row>
    <row r="193" customFormat="false" ht="13.8" hidden="false" customHeight="false" outlineLevel="0" collapsed="false">
      <c r="A193" s="353"/>
      <c r="B193" s="353"/>
      <c r="C193" s="353"/>
      <c r="D193" s="353"/>
      <c r="E193" s="299" t="n">
        <v>6</v>
      </c>
      <c r="F193" s="354"/>
      <c r="G193" s="355"/>
      <c r="H193" s="355"/>
      <c r="I193" s="299"/>
      <c r="J193" s="300" t="n">
        <f aca="false">IF(H193&lt;&gt;"OTROS",1,0)*IF(I193=1,1,0)</f>
        <v>0</v>
      </c>
      <c r="K193" s="356"/>
      <c r="L193" s="299"/>
      <c r="M193" s="299"/>
      <c r="N193" s="299"/>
      <c r="O193" s="299"/>
      <c r="P193" s="299"/>
      <c r="Q193" s="299"/>
      <c r="R193" s="299"/>
      <c r="S193" s="299"/>
      <c r="T193" s="299"/>
      <c r="U193" s="299"/>
      <c r="V193" s="299"/>
      <c r="W193" s="299"/>
      <c r="X193" s="299"/>
      <c r="Y193" s="299"/>
      <c r="Z193" s="299"/>
      <c r="AA193" s="299"/>
      <c r="AB193" s="299"/>
      <c r="AC193" s="300"/>
      <c r="AD193" s="302" t="n">
        <f aca="false">IF(SUM(L193:AC193)=0,0,SUM(L193:AC193)/'Conformación JD'!$X$20)</f>
        <v>0</v>
      </c>
      <c r="AE193" s="301" t="n">
        <f aca="false">SUM(L193:AC193)</f>
        <v>0</v>
      </c>
      <c r="AF193" s="301" t="n">
        <f aca="false">+AC193+AA193+Y193+W193+U193+S193+Q193+O193+M193</f>
        <v>0</v>
      </c>
      <c r="AG193" s="357" t="n">
        <f aca="false">IF(AE193=0,0,AF193/AE193)</f>
        <v>0</v>
      </c>
      <c r="AH193" s="358"/>
    </row>
    <row r="194" customFormat="false" ht="13.8" hidden="false" customHeight="false" outlineLevel="0" collapsed="false">
      <c r="A194" s="353"/>
      <c r="B194" s="353"/>
      <c r="C194" s="353"/>
      <c r="D194" s="353"/>
      <c r="E194" s="299" t="n">
        <v>7</v>
      </c>
      <c r="F194" s="354"/>
      <c r="G194" s="355"/>
      <c r="H194" s="355"/>
      <c r="I194" s="299"/>
      <c r="J194" s="300" t="n">
        <f aca="false">IF(H194&lt;&gt;"OTROS",1,0)*IF(I194=1,1,0)</f>
        <v>0</v>
      </c>
      <c r="K194" s="356"/>
      <c r="L194" s="299"/>
      <c r="M194" s="299"/>
      <c r="N194" s="299"/>
      <c r="O194" s="299"/>
      <c r="P194" s="299"/>
      <c r="Q194" s="299"/>
      <c r="R194" s="299"/>
      <c r="S194" s="299"/>
      <c r="T194" s="299"/>
      <c r="U194" s="299"/>
      <c r="V194" s="299"/>
      <c r="W194" s="299"/>
      <c r="X194" s="299"/>
      <c r="Y194" s="299"/>
      <c r="Z194" s="299"/>
      <c r="AA194" s="299"/>
      <c r="AB194" s="299"/>
      <c r="AC194" s="300"/>
      <c r="AD194" s="302" t="n">
        <f aca="false">IF(SUM(L194:AC194)=0,0,SUM(L194:AC194)/'Conformación JD'!$X$20)</f>
        <v>0</v>
      </c>
      <c r="AE194" s="301" t="n">
        <f aca="false">SUM(L194:AC194)</f>
        <v>0</v>
      </c>
      <c r="AF194" s="301" t="n">
        <f aca="false">+AC194+AA194+Y194+W194+U194+S194+Q194+O194+M194</f>
        <v>0</v>
      </c>
      <c r="AG194" s="357" t="n">
        <f aca="false">IF(AE194=0,0,AF194/AE194)</f>
        <v>0</v>
      </c>
      <c r="AH194" s="358"/>
    </row>
    <row r="195" customFormat="false" ht="13.8" hidden="false" customHeight="false" outlineLevel="0" collapsed="false">
      <c r="A195" s="353"/>
      <c r="B195" s="353"/>
      <c r="C195" s="353"/>
      <c r="D195" s="353"/>
      <c r="E195" s="299" t="n">
        <v>8</v>
      </c>
      <c r="F195" s="354"/>
      <c r="G195" s="355"/>
      <c r="H195" s="355"/>
      <c r="I195" s="299"/>
      <c r="J195" s="300" t="n">
        <f aca="false">IF(H195&lt;&gt;"OTROS",1,0)*IF(I195=1,1,0)</f>
        <v>0</v>
      </c>
      <c r="K195" s="356"/>
      <c r="L195" s="299"/>
      <c r="M195" s="299"/>
      <c r="N195" s="299"/>
      <c r="O195" s="299"/>
      <c r="P195" s="299"/>
      <c r="Q195" s="299"/>
      <c r="R195" s="299"/>
      <c r="S195" s="299"/>
      <c r="T195" s="299"/>
      <c r="U195" s="299"/>
      <c r="V195" s="299"/>
      <c r="W195" s="299"/>
      <c r="X195" s="299"/>
      <c r="Y195" s="299"/>
      <c r="Z195" s="299"/>
      <c r="AA195" s="299"/>
      <c r="AB195" s="299"/>
      <c r="AC195" s="300"/>
      <c r="AD195" s="302" t="n">
        <f aca="false">IF(SUM(L195:AC195)=0,0,SUM(L195:AC195)/'Conformación JD'!$X$20)</f>
        <v>0</v>
      </c>
      <c r="AE195" s="301" t="n">
        <f aca="false">SUM(L195:AC195)</f>
        <v>0</v>
      </c>
      <c r="AF195" s="301" t="n">
        <f aca="false">+AC195+AA195+Y195+W195+U195+S195+Q195+O195+M195</f>
        <v>0</v>
      </c>
      <c r="AG195" s="357" t="n">
        <f aca="false">IF(AE195=0,0,AF195/AE195)</f>
        <v>0</v>
      </c>
      <c r="AH195" s="358"/>
    </row>
    <row r="196" customFormat="false" ht="13.8" hidden="false" customHeight="false" outlineLevel="0" collapsed="false">
      <c r="A196" s="353"/>
      <c r="B196" s="353"/>
      <c r="C196" s="353"/>
      <c r="D196" s="353"/>
      <c r="E196" s="299" t="n">
        <v>9</v>
      </c>
      <c r="F196" s="354"/>
      <c r="G196" s="355"/>
      <c r="H196" s="355"/>
      <c r="I196" s="299"/>
      <c r="J196" s="300" t="n">
        <f aca="false">IF(H196&lt;&gt;"OTROS",1,0)*IF(I196=1,1,0)</f>
        <v>0</v>
      </c>
      <c r="K196" s="356"/>
      <c r="L196" s="299"/>
      <c r="M196" s="299"/>
      <c r="N196" s="299"/>
      <c r="O196" s="299"/>
      <c r="P196" s="299"/>
      <c r="Q196" s="299"/>
      <c r="R196" s="299"/>
      <c r="S196" s="299"/>
      <c r="T196" s="299"/>
      <c r="U196" s="299"/>
      <c r="V196" s="299"/>
      <c r="W196" s="299"/>
      <c r="X196" s="299"/>
      <c r="Y196" s="299"/>
      <c r="Z196" s="299"/>
      <c r="AA196" s="299"/>
      <c r="AB196" s="299"/>
      <c r="AC196" s="300"/>
      <c r="AD196" s="302" t="n">
        <f aca="false">IF(SUM(L196:AC196)=0,0,SUM(L196:AC196)/'Conformación JD'!$X$20)</f>
        <v>0</v>
      </c>
      <c r="AE196" s="301" t="n">
        <f aca="false">SUM(L196:AC196)</f>
        <v>0</v>
      </c>
      <c r="AF196" s="301" t="n">
        <f aca="false">+AC196+AA196+Y196+W196+U196+S196+Q196+O196+M196</f>
        <v>0</v>
      </c>
      <c r="AG196" s="357" t="n">
        <f aca="false">IF(AE196=0,0,AF196/AE196)</f>
        <v>0</v>
      </c>
      <c r="AH196" s="358"/>
    </row>
    <row r="197" customFormat="false" ht="13.8" hidden="false" customHeight="false" outlineLevel="0" collapsed="false">
      <c r="A197" s="353"/>
      <c r="B197" s="353"/>
      <c r="C197" s="353"/>
      <c r="D197" s="353"/>
      <c r="E197" s="360" t="n">
        <v>10</v>
      </c>
      <c r="F197" s="361"/>
      <c r="G197" s="362"/>
      <c r="H197" s="362"/>
      <c r="I197" s="360"/>
      <c r="J197" s="300" t="n">
        <f aca="false">IF(H197&lt;&gt;"OTROS",1,0)*IF(I197=1,1,0)</f>
        <v>0</v>
      </c>
      <c r="K197" s="356"/>
      <c r="L197" s="360"/>
      <c r="M197" s="360"/>
      <c r="N197" s="360"/>
      <c r="O197" s="360"/>
      <c r="P197" s="360"/>
      <c r="Q197" s="360"/>
      <c r="R197" s="360"/>
      <c r="S197" s="360"/>
      <c r="T197" s="360"/>
      <c r="U197" s="360"/>
      <c r="V197" s="360"/>
      <c r="W197" s="360"/>
      <c r="X197" s="360"/>
      <c r="Y197" s="360"/>
      <c r="Z197" s="360"/>
      <c r="AA197" s="360"/>
      <c r="AB197" s="360"/>
      <c r="AC197" s="363"/>
      <c r="AD197" s="302" t="n">
        <f aca="false">IF(SUM(L197:AC197)=0,0,SUM(L197:AC197)/'Conformación JD'!$X$20)</f>
        <v>0</v>
      </c>
      <c r="AE197" s="301" t="n">
        <f aca="false">SUM(L197:AC197)</f>
        <v>0</v>
      </c>
      <c r="AF197" s="301" t="n">
        <f aca="false">+AC197+AA197+Y197+W197+U197+S197+Q197+O197+M197</f>
        <v>0</v>
      </c>
      <c r="AG197" s="357" t="n">
        <f aca="false">IF(AE197=0,0,AF197/AE197)</f>
        <v>0</v>
      </c>
      <c r="AH197" s="358"/>
    </row>
    <row r="198" customFormat="false" ht="13.8" hidden="false" customHeight="true" outlineLevel="0" collapsed="false">
      <c r="A198" s="305"/>
      <c r="B198" s="305"/>
      <c r="C198" s="305"/>
      <c r="D198" s="305"/>
      <c r="E198" s="364" t="s">
        <v>366</v>
      </c>
      <c r="F198" s="364"/>
      <c r="G198" s="364"/>
      <c r="H198" s="364"/>
      <c r="I198" s="365" t="n">
        <f aca="false">IF((COUNTIF(G188:G197,"&lt;&gt;"))&lt;&gt;0,SUM(I188:I197)/COUNTIF(G188:G197,"&lt;&gt;"),0)</f>
        <v>0</v>
      </c>
      <c r="J198" s="366" t="n">
        <f aca="false">IF((COUNTIF(H188:H197,"&lt;&gt;"))&lt;&gt;0,SUM(J188:J197)/COUNTIF(H188:H197,"&lt;&gt;"),0)</f>
        <v>0</v>
      </c>
      <c r="K198" s="310" t="n">
        <f aca="false">IF((COUNTIF(H188:H197,"&lt;&gt;"))&lt;&gt;0,SUM(K188:K197)/COUNTIF(H188:H197,"&lt;&gt;"),0)</f>
        <v>0</v>
      </c>
      <c r="L198" s="307" t="n">
        <f aca="false">SUM(L188:L197)</f>
        <v>0</v>
      </c>
      <c r="M198" s="307" t="n">
        <f aca="false">SUM(M188:M197)</f>
        <v>0</v>
      </c>
      <c r="N198" s="307" t="n">
        <f aca="false">SUM(N188:N197)</f>
        <v>0</v>
      </c>
      <c r="O198" s="307" t="n">
        <f aca="false">SUM(O188:O197)</f>
        <v>0</v>
      </c>
      <c r="P198" s="307" t="n">
        <f aca="false">SUM(P188:P197)</f>
        <v>0</v>
      </c>
      <c r="Q198" s="307" t="n">
        <f aca="false">SUM(Q188:Q197)</f>
        <v>0</v>
      </c>
      <c r="R198" s="307" t="n">
        <f aca="false">SUM(R188:R197)</f>
        <v>0</v>
      </c>
      <c r="S198" s="307" t="n">
        <f aca="false">SUM(S188:S197)</f>
        <v>0</v>
      </c>
      <c r="T198" s="307" t="n">
        <f aca="false">SUM(T188:T197)</f>
        <v>0</v>
      </c>
      <c r="U198" s="307" t="n">
        <f aca="false">SUM(U188:U197)</f>
        <v>0</v>
      </c>
      <c r="V198" s="307" t="n">
        <f aca="false">SUM(V188:V197)</f>
        <v>0</v>
      </c>
      <c r="W198" s="307" t="n">
        <f aca="false">SUM(W188:W197)</f>
        <v>0</v>
      </c>
      <c r="X198" s="307" t="n">
        <f aca="false">SUM(X188:X197)</f>
        <v>0</v>
      </c>
      <c r="Y198" s="307" t="n">
        <f aca="false">SUM(Y188:Y197)</f>
        <v>0</v>
      </c>
      <c r="Z198" s="307" t="n">
        <f aca="false">SUM(Z188:Z197)</f>
        <v>0</v>
      </c>
      <c r="AA198" s="307" t="n">
        <f aca="false">SUM(AA188:AA197)</f>
        <v>0</v>
      </c>
      <c r="AB198" s="307" t="n">
        <f aca="false">SUM(AB188:AB197)</f>
        <v>0</v>
      </c>
      <c r="AC198" s="307" t="n">
        <f aca="false">SUM(AC188:AC197)</f>
        <v>0</v>
      </c>
      <c r="AD198" s="310" t="n">
        <f aca="false">IF(SUM(AD188:AD197)=0,0,SUM(AD188:AD197)/COUNTIF(AD188:AD197,"&lt;&gt;0"))</f>
        <v>0</v>
      </c>
      <c r="AE198" s="365" t="n">
        <f aca="false">IF(SUM(AE188:AE197)=0,0,SUM(AE188:AE197)/COUNTIF(AE188:AE197,"&lt;&gt;0"))</f>
        <v>0</v>
      </c>
      <c r="AF198" s="365" t="n">
        <f aca="false">IF(SUM(AF188:AF197)=0,0,SUM(AF188:AF197)/COUNTIF(AF188:AF197,"&lt;&gt;0"))</f>
        <v>0</v>
      </c>
      <c r="AG198" s="310" t="n">
        <f aca="false">IF(SUM(AG188:AG197)=0,0,SUM(AG188:AG197)/COUNTIF(AD188:AD197,"&lt;&gt;0"))</f>
        <v>0</v>
      </c>
      <c r="AH198" s="367"/>
    </row>
    <row r="199" customFormat="false" ht="12.75" hidden="false" customHeight="true" outlineLevel="0" collapsed="false">
      <c r="A199" s="287" t="s">
        <v>315</v>
      </c>
      <c r="B199" s="287" t="s">
        <v>316</v>
      </c>
      <c r="C199" s="287" t="s">
        <v>317</v>
      </c>
      <c r="D199" s="288" t="s">
        <v>318</v>
      </c>
      <c r="E199" s="344" t="s">
        <v>349</v>
      </c>
      <c r="F199" s="345" t="s">
        <v>350</v>
      </c>
      <c r="G199" s="346" t="s">
        <v>351</v>
      </c>
      <c r="H199" s="347" t="s">
        <v>352</v>
      </c>
      <c r="I199" s="348" t="s">
        <v>353</v>
      </c>
      <c r="J199" s="348" t="s">
        <v>354</v>
      </c>
      <c r="K199" s="347" t="s">
        <v>355</v>
      </c>
      <c r="L199" s="346" t="s">
        <v>320</v>
      </c>
      <c r="M199" s="346"/>
      <c r="N199" s="346"/>
      <c r="O199" s="346"/>
      <c r="P199" s="346"/>
      <c r="Q199" s="346"/>
      <c r="R199" s="346"/>
      <c r="S199" s="346"/>
      <c r="T199" s="346"/>
      <c r="U199" s="346"/>
      <c r="V199" s="346"/>
      <c r="W199" s="346"/>
      <c r="X199" s="346"/>
      <c r="Y199" s="346"/>
      <c r="Z199" s="346"/>
      <c r="AA199" s="346"/>
      <c r="AB199" s="346"/>
      <c r="AC199" s="346"/>
      <c r="AD199" s="349"/>
      <c r="AE199" s="349"/>
      <c r="AF199" s="349"/>
      <c r="AG199" s="349"/>
      <c r="AH199" s="184"/>
    </row>
    <row r="200" customFormat="false" ht="12.75" hidden="false" customHeight="true" outlineLevel="0" collapsed="false">
      <c r="A200" s="287"/>
      <c r="B200" s="287"/>
      <c r="C200" s="287"/>
      <c r="D200" s="288"/>
      <c r="E200" s="344"/>
      <c r="F200" s="345"/>
      <c r="G200" s="346"/>
      <c r="H200" s="347"/>
      <c r="I200" s="348"/>
      <c r="J200" s="348"/>
      <c r="K200" s="347"/>
      <c r="L200" s="293" t="s">
        <v>321</v>
      </c>
      <c r="M200" s="293"/>
      <c r="N200" s="293" t="s">
        <v>356</v>
      </c>
      <c r="O200" s="293"/>
      <c r="P200" s="293" t="s">
        <v>357</v>
      </c>
      <c r="Q200" s="293"/>
      <c r="R200" s="293" t="s">
        <v>324</v>
      </c>
      <c r="S200" s="293"/>
      <c r="T200" s="293" t="s">
        <v>325</v>
      </c>
      <c r="U200" s="293"/>
      <c r="V200" s="293" t="s">
        <v>326</v>
      </c>
      <c r="W200" s="293"/>
      <c r="X200" s="293" t="s">
        <v>327</v>
      </c>
      <c r="Y200" s="293"/>
      <c r="Z200" s="293" t="s">
        <v>328</v>
      </c>
      <c r="AA200" s="293"/>
      <c r="AB200" s="293" t="s">
        <v>329</v>
      </c>
      <c r="AC200" s="293"/>
      <c r="AD200" s="350" t="s">
        <v>358</v>
      </c>
      <c r="AE200" s="350" t="s">
        <v>359</v>
      </c>
      <c r="AF200" s="350" t="s">
        <v>360</v>
      </c>
      <c r="AG200" s="350" t="s">
        <v>361</v>
      </c>
      <c r="AH200" s="351" t="s">
        <v>362</v>
      </c>
    </row>
    <row r="201" customFormat="false" ht="47.25" hidden="false" customHeight="true" outlineLevel="0" collapsed="false">
      <c r="A201" s="287"/>
      <c r="B201" s="287"/>
      <c r="C201" s="287"/>
      <c r="D201" s="288"/>
      <c r="E201" s="344"/>
      <c r="F201" s="345"/>
      <c r="G201" s="346"/>
      <c r="H201" s="347"/>
      <c r="I201" s="348"/>
      <c r="J201" s="348"/>
      <c r="K201" s="347"/>
      <c r="L201" s="295" t="s">
        <v>68</v>
      </c>
      <c r="M201" s="295" t="s">
        <v>298</v>
      </c>
      <c r="N201" s="295" t="s">
        <v>68</v>
      </c>
      <c r="O201" s="295" t="s">
        <v>298</v>
      </c>
      <c r="P201" s="295" t="s">
        <v>68</v>
      </c>
      <c r="Q201" s="295" t="s">
        <v>298</v>
      </c>
      <c r="R201" s="295" t="s">
        <v>68</v>
      </c>
      <c r="S201" s="295" t="s">
        <v>298</v>
      </c>
      <c r="T201" s="295" t="s">
        <v>68</v>
      </c>
      <c r="U201" s="295" t="s">
        <v>298</v>
      </c>
      <c r="V201" s="295" t="s">
        <v>68</v>
      </c>
      <c r="W201" s="295" t="s">
        <v>298</v>
      </c>
      <c r="X201" s="295" t="s">
        <v>68</v>
      </c>
      <c r="Y201" s="295" t="s">
        <v>298</v>
      </c>
      <c r="Z201" s="295" t="s">
        <v>68</v>
      </c>
      <c r="AA201" s="295" t="s">
        <v>298</v>
      </c>
      <c r="AB201" s="295" t="s">
        <v>68</v>
      </c>
      <c r="AC201" s="296" t="s">
        <v>298</v>
      </c>
      <c r="AD201" s="350"/>
      <c r="AE201" s="350"/>
      <c r="AF201" s="350"/>
      <c r="AG201" s="350"/>
      <c r="AH201" s="351"/>
    </row>
    <row r="202" customFormat="false" ht="13.8" hidden="false" customHeight="false" outlineLevel="0" collapsed="false">
      <c r="A202" s="353" t="n">
        <f aca="false">'Listado CAPS'!A199</f>
        <v>0</v>
      </c>
      <c r="B202" s="353" t="n">
        <f aca="false">'Listado CAPS'!B199</f>
        <v>0</v>
      </c>
      <c r="C202" s="353" t="n">
        <f aca="false">'Listado CAPS'!C199</f>
        <v>0</v>
      </c>
      <c r="D202" s="353" t="str">
        <f aca="false">'Listado CAPS'!D17</f>
        <v>Ñ</v>
      </c>
      <c r="E202" s="299" t="n">
        <v>1</v>
      </c>
      <c r="F202" s="354"/>
      <c r="G202" s="304"/>
      <c r="H202" s="355"/>
      <c r="I202" s="299"/>
      <c r="J202" s="300" t="n">
        <f aca="false">IF(H202&lt;&gt;"OTROS",1,0)*IF(I202=1,1,0)</f>
        <v>0</v>
      </c>
      <c r="K202" s="356"/>
      <c r="L202" s="299"/>
      <c r="M202" s="299"/>
      <c r="N202" s="299"/>
      <c r="O202" s="299"/>
      <c r="P202" s="299"/>
      <c r="Q202" s="299"/>
      <c r="R202" s="299"/>
      <c r="S202" s="299"/>
      <c r="T202" s="299"/>
      <c r="U202" s="299"/>
      <c r="V202" s="299"/>
      <c r="W202" s="299"/>
      <c r="X202" s="299"/>
      <c r="Y202" s="299"/>
      <c r="Z202" s="299"/>
      <c r="AA202" s="299"/>
      <c r="AB202" s="299"/>
      <c r="AC202" s="300"/>
      <c r="AD202" s="302" t="n">
        <f aca="false">IF(SUM(L202:AC202)=0,0,SUM(L202:AC202)/'Conformación JD'!$X$21)</f>
        <v>0</v>
      </c>
      <c r="AE202" s="301" t="n">
        <f aca="false">SUM(L202:AC202)</f>
        <v>0</v>
      </c>
      <c r="AF202" s="301" t="n">
        <f aca="false">+AC202+AA202+Y202+W202+U202+S202+Q202+O202+M202</f>
        <v>0</v>
      </c>
      <c r="AG202" s="357" t="n">
        <f aca="false">IF(AE202=0,0,AF202/AE202)</f>
        <v>0</v>
      </c>
      <c r="AH202" s="299"/>
    </row>
    <row r="203" customFormat="false" ht="13.8" hidden="false" customHeight="false" outlineLevel="0" collapsed="false">
      <c r="A203" s="353"/>
      <c r="B203" s="353"/>
      <c r="C203" s="353"/>
      <c r="D203" s="353"/>
      <c r="E203" s="299" t="n">
        <v>2</v>
      </c>
      <c r="F203" s="354"/>
      <c r="G203" s="304"/>
      <c r="H203" s="355"/>
      <c r="I203" s="299"/>
      <c r="J203" s="300" t="n">
        <f aca="false">IF(H203&lt;&gt;"OTROS",1,0)*IF(I203=1,1,0)</f>
        <v>0</v>
      </c>
      <c r="K203" s="356"/>
      <c r="L203" s="299"/>
      <c r="M203" s="299"/>
      <c r="N203" s="299"/>
      <c r="O203" s="299"/>
      <c r="P203" s="299"/>
      <c r="Q203" s="299"/>
      <c r="R203" s="299"/>
      <c r="S203" s="299"/>
      <c r="T203" s="299"/>
      <c r="U203" s="299"/>
      <c r="V203" s="299"/>
      <c r="W203" s="299"/>
      <c r="X203" s="299"/>
      <c r="Y203" s="299"/>
      <c r="Z203" s="299"/>
      <c r="AA203" s="299"/>
      <c r="AB203" s="299"/>
      <c r="AC203" s="300"/>
      <c r="AD203" s="302" t="n">
        <f aca="false">IF(SUM(L203:AC203)=0,0,SUM(L203:AC203)/'Conformación JD'!$X$21)</f>
        <v>0</v>
      </c>
      <c r="AE203" s="301" t="n">
        <f aca="false">SUM(L203:AC203)</f>
        <v>0</v>
      </c>
      <c r="AF203" s="301" t="n">
        <f aca="false">+AC203+AA203+Y203+W203+U203+S203+Q203+O203+M203</f>
        <v>0</v>
      </c>
      <c r="AG203" s="357" t="n">
        <f aca="false">IF(AE203=0,0,AF203/AE203)</f>
        <v>0</v>
      </c>
      <c r="AH203" s="358"/>
    </row>
    <row r="204" customFormat="false" ht="13.8" hidden="false" customHeight="false" outlineLevel="0" collapsed="false">
      <c r="A204" s="353"/>
      <c r="B204" s="353"/>
      <c r="C204" s="353"/>
      <c r="D204" s="353"/>
      <c r="E204" s="299" t="n">
        <v>3</v>
      </c>
      <c r="F204" s="354"/>
      <c r="G204" s="304"/>
      <c r="H204" s="355"/>
      <c r="I204" s="299"/>
      <c r="J204" s="300" t="n">
        <f aca="false">IF(H204&lt;&gt;"OTROS",1,0)*IF(I204=1,1,0)</f>
        <v>0</v>
      </c>
      <c r="K204" s="356"/>
      <c r="L204" s="299"/>
      <c r="M204" s="299"/>
      <c r="N204" s="299"/>
      <c r="O204" s="299"/>
      <c r="P204" s="299"/>
      <c r="Q204" s="299"/>
      <c r="R204" s="299"/>
      <c r="S204" s="299"/>
      <c r="T204" s="299"/>
      <c r="U204" s="299"/>
      <c r="V204" s="299"/>
      <c r="W204" s="299"/>
      <c r="X204" s="299"/>
      <c r="Y204" s="299"/>
      <c r="Z204" s="299"/>
      <c r="AA204" s="299"/>
      <c r="AB204" s="299"/>
      <c r="AC204" s="300"/>
      <c r="AD204" s="302" t="n">
        <f aca="false">IF(SUM(L204:AC204)=0,0,SUM(L204:AC204)/'Conformación JD'!$X$21)</f>
        <v>0</v>
      </c>
      <c r="AE204" s="301" t="n">
        <f aca="false">SUM(L204:AC204)</f>
        <v>0</v>
      </c>
      <c r="AF204" s="301" t="n">
        <f aca="false">+AC204+AA204+Y204+W204+U204+S204+Q204+O204+M204</f>
        <v>0</v>
      </c>
      <c r="AG204" s="357" t="n">
        <f aca="false">IF(AE204=0,0,AF204/AE204)</f>
        <v>0</v>
      </c>
      <c r="AH204" s="359"/>
    </row>
    <row r="205" customFormat="false" ht="13.8" hidden="false" customHeight="false" outlineLevel="0" collapsed="false">
      <c r="A205" s="353"/>
      <c r="B205" s="353"/>
      <c r="C205" s="353"/>
      <c r="D205" s="353"/>
      <c r="E205" s="299" t="n">
        <v>4</v>
      </c>
      <c r="F205" s="354"/>
      <c r="G205" s="355"/>
      <c r="H205" s="355"/>
      <c r="I205" s="299"/>
      <c r="J205" s="300" t="n">
        <f aca="false">IF(H205&lt;&gt;"OTROS",1,0)*IF(I205=1,1,0)</f>
        <v>0</v>
      </c>
      <c r="K205" s="356"/>
      <c r="L205" s="299"/>
      <c r="M205" s="299"/>
      <c r="N205" s="299"/>
      <c r="O205" s="299"/>
      <c r="P205" s="299"/>
      <c r="Q205" s="299"/>
      <c r="R205" s="299"/>
      <c r="S205" s="299"/>
      <c r="T205" s="299"/>
      <c r="U205" s="299"/>
      <c r="V205" s="299"/>
      <c r="W205" s="299"/>
      <c r="X205" s="299"/>
      <c r="Y205" s="299"/>
      <c r="Z205" s="299"/>
      <c r="AA205" s="299"/>
      <c r="AB205" s="299"/>
      <c r="AC205" s="300"/>
      <c r="AD205" s="302" t="n">
        <f aca="false">IF(SUM(L205:AC205)=0,0,SUM(L205:AC205)/'Conformación JD'!$X$21)</f>
        <v>0</v>
      </c>
      <c r="AE205" s="301" t="n">
        <f aca="false">SUM(L205:AC205)</f>
        <v>0</v>
      </c>
      <c r="AF205" s="301" t="n">
        <f aca="false">+AC205+AA205+Y205+W205+U205+S205+Q205+O205+M205</f>
        <v>0</v>
      </c>
      <c r="AG205" s="357" t="n">
        <f aca="false">IF(AE205=0,0,AF205/AE205)</f>
        <v>0</v>
      </c>
      <c r="AH205" s="358"/>
    </row>
    <row r="206" customFormat="false" ht="13.8" hidden="false" customHeight="false" outlineLevel="0" collapsed="false">
      <c r="A206" s="353"/>
      <c r="B206" s="353"/>
      <c r="C206" s="353"/>
      <c r="D206" s="353"/>
      <c r="E206" s="299" t="n">
        <v>5</v>
      </c>
      <c r="F206" s="354"/>
      <c r="G206" s="355"/>
      <c r="H206" s="355"/>
      <c r="I206" s="299"/>
      <c r="J206" s="300" t="n">
        <f aca="false">IF(H206&lt;&gt;"OTROS",1,0)*IF(I206=1,1,0)</f>
        <v>0</v>
      </c>
      <c r="K206" s="356"/>
      <c r="L206" s="299"/>
      <c r="M206" s="299"/>
      <c r="N206" s="299"/>
      <c r="O206" s="299"/>
      <c r="P206" s="299"/>
      <c r="Q206" s="299"/>
      <c r="R206" s="299"/>
      <c r="S206" s="299"/>
      <c r="T206" s="299"/>
      <c r="U206" s="299"/>
      <c r="V206" s="299"/>
      <c r="W206" s="299"/>
      <c r="X206" s="299"/>
      <c r="Y206" s="299"/>
      <c r="Z206" s="299"/>
      <c r="AA206" s="299"/>
      <c r="AB206" s="299"/>
      <c r="AC206" s="300"/>
      <c r="AD206" s="302" t="n">
        <f aca="false">IF(SUM(L206:AC206)=0,0,SUM(L206:AC206)/'Conformación JD'!$X$21)</f>
        <v>0</v>
      </c>
      <c r="AE206" s="301" t="n">
        <f aca="false">SUM(L206:AC206)</f>
        <v>0</v>
      </c>
      <c r="AF206" s="301" t="n">
        <f aca="false">+AC206+AA206+Y206+W206+U206+S206+Q206+O206+M206</f>
        <v>0</v>
      </c>
      <c r="AG206" s="357" t="n">
        <f aca="false">IF(AE206=0,0,AF206/AE206)</f>
        <v>0</v>
      </c>
      <c r="AH206" s="358"/>
    </row>
    <row r="207" customFormat="false" ht="13.8" hidden="false" customHeight="false" outlineLevel="0" collapsed="false">
      <c r="A207" s="353"/>
      <c r="B207" s="353"/>
      <c r="C207" s="353"/>
      <c r="D207" s="353"/>
      <c r="E207" s="299" t="n">
        <v>6</v>
      </c>
      <c r="F207" s="354"/>
      <c r="G207" s="355"/>
      <c r="H207" s="355"/>
      <c r="I207" s="299"/>
      <c r="J207" s="300" t="n">
        <f aca="false">IF(H207&lt;&gt;"OTROS",1,0)*IF(I207=1,1,0)</f>
        <v>0</v>
      </c>
      <c r="K207" s="356"/>
      <c r="L207" s="299"/>
      <c r="M207" s="299"/>
      <c r="N207" s="299"/>
      <c r="O207" s="299"/>
      <c r="P207" s="299"/>
      <c r="Q207" s="299"/>
      <c r="R207" s="299"/>
      <c r="S207" s="299"/>
      <c r="T207" s="299"/>
      <c r="U207" s="299"/>
      <c r="V207" s="299"/>
      <c r="W207" s="299"/>
      <c r="X207" s="299"/>
      <c r="Y207" s="299"/>
      <c r="Z207" s="299"/>
      <c r="AA207" s="299"/>
      <c r="AB207" s="299"/>
      <c r="AC207" s="300"/>
      <c r="AD207" s="302" t="n">
        <f aca="false">IF(SUM(L207:AC207)=0,0,SUM(L207:AC207)/'Conformación JD'!$X$21)</f>
        <v>0</v>
      </c>
      <c r="AE207" s="301" t="n">
        <f aca="false">SUM(L207:AC207)</f>
        <v>0</v>
      </c>
      <c r="AF207" s="301" t="n">
        <f aca="false">+AC207+AA207+Y207+W207+U207+S207+Q207+O207+M207</f>
        <v>0</v>
      </c>
      <c r="AG207" s="357" t="n">
        <f aca="false">IF(AE207=0,0,AF207/AE207)</f>
        <v>0</v>
      </c>
      <c r="AH207" s="358"/>
    </row>
    <row r="208" customFormat="false" ht="13.8" hidden="false" customHeight="false" outlineLevel="0" collapsed="false">
      <c r="A208" s="353"/>
      <c r="B208" s="353"/>
      <c r="C208" s="353"/>
      <c r="D208" s="353"/>
      <c r="E208" s="299" t="n">
        <v>7</v>
      </c>
      <c r="F208" s="354"/>
      <c r="G208" s="355"/>
      <c r="H208" s="355"/>
      <c r="I208" s="299"/>
      <c r="J208" s="300" t="n">
        <f aca="false">IF(H208&lt;&gt;"OTROS",1,0)*IF(I208=1,1,0)</f>
        <v>0</v>
      </c>
      <c r="K208" s="356"/>
      <c r="L208" s="299"/>
      <c r="M208" s="299"/>
      <c r="N208" s="299"/>
      <c r="O208" s="299"/>
      <c r="P208" s="299"/>
      <c r="Q208" s="299"/>
      <c r="R208" s="299"/>
      <c r="S208" s="299"/>
      <c r="T208" s="299"/>
      <c r="U208" s="299"/>
      <c r="V208" s="299"/>
      <c r="W208" s="299"/>
      <c r="X208" s="299"/>
      <c r="Y208" s="299"/>
      <c r="Z208" s="299"/>
      <c r="AA208" s="299"/>
      <c r="AB208" s="299"/>
      <c r="AC208" s="300"/>
      <c r="AD208" s="302" t="n">
        <f aca="false">IF(SUM(L208:AC208)=0,0,SUM(L208:AC208)/'Conformación JD'!$X$21)</f>
        <v>0</v>
      </c>
      <c r="AE208" s="301" t="n">
        <f aca="false">SUM(L208:AC208)</f>
        <v>0</v>
      </c>
      <c r="AF208" s="301" t="n">
        <f aca="false">+AC208+AA208+Y208+W208+U208+S208+Q208+O208+M208</f>
        <v>0</v>
      </c>
      <c r="AG208" s="357" t="n">
        <f aca="false">IF(AE208=0,0,AF208/AE208)</f>
        <v>0</v>
      </c>
      <c r="AH208" s="358"/>
    </row>
    <row r="209" customFormat="false" ht="13.8" hidden="false" customHeight="false" outlineLevel="0" collapsed="false">
      <c r="A209" s="353"/>
      <c r="B209" s="353"/>
      <c r="C209" s="353"/>
      <c r="D209" s="353"/>
      <c r="E209" s="299" t="n">
        <v>8</v>
      </c>
      <c r="F209" s="354"/>
      <c r="G209" s="355"/>
      <c r="H209" s="355"/>
      <c r="I209" s="299"/>
      <c r="J209" s="300" t="n">
        <f aca="false">IF(H209&lt;&gt;"OTROS",1,0)*IF(I209=1,1,0)</f>
        <v>0</v>
      </c>
      <c r="K209" s="356"/>
      <c r="L209" s="299"/>
      <c r="M209" s="299"/>
      <c r="N209" s="299"/>
      <c r="O209" s="299"/>
      <c r="P209" s="299"/>
      <c r="Q209" s="299"/>
      <c r="R209" s="299"/>
      <c r="S209" s="299"/>
      <c r="T209" s="299"/>
      <c r="U209" s="299"/>
      <c r="V209" s="299"/>
      <c r="W209" s="299"/>
      <c r="X209" s="299"/>
      <c r="Y209" s="299"/>
      <c r="Z209" s="299"/>
      <c r="AA209" s="299"/>
      <c r="AB209" s="299"/>
      <c r="AC209" s="300"/>
      <c r="AD209" s="302" t="n">
        <f aca="false">IF(SUM(L209:AC209)=0,0,SUM(L209:AC209)/'Conformación JD'!$X$21)</f>
        <v>0</v>
      </c>
      <c r="AE209" s="301" t="n">
        <f aca="false">SUM(L209:AC209)</f>
        <v>0</v>
      </c>
      <c r="AF209" s="301" t="n">
        <f aca="false">+AC209+AA209+Y209+W209+U209+S209+Q209+O209+M209</f>
        <v>0</v>
      </c>
      <c r="AG209" s="357" t="n">
        <f aca="false">IF(AE209=0,0,AF209/AE209)</f>
        <v>0</v>
      </c>
      <c r="AH209" s="358"/>
    </row>
    <row r="210" customFormat="false" ht="13.8" hidden="false" customHeight="false" outlineLevel="0" collapsed="false">
      <c r="A210" s="353"/>
      <c r="B210" s="353"/>
      <c r="C210" s="353"/>
      <c r="D210" s="353"/>
      <c r="E210" s="299" t="n">
        <v>9</v>
      </c>
      <c r="F210" s="354"/>
      <c r="G210" s="355"/>
      <c r="H210" s="355"/>
      <c r="I210" s="299"/>
      <c r="J210" s="300" t="n">
        <f aca="false">IF(H210&lt;&gt;"OTROS",1,0)*IF(I210=1,1,0)</f>
        <v>0</v>
      </c>
      <c r="K210" s="356"/>
      <c r="L210" s="299"/>
      <c r="M210" s="299"/>
      <c r="N210" s="299"/>
      <c r="O210" s="299"/>
      <c r="P210" s="299"/>
      <c r="Q210" s="299"/>
      <c r="R210" s="299"/>
      <c r="S210" s="299"/>
      <c r="T210" s="299"/>
      <c r="U210" s="299"/>
      <c r="V210" s="299"/>
      <c r="W210" s="299"/>
      <c r="X210" s="299"/>
      <c r="Y210" s="299"/>
      <c r="Z210" s="299"/>
      <c r="AA210" s="299"/>
      <c r="AB210" s="299"/>
      <c r="AC210" s="300"/>
      <c r="AD210" s="302" t="n">
        <f aca="false">IF(SUM(L210:AC210)=0,0,SUM(L210:AC210)/'Conformación JD'!$X$21)</f>
        <v>0</v>
      </c>
      <c r="AE210" s="301" t="n">
        <f aca="false">SUM(L210:AC210)</f>
        <v>0</v>
      </c>
      <c r="AF210" s="301" t="n">
        <f aca="false">+AC210+AA210+Y210+W210+U210+S210+Q210+O210+M210</f>
        <v>0</v>
      </c>
      <c r="AG210" s="357" t="n">
        <f aca="false">IF(AE210=0,0,AF210/AE210)</f>
        <v>0</v>
      </c>
      <c r="AH210" s="358"/>
    </row>
    <row r="211" customFormat="false" ht="13.8" hidden="false" customHeight="false" outlineLevel="0" collapsed="false">
      <c r="A211" s="353"/>
      <c r="B211" s="353"/>
      <c r="C211" s="353"/>
      <c r="D211" s="353"/>
      <c r="E211" s="360" t="n">
        <v>10</v>
      </c>
      <c r="F211" s="361"/>
      <c r="G211" s="362"/>
      <c r="H211" s="362"/>
      <c r="I211" s="360"/>
      <c r="J211" s="300" t="n">
        <f aca="false">IF(H211&lt;&gt;"OTROS",1,0)*IF(I211=1,1,0)</f>
        <v>0</v>
      </c>
      <c r="K211" s="356"/>
      <c r="L211" s="360"/>
      <c r="M211" s="360"/>
      <c r="N211" s="360"/>
      <c r="O211" s="360"/>
      <c r="P211" s="360"/>
      <c r="Q211" s="360"/>
      <c r="R211" s="360"/>
      <c r="S211" s="360"/>
      <c r="T211" s="360"/>
      <c r="U211" s="360"/>
      <c r="V211" s="360"/>
      <c r="W211" s="360"/>
      <c r="X211" s="360"/>
      <c r="Y211" s="360"/>
      <c r="Z211" s="360"/>
      <c r="AA211" s="360"/>
      <c r="AB211" s="360"/>
      <c r="AC211" s="363"/>
      <c r="AD211" s="302" t="n">
        <f aca="false">IF(SUM(L211:AC211)=0,0,SUM(L211:AC211)/'Conformación JD'!$X$21)</f>
        <v>0</v>
      </c>
      <c r="AE211" s="301" t="n">
        <f aca="false">SUM(L211:AC211)</f>
        <v>0</v>
      </c>
      <c r="AF211" s="301" t="n">
        <f aca="false">+AC211+AA211+Y211+W211+U211+S211+Q211+O211+M211</f>
        <v>0</v>
      </c>
      <c r="AG211" s="357" t="n">
        <f aca="false">IF(AE211=0,0,AF211/AE211)</f>
        <v>0</v>
      </c>
      <c r="AH211" s="358"/>
    </row>
    <row r="212" customFormat="false" ht="13.8" hidden="false" customHeight="true" outlineLevel="0" collapsed="false">
      <c r="A212" s="305"/>
      <c r="B212" s="305"/>
      <c r="C212" s="305"/>
      <c r="D212" s="305"/>
      <c r="E212" s="364" t="s">
        <v>366</v>
      </c>
      <c r="F212" s="364"/>
      <c r="G212" s="364"/>
      <c r="H212" s="364"/>
      <c r="I212" s="365" t="n">
        <f aca="false">IF((COUNTIF(G202:G211,"&lt;&gt;"))&lt;&gt;0,SUM(I202:I211)/COUNTIF(G202:G211,"&lt;&gt;"),0)</f>
        <v>0</v>
      </c>
      <c r="J212" s="366" t="n">
        <f aca="false">IF((COUNTIF(H202:H211,"&lt;&gt;"))&lt;&gt;0,SUM(J202:J211)/COUNTIF(H202:H211,"&lt;&gt;"),0)</f>
        <v>0</v>
      </c>
      <c r="K212" s="310" t="n">
        <f aca="false">IF((COUNTIF(H202:H211,"&lt;&gt;"))&lt;&gt;0,SUM(K202:K211)/COUNTIF(H202:H211,"&lt;&gt;"),0)</f>
        <v>0</v>
      </c>
      <c r="L212" s="307" t="n">
        <f aca="false">SUM(L202:L211)</f>
        <v>0</v>
      </c>
      <c r="M212" s="307" t="n">
        <f aca="false">SUM(M202:M211)</f>
        <v>0</v>
      </c>
      <c r="N212" s="307" t="n">
        <f aca="false">SUM(N202:N211)</f>
        <v>0</v>
      </c>
      <c r="O212" s="307" t="n">
        <f aca="false">SUM(O202:O211)</f>
        <v>0</v>
      </c>
      <c r="P212" s="307" t="n">
        <f aca="false">SUM(P202:P211)</f>
        <v>0</v>
      </c>
      <c r="Q212" s="307" t="n">
        <f aca="false">SUM(Q202:Q211)</f>
        <v>0</v>
      </c>
      <c r="R212" s="307" t="n">
        <f aca="false">SUM(R202:R211)</f>
        <v>0</v>
      </c>
      <c r="S212" s="307" t="n">
        <f aca="false">SUM(S202:S211)</f>
        <v>0</v>
      </c>
      <c r="T212" s="307" t="n">
        <f aca="false">SUM(T202:T211)</f>
        <v>0</v>
      </c>
      <c r="U212" s="307" t="n">
        <f aca="false">SUM(U202:U211)</f>
        <v>0</v>
      </c>
      <c r="V212" s="307" t="n">
        <f aca="false">SUM(V202:V211)</f>
        <v>0</v>
      </c>
      <c r="W212" s="307" t="n">
        <f aca="false">SUM(W202:W211)</f>
        <v>0</v>
      </c>
      <c r="X212" s="307" t="n">
        <f aca="false">SUM(X202:X211)</f>
        <v>0</v>
      </c>
      <c r="Y212" s="307" t="n">
        <f aca="false">SUM(Y202:Y211)</f>
        <v>0</v>
      </c>
      <c r="Z212" s="307" t="n">
        <f aca="false">SUM(Z202:Z211)</f>
        <v>0</v>
      </c>
      <c r="AA212" s="307" t="n">
        <f aca="false">SUM(AA202:AA211)</f>
        <v>0</v>
      </c>
      <c r="AB212" s="307" t="n">
        <f aca="false">SUM(AB202:AB211)</f>
        <v>0</v>
      </c>
      <c r="AC212" s="307" t="n">
        <f aca="false">SUM(AC202:AC211)</f>
        <v>0</v>
      </c>
      <c r="AD212" s="310" t="n">
        <f aca="false">IF(SUM(AD202:AD211)=0,0,SUM(AD202:AD211)/COUNTIF(AD202:AD211,"&lt;&gt;0"))</f>
        <v>0</v>
      </c>
      <c r="AE212" s="365" t="n">
        <f aca="false">IF(SUM(AE202:AE211)=0,0,SUM(AE202:AE211)/COUNTIF(AE202:AE211,"&lt;&gt;0"))</f>
        <v>0</v>
      </c>
      <c r="AF212" s="365" t="n">
        <f aca="false">IF(SUM(AF202:AF211)=0,0,SUM(AF202:AF211)/COUNTIF(AF202:AF211,"&lt;&gt;0"))</f>
        <v>0</v>
      </c>
      <c r="AG212" s="310" t="n">
        <f aca="false">IF(SUM(AG202:AG211)=0,0,SUM(AG202:AG211)/COUNTIF(AD202:AD211,"&lt;&gt;0"))</f>
        <v>0</v>
      </c>
      <c r="AH212" s="367"/>
    </row>
    <row r="213" customFormat="false" ht="12.75" hidden="false" customHeight="true" outlineLevel="0" collapsed="false">
      <c r="A213" s="287" t="s">
        <v>315</v>
      </c>
      <c r="B213" s="287" t="s">
        <v>316</v>
      </c>
      <c r="C213" s="287" t="s">
        <v>317</v>
      </c>
      <c r="D213" s="288" t="s">
        <v>318</v>
      </c>
      <c r="E213" s="344" t="s">
        <v>349</v>
      </c>
      <c r="F213" s="345" t="s">
        <v>350</v>
      </c>
      <c r="G213" s="346" t="s">
        <v>351</v>
      </c>
      <c r="H213" s="347" t="s">
        <v>352</v>
      </c>
      <c r="I213" s="348" t="s">
        <v>353</v>
      </c>
      <c r="J213" s="348" t="s">
        <v>354</v>
      </c>
      <c r="K213" s="347" t="s">
        <v>355</v>
      </c>
      <c r="L213" s="346" t="s">
        <v>320</v>
      </c>
      <c r="M213" s="346"/>
      <c r="N213" s="346"/>
      <c r="O213" s="346"/>
      <c r="P213" s="346"/>
      <c r="Q213" s="346"/>
      <c r="R213" s="346"/>
      <c r="S213" s="346"/>
      <c r="T213" s="346"/>
      <c r="U213" s="346"/>
      <c r="V213" s="346"/>
      <c r="W213" s="346"/>
      <c r="X213" s="346"/>
      <c r="Y213" s="346"/>
      <c r="Z213" s="346"/>
      <c r="AA213" s="346"/>
      <c r="AB213" s="346"/>
      <c r="AC213" s="346"/>
      <c r="AD213" s="349"/>
      <c r="AE213" s="349"/>
      <c r="AF213" s="349"/>
      <c r="AG213" s="349"/>
      <c r="AH213" s="184"/>
    </row>
    <row r="214" customFormat="false" ht="12.75" hidden="false" customHeight="true" outlineLevel="0" collapsed="false">
      <c r="A214" s="287"/>
      <c r="B214" s="287"/>
      <c r="C214" s="287"/>
      <c r="D214" s="288"/>
      <c r="E214" s="344"/>
      <c r="F214" s="345"/>
      <c r="G214" s="346"/>
      <c r="H214" s="347"/>
      <c r="I214" s="348"/>
      <c r="J214" s="348"/>
      <c r="K214" s="347"/>
      <c r="L214" s="293" t="s">
        <v>321</v>
      </c>
      <c r="M214" s="293"/>
      <c r="N214" s="293" t="s">
        <v>356</v>
      </c>
      <c r="O214" s="293"/>
      <c r="P214" s="293" t="s">
        <v>357</v>
      </c>
      <c r="Q214" s="293"/>
      <c r="R214" s="293" t="s">
        <v>324</v>
      </c>
      <c r="S214" s="293"/>
      <c r="T214" s="293" t="s">
        <v>325</v>
      </c>
      <c r="U214" s="293"/>
      <c r="V214" s="293" t="s">
        <v>326</v>
      </c>
      <c r="W214" s="293"/>
      <c r="X214" s="293" t="s">
        <v>327</v>
      </c>
      <c r="Y214" s="293"/>
      <c r="Z214" s="293" t="s">
        <v>328</v>
      </c>
      <c r="AA214" s="293"/>
      <c r="AB214" s="293" t="s">
        <v>329</v>
      </c>
      <c r="AC214" s="293"/>
      <c r="AD214" s="350" t="s">
        <v>358</v>
      </c>
      <c r="AE214" s="350" t="s">
        <v>359</v>
      </c>
      <c r="AF214" s="350" t="s">
        <v>360</v>
      </c>
      <c r="AG214" s="350" t="s">
        <v>361</v>
      </c>
      <c r="AH214" s="351" t="s">
        <v>362</v>
      </c>
    </row>
    <row r="215" customFormat="false" ht="42.75" hidden="false" customHeight="true" outlineLevel="0" collapsed="false">
      <c r="A215" s="287"/>
      <c r="B215" s="287"/>
      <c r="C215" s="287"/>
      <c r="D215" s="288"/>
      <c r="E215" s="344"/>
      <c r="F215" s="345"/>
      <c r="G215" s="346"/>
      <c r="H215" s="347"/>
      <c r="I215" s="348"/>
      <c r="J215" s="348"/>
      <c r="K215" s="347"/>
      <c r="L215" s="295" t="s">
        <v>68</v>
      </c>
      <c r="M215" s="295" t="s">
        <v>298</v>
      </c>
      <c r="N215" s="295" t="s">
        <v>68</v>
      </c>
      <c r="O215" s="295" t="s">
        <v>298</v>
      </c>
      <c r="P215" s="295" t="s">
        <v>68</v>
      </c>
      <c r="Q215" s="295" t="s">
        <v>298</v>
      </c>
      <c r="R215" s="295" t="s">
        <v>68</v>
      </c>
      <c r="S215" s="295" t="s">
        <v>298</v>
      </c>
      <c r="T215" s="295" t="s">
        <v>68</v>
      </c>
      <c r="U215" s="295" t="s">
        <v>298</v>
      </c>
      <c r="V215" s="295" t="s">
        <v>68</v>
      </c>
      <c r="W215" s="295" t="s">
        <v>298</v>
      </c>
      <c r="X215" s="295" t="s">
        <v>68</v>
      </c>
      <c r="Y215" s="295" t="s">
        <v>298</v>
      </c>
      <c r="Z215" s="295" t="s">
        <v>68</v>
      </c>
      <c r="AA215" s="295" t="s">
        <v>298</v>
      </c>
      <c r="AB215" s="295" t="s">
        <v>68</v>
      </c>
      <c r="AC215" s="296" t="s">
        <v>298</v>
      </c>
      <c r="AD215" s="350"/>
      <c r="AE215" s="350"/>
      <c r="AF215" s="350"/>
      <c r="AG215" s="350"/>
      <c r="AH215" s="351"/>
    </row>
    <row r="216" customFormat="false" ht="13.8" hidden="false" customHeight="false" outlineLevel="0" collapsed="false">
      <c r="A216" s="353" t="n">
        <f aca="false">'Listado CAPS'!A213</f>
        <v>0</v>
      </c>
      <c r="B216" s="353" t="n">
        <f aca="false">'Listado CAPS'!B213</f>
        <v>0</v>
      </c>
      <c r="C216" s="353" t="n">
        <f aca="false">'Listado CAPS'!C213</f>
        <v>0</v>
      </c>
      <c r="D216" s="353" t="str">
        <f aca="false">'Listado CAPS'!D18</f>
        <v>O</v>
      </c>
      <c r="E216" s="299" t="n">
        <v>1</v>
      </c>
      <c r="F216" s="354"/>
      <c r="G216" s="304"/>
      <c r="H216" s="355"/>
      <c r="I216" s="299"/>
      <c r="J216" s="300" t="n">
        <f aca="false">IF(H216&lt;&gt;"OTROS",1,0)*IF(I216=1,1,0)</f>
        <v>0</v>
      </c>
      <c r="K216" s="356"/>
      <c r="L216" s="299"/>
      <c r="M216" s="299"/>
      <c r="N216" s="299"/>
      <c r="O216" s="299"/>
      <c r="P216" s="299"/>
      <c r="Q216" s="299"/>
      <c r="R216" s="299"/>
      <c r="S216" s="299"/>
      <c r="T216" s="299"/>
      <c r="U216" s="299"/>
      <c r="V216" s="299"/>
      <c r="W216" s="299"/>
      <c r="X216" s="299"/>
      <c r="Y216" s="299"/>
      <c r="Z216" s="299"/>
      <c r="AA216" s="299"/>
      <c r="AB216" s="299"/>
      <c r="AC216" s="300"/>
      <c r="AD216" s="302" t="n">
        <f aca="false">IF(SUM(L216:AC216)=0,0,SUM(L216:AC216)/'Conformación JD'!$X$22)</f>
        <v>0</v>
      </c>
      <c r="AE216" s="301" t="n">
        <f aca="false">SUM(L216:AC216)</f>
        <v>0</v>
      </c>
      <c r="AF216" s="301" t="n">
        <f aca="false">+AC216+AA216+Y216+W216+U216+S216+Q216+O216+M216</f>
        <v>0</v>
      </c>
      <c r="AG216" s="357" t="n">
        <f aca="false">IF(AE216=0,0,AF216/AE216)</f>
        <v>0</v>
      </c>
      <c r="AH216" s="299"/>
    </row>
    <row r="217" customFormat="false" ht="13.8" hidden="false" customHeight="false" outlineLevel="0" collapsed="false">
      <c r="A217" s="353"/>
      <c r="B217" s="353"/>
      <c r="C217" s="353"/>
      <c r="D217" s="353"/>
      <c r="E217" s="299" t="n">
        <v>2</v>
      </c>
      <c r="F217" s="354"/>
      <c r="G217" s="304"/>
      <c r="H217" s="355"/>
      <c r="I217" s="299"/>
      <c r="J217" s="300" t="n">
        <f aca="false">IF(H217&lt;&gt;"OTROS",1,0)*IF(I217=1,1,0)</f>
        <v>0</v>
      </c>
      <c r="K217" s="356"/>
      <c r="L217" s="299"/>
      <c r="M217" s="299"/>
      <c r="N217" s="299"/>
      <c r="O217" s="299"/>
      <c r="P217" s="299"/>
      <c r="Q217" s="299"/>
      <c r="R217" s="299"/>
      <c r="S217" s="299"/>
      <c r="T217" s="299"/>
      <c r="U217" s="299"/>
      <c r="V217" s="299"/>
      <c r="W217" s="299"/>
      <c r="X217" s="299"/>
      <c r="Y217" s="299"/>
      <c r="Z217" s="299"/>
      <c r="AA217" s="299"/>
      <c r="AB217" s="299"/>
      <c r="AC217" s="300"/>
      <c r="AD217" s="302" t="n">
        <f aca="false">IF(SUM(L217:AC217)=0,0,SUM(L217:AC217)/'Conformación JD'!$X$22)</f>
        <v>0</v>
      </c>
      <c r="AE217" s="301" t="n">
        <f aca="false">SUM(L217:AC217)</f>
        <v>0</v>
      </c>
      <c r="AF217" s="301" t="n">
        <f aca="false">+AC217+AA217+Y217+W217+U217+S217+Q217+O217+M217</f>
        <v>0</v>
      </c>
      <c r="AG217" s="357" t="n">
        <f aca="false">IF(AE217=0,0,AF217/AE217)</f>
        <v>0</v>
      </c>
      <c r="AH217" s="358"/>
    </row>
    <row r="218" customFormat="false" ht="13.8" hidden="false" customHeight="false" outlineLevel="0" collapsed="false">
      <c r="A218" s="353"/>
      <c r="B218" s="353"/>
      <c r="C218" s="353"/>
      <c r="D218" s="353"/>
      <c r="E218" s="299" t="n">
        <v>3</v>
      </c>
      <c r="F218" s="354"/>
      <c r="G218" s="304"/>
      <c r="H218" s="355"/>
      <c r="I218" s="299"/>
      <c r="J218" s="300" t="n">
        <f aca="false">IF(H218&lt;&gt;"OTROS",1,0)*IF(I218=1,1,0)</f>
        <v>0</v>
      </c>
      <c r="K218" s="356"/>
      <c r="L218" s="299"/>
      <c r="M218" s="299"/>
      <c r="N218" s="299"/>
      <c r="O218" s="299"/>
      <c r="P218" s="299"/>
      <c r="Q218" s="299"/>
      <c r="R218" s="299"/>
      <c r="S218" s="299"/>
      <c r="T218" s="299"/>
      <c r="U218" s="299"/>
      <c r="V218" s="299"/>
      <c r="W218" s="299"/>
      <c r="X218" s="299"/>
      <c r="Y218" s="299"/>
      <c r="Z218" s="299"/>
      <c r="AA218" s="299"/>
      <c r="AB218" s="299"/>
      <c r="AC218" s="300"/>
      <c r="AD218" s="302" t="n">
        <f aca="false">IF(SUM(L218:AC218)=0,0,SUM(L218:AC218)/'Conformación JD'!$X$22)</f>
        <v>0</v>
      </c>
      <c r="AE218" s="301" t="n">
        <f aca="false">SUM(L218:AC218)</f>
        <v>0</v>
      </c>
      <c r="AF218" s="301" t="n">
        <f aca="false">+AC218+AA218+Y218+W218+U218+S218+Q218+O218+M218</f>
        <v>0</v>
      </c>
      <c r="AG218" s="357" t="n">
        <f aca="false">IF(AE218=0,0,AF218/AE218)</f>
        <v>0</v>
      </c>
      <c r="AH218" s="359"/>
    </row>
    <row r="219" customFormat="false" ht="13.8" hidden="false" customHeight="false" outlineLevel="0" collapsed="false">
      <c r="A219" s="353"/>
      <c r="B219" s="353"/>
      <c r="C219" s="353"/>
      <c r="D219" s="353"/>
      <c r="E219" s="299" t="n">
        <v>4</v>
      </c>
      <c r="F219" s="354"/>
      <c r="G219" s="355"/>
      <c r="H219" s="355"/>
      <c r="I219" s="299"/>
      <c r="J219" s="300" t="n">
        <f aca="false">IF(H219&lt;&gt;"OTROS",1,0)*IF(I219=1,1,0)</f>
        <v>0</v>
      </c>
      <c r="K219" s="356"/>
      <c r="L219" s="299"/>
      <c r="M219" s="299"/>
      <c r="N219" s="299"/>
      <c r="O219" s="299"/>
      <c r="P219" s="299"/>
      <c r="Q219" s="299"/>
      <c r="R219" s="299"/>
      <c r="S219" s="299"/>
      <c r="T219" s="299"/>
      <c r="U219" s="299"/>
      <c r="V219" s="299"/>
      <c r="W219" s="299"/>
      <c r="X219" s="299"/>
      <c r="Y219" s="299"/>
      <c r="Z219" s="299"/>
      <c r="AA219" s="299"/>
      <c r="AB219" s="299"/>
      <c r="AC219" s="300"/>
      <c r="AD219" s="302" t="n">
        <f aca="false">IF(SUM(L219:AC219)=0,0,SUM(L219:AC219)/'Conformación JD'!$X$22)</f>
        <v>0</v>
      </c>
      <c r="AE219" s="301" t="n">
        <f aca="false">SUM(L219:AC219)</f>
        <v>0</v>
      </c>
      <c r="AF219" s="301" t="n">
        <f aca="false">+AC219+AA219+Y219+W219+U219+S219+Q219+O219+M219</f>
        <v>0</v>
      </c>
      <c r="AG219" s="357" t="n">
        <f aca="false">IF(AE219=0,0,AF219/AE219)</f>
        <v>0</v>
      </c>
      <c r="AH219" s="358"/>
    </row>
    <row r="220" customFormat="false" ht="13.8" hidden="false" customHeight="false" outlineLevel="0" collapsed="false">
      <c r="A220" s="353"/>
      <c r="B220" s="353"/>
      <c r="C220" s="353"/>
      <c r="D220" s="353"/>
      <c r="E220" s="299" t="n">
        <v>5</v>
      </c>
      <c r="F220" s="354"/>
      <c r="G220" s="355"/>
      <c r="H220" s="355"/>
      <c r="I220" s="299"/>
      <c r="J220" s="300" t="n">
        <f aca="false">IF(H220&lt;&gt;"OTROS",1,0)*IF(I220=1,1,0)</f>
        <v>0</v>
      </c>
      <c r="K220" s="356"/>
      <c r="L220" s="299"/>
      <c r="M220" s="299"/>
      <c r="N220" s="299"/>
      <c r="O220" s="299"/>
      <c r="P220" s="299"/>
      <c r="Q220" s="299"/>
      <c r="R220" s="299"/>
      <c r="S220" s="299"/>
      <c r="T220" s="299"/>
      <c r="U220" s="299"/>
      <c r="V220" s="299"/>
      <c r="W220" s="299"/>
      <c r="X220" s="299"/>
      <c r="Y220" s="299"/>
      <c r="Z220" s="299"/>
      <c r="AA220" s="299"/>
      <c r="AB220" s="299"/>
      <c r="AC220" s="300"/>
      <c r="AD220" s="302" t="n">
        <f aca="false">IF(SUM(L220:AC220)=0,0,SUM(L220:AC220)/'Conformación JD'!$X$22)</f>
        <v>0</v>
      </c>
      <c r="AE220" s="301" t="n">
        <f aca="false">SUM(L220:AC220)</f>
        <v>0</v>
      </c>
      <c r="AF220" s="301" t="n">
        <f aca="false">+AC220+AA220+Y220+W220+U220+S220+Q220+O220+M220</f>
        <v>0</v>
      </c>
      <c r="AG220" s="357" t="n">
        <f aca="false">IF(AE220=0,0,AF220/AE220)</f>
        <v>0</v>
      </c>
      <c r="AH220" s="358"/>
    </row>
    <row r="221" customFormat="false" ht="13.8" hidden="false" customHeight="false" outlineLevel="0" collapsed="false">
      <c r="A221" s="353"/>
      <c r="B221" s="353"/>
      <c r="C221" s="353"/>
      <c r="D221" s="353"/>
      <c r="E221" s="299" t="n">
        <v>6</v>
      </c>
      <c r="F221" s="354"/>
      <c r="G221" s="355"/>
      <c r="H221" s="355"/>
      <c r="I221" s="299"/>
      <c r="J221" s="300" t="n">
        <f aca="false">IF(H221&lt;&gt;"OTROS",1,0)*IF(I221=1,1,0)</f>
        <v>0</v>
      </c>
      <c r="K221" s="356"/>
      <c r="L221" s="299"/>
      <c r="M221" s="299"/>
      <c r="N221" s="299"/>
      <c r="O221" s="299"/>
      <c r="P221" s="299"/>
      <c r="Q221" s="299"/>
      <c r="R221" s="299"/>
      <c r="S221" s="299"/>
      <c r="T221" s="299"/>
      <c r="U221" s="299"/>
      <c r="V221" s="299"/>
      <c r="W221" s="299"/>
      <c r="X221" s="299"/>
      <c r="Y221" s="299"/>
      <c r="Z221" s="299"/>
      <c r="AA221" s="299"/>
      <c r="AB221" s="299"/>
      <c r="AC221" s="300"/>
      <c r="AD221" s="302" t="n">
        <f aca="false">IF(SUM(L221:AC221)=0,0,SUM(L221:AC221)/'Conformación JD'!$X$22)</f>
        <v>0</v>
      </c>
      <c r="AE221" s="301" t="n">
        <f aca="false">SUM(L221:AC221)</f>
        <v>0</v>
      </c>
      <c r="AF221" s="301" t="n">
        <f aca="false">+AC221+AA221+Y221+W221+U221+S221+Q221+O221+M221</f>
        <v>0</v>
      </c>
      <c r="AG221" s="357" t="n">
        <f aca="false">IF(AE221=0,0,AF221/AE221)</f>
        <v>0</v>
      </c>
      <c r="AH221" s="358"/>
    </row>
    <row r="222" customFormat="false" ht="13.8" hidden="false" customHeight="false" outlineLevel="0" collapsed="false">
      <c r="A222" s="353"/>
      <c r="B222" s="353"/>
      <c r="C222" s="353"/>
      <c r="D222" s="353"/>
      <c r="E222" s="299" t="n">
        <v>7</v>
      </c>
      <c r="F222" s="354"/>
      <c r="G222" s="355"/>
      <c r="H222" s="355"/>
      <c r="I222" s="299"/>
      <c r="J222" s="300" t="n">
        <f aca="false">IF(H222&lt;&gt;"OTROS",1,0)*IF(I222=1,1,0)</f>
        <v>0</v>
      </c>
      <c r="K222" s="356"/>
      <c r="L222" s="299"/>
      <c r="M222" s="299"/>
      <c r="N222" s="299"/>
      <c r="O222" s="299"/>
      <c r="P222" s="299"/>
      <c r="Q222" s="299"/>
      <c r="R222" s="299"/>
      <c r="S222" s="299"/>
      <c r="T222" s="299"/>
      <c r="U222" s="299"/>
      <c r="V222" s="299"/>
      <c r="W222" s="299"/>
      <c r="X222" s="299"/>
      <c r="Y222" s="299"/>
      <c r="Z222" s="299"/>
      <c r="AA222" s="299"/>
      <c r="AB222" s="299"/>
      <c r="AC222" s="300"/>
      <c r="AD222" s="302" t="n">
        <f aca="false">IF(SUM(L222:AC222)=0,0,SUM(L222:AC222)/'Conformación JD'!$X$22)</f>
        <v>0</v>
      </c>
      <c r="AE222" s="301" t="n">
        <f aca="false">SUM(L222:AC222)</f>
        <v>0</v>
      </c>
      <c r="AF222" s="301" t="n">
        <f aca="false">+AC222+AA222+Y222+W222+U222+S222+Q222+O222+M222</f>
        <v>0</v>
      </c>
      <c r="AG222" s="357" t="n">
        <f aca="false">IF(AE222=0,0,AF222/AE222)</f>
        <v>0</v>
      </c>
      <c r="AH222" s="358"/>
    </row>
    <row r="223" customFormat="false" ht="13.8" hidden="false" customHeight="false" outlineLevel="0" collapsed="false">
      <c r="A223" s="353"/>
      <c r="B223" s="353"/>
      <c r="C223" s="353"/>
      <c r="D223" s="353"/>
      <c r="E223" s="299" t="n">
        <v>8</v>
      </c>
      <c r="F223" s="354"/>
      <c r="G223" s="355"/>
      <c r="H223" s="355"/>
      <c r="I223" s="299"/>
      <c r="J223" s="300" t="n">
        <f aca="false">IF(H223&lt;&gt;"OTROS",1,0)*IF(I223=1,1,0)</f>
        <v>0</v>
      </c>
      <c r="K223" s="356"/>
      <c r="L223" s="299"/>
      <c r="M223" s="299"/>
      <c r="N223" s="299"/>
      <c r="O223" s="299"/>
      <c r="P223" s="299"/>
      <c r="Q223" s="299"/>
      <c r="R223" s="299"/>
      <c r="S223" s="299"/>
      <c r="T223" s="299"/>
      <c r="U223" s="299"/>
      <c r="V223" s="299"/>
      <c r="W223" s="299"/>
      <c r="X223" s="299"/>
      <c r="Y223" s="299"/>
      <c r="Z223" s="299"/>
      <c r="AA223" s="299"/>
      <c r="AB223" s="299"/>
      <c r="AC223" s="300"/>
      <c r="AD223" s="302" t="n">
        <f aca="false">IF(SUM(L223:AC223)=0,0,SUM(L223:AC223)/'Conformación JD'!$X$22)</f>
        <v>0</v>
      </c>
      <c r="AE223" s="301" t="n">
        <f aca="false">SUM(L223:AC223)</f>
        <v>0</v>
      </c>
      <c r="AF223" s="301" t="n">
        <f aca="false">+AC223+AA223+Y223+W223+U223+S223+Q223+O223+M223</f>
        <v>0</v>
      </c>
      <c r="AG223" s="357" t="n">
        <f aca="false">IF(AE223=0,0,AF223/AE223)</f>
        <v>0</v>
      </c>
      <c r="AH223" s="358"/>
    </row>
    <row r="224" customFormat="false" ht="13.8" hidden="false" customHeight="false" outlineLevel="0" collapsed="false">
      <c r="A224" s="353"/>
      <c r="B224" s="353"/>
      <c r="C224" s="353"/>
      <c r="D224" s="353"/>
      <c r="E224" s="299" t="n">
        <v>9</v>
      </c>
      <c r="F224" s="354"/>
      <c r="G224" s="355"/>
      <c r="H224" s="355"/>
      <c r="I224" s="299"/>
      <c r="J224" s="300" t="n">
        <f aca="false">IF(H224&lt;&gt;"OTROS",1,0)*IF(I224=1,1,0)</f>
        <v>0</v>
      </c>
      <c r="K224" s="356"/>
      <c r="L224" s="299"/>
      <c r="M224" s="299"/>
      <c r="N224" s="299"/>
      <c r="O224" s="299"/>
      <c r="P224" s="299"/>
      <c r="Q224" s="299"/>
      <c r="R224" s="299"/>
      <c r="S224" s="299"/>
      <c r="T224" s="299"/>
      <c r="U224" s="299"/>
      <c r="V224" s="299"/>
      <c r="W224" s="299"/>
      <c r="X224" s="299"/>
      <c r="Y224" s="299"/>
      <c r="Z224" s="299"/>
      <c r="AA224" s="299"/>
      <c r="AB224" s="299"/>
      <c r="AC224" s="300"/>
      <c r="AD224" s="302" t="n">
        <f aca="false">IF(SUM(L224:AC224)=0,0,SUM(L224:AC224)/'Conformación JD'!$X$22)</f>
        <v>0</v>
      </c>
      <c r="AE224" s="301" t="n">
        <f aca="false">SUM(L224:AC224)</f>
        <v>0</v>
      </c>
      <c r="AF224" s="301" t="n">
        <f aca="false">+AC224+AA224+Y224+W224+U224+S224+Q224+O224+M224</f>
        <v>0</v>
      </c>
      <c r="AG224" s="357" t="n">
        <f aca="false">IF(AE224=0,0,AF224/AE224)</f>
        <v>0</v>
      </c>
      <c r="AH224" s="358"/>
    </row>
    <row r="225" customFormat="false" ht="13.8" hidden="false" customHeight="false" outlineLevel="0" collapsed="false">
      <c r="A225" s="353"/>
      <c r="B225" s="353"/>
      <c r="C225" s="353"/>
      <c r="D225" s="353"/>
      <c r="E225" s="360" t="n">
        <v>10</v>
      </c>
      <c r="F225" s="361"/>
      <c r="G225" s="362"/>
      <c r="H225" s="362"/>
      <c r="I225" s="360"/>
      <c r="J225" s="300" t="n">
        <f aca="false">IF(H225&lt;&gt;"OTROS",1,0)*IF(I225=1,1,0)</f>
        <v>0</v>
      </c>
      <c r="K225" s="356"/>
      <c r="L225" s="360"/>
      <c r="M225" s="360"/>
      <c r="N225" s="360"/>
      <c r="O225" s="360"/>
      <c r="P225" s="360"/>
      <c r="Q225" s="360"/>
      <c r="R225" s="360"/>
      <c r="S225" s="360"/>
      <c r="T225" s="360"/>
      <c r="U225" s="360"/>
      <c r="V225" s="360"/>
      <c r="W225" s="360"/>
      <c r="X225" s="360"/>
      <c r="Y225" s="360"/>
      <c r="Z225" s="360"/>
      <c r="AA225" s="360"/>
      <c r="AB225" s="360"/>
      <c r="AC225" s="363"/>
      <c r="AD225" s="302" t="n">
        <f aca="false">IF(SUM(L225:AC225)=0,0,SUM(L225:AC225)/'Conformación JD'!$X$22)</f>
        <v>0</v>
      </c>
      <c r="AE225" s="301" t="n">
        <f aca="false">SUM(L225:AC225)</f>
        <v>0</v>
      </c>
      <c r="AF225" s="301" t="n">
        <f aca="false">+AC225+AA225+Y225+W225+U225+S225+Q225+O225+M225</f>
        <v>0</v>
      </c>
      <c r="AG225" s="357" t="n">
        <f aca="false">IF(AE225=0,0,AF225/AE225)</f>
        <v>0</v>
      </c>
      <c r="AH225" s="358"/>
    </row>
    <row r="226" customFormat="false" ht="13.8" hidden="false" customHeight="true" outlineLevel="0" collapsed="false">
      <c r="A226" s="305"/>
      <c r="B226" s="305"/>
      <c r="C226" s="305"/>
      <c r="D226" s="305"/>
      <c r="E226" s="364" t="s">
        <v>366</v>
      </c>
      <c r="F226" s="364"/>
      <c r="G226" s="364"/>
      <c r="H226" s="364"/>
      <c r="I226" s="365" t="n">
        <f aca="false">IF((COUNTIF(G216:G225,"&lt;&gt;"))&lt;&gt;0,SUM(I216:I225)/COUNTIF(G216:G225,"&lt;&gt;"),0)</f>
        <v>0</v>
      </c>
      <c r="J226" s="366" t="n">
        <f aca="false">IF((COUNTIF(H216:H225,"&lt;&gt;"))&lt;&gt;0,SUM(J216:J225)/COUNTIF(H216:H225,"&lt;&gt;"),0)</f>
        <v>0</v>
      </c>
      <c r="K226" s="310" t="n">
        <f aca="false">IF((COUNTIF(H216:H225,"&lt;&gt;"))&lt;&gt;0,SUM(K216:K225)/COUNTIF(H216:H225,"&lt;&gt;"),0)</f>
        <v>0</v>
      </c>
      <c r="L226" s="307" t="n">
        <f aca="false">SUM(L216:L225)</f>
        <v>0</v>
      </c>
      <c r="M226" s="307" t="n">
        <f aca="false">SUM(M216:M225)</f>
        <v>0</v>
      </c>
      <c r="N226" s="307" t="n">
        <f aca="false">SUM(N216:N225)</f>
        <v>0</v>
      </c>
      <c r="O226" s="307" t="n">
        <f aca="false">SUM(O216:O225)</f>
        <v>0</v>
      </c>
      <c r="P226" s="307" t="n">
        <f aca="false">SUM(P216:P225)</f>
        <v>0</v>
      </c>
      <c r="Q226" s="307" t="n">
        <f aca="false">SUM(Q216:Q225)</f>
        <v>0</v>
      </c>
      <c r="R226" s="307" t="n">
        <f aca="false">SUM(R216:R225)</f>
        <v>0</v>
      </c>
      <c r="S226" s="307" t="n">
        <f aca="false">SUM(S216:S225)</f>
        <v>0</v>
      </c>
      <c r="T226" s="307" t="n">
        <f aca="false">SUM(T216:T225)</f>
        <v>0</v>
      </c>
      <c r="U226" s="307" t="n">
        <f aca="false">SUM(U216:U225)</f>
        <v>0</v>
      </c>
      <c r="V226" s="307" t="n">
        <f aca="false">SUM(V216:V225)</f>
        <v>0</v>
      </c>
      <c r="W226" s="307" t="n">
        <f aca="false">SUM(W216:W225)</f>
        <v>0</v>
      </c>
      <c r="X226" s="307" t="n">
        <f aca="false">SUM(X216:X225)</f>
        <v>0</v>
      </c>
      <c r="Y226" s="307" t="n">
        <f aca="false">SUM(Y216:Y225)</f>
        <v>0</v>
      </c>
      <c r="Z226" s="307" t="n">
        <f aca="false">SUM(Z216:Z225)</f>
        <v>0</v>
      </c>
      <c r="AA226" s="307" t="n">
        <f aca="false">SUM(AA216:AA225)</f>
        <v>0</v>
      </c>
      <c r="AB226" s="307" t="n">
        <f aca="false">SUM(AB216:AB225)</f>
        <v>0</v>
      </c>
      <c r="AC226" s="307" t="n">
        <f aca="false">SUM(AC216:AC225)</f>
        <v>0</v>
      </c>
      <c r="AD226" s="310" t="n">
        <f aca="false">IF(SUM(AD216:AD225)=0,0,SUM(AD216:AD225)/COUNTIF(AD216:AD225,"&lt;&gt;0"))</f>
        <v>0</v>
      </c>
      <c r="AE226" s="365" t="n">
        <f aca="false">IF(SUM(AE216:AE225)=0,0,SUM(AE216:AE225)/COUNTIF(AE216:AE225,"&lt;&gt;0"))</f>
        <v>0</v>
      </c>
      <c r="AF226" s="365" t="n">
        <f aca="false">IF(SUM(AF216:AF225)=0,0,SUM(AF216:AF225)/COUNTIF(AF216:AF225,"&lt;&gt;0"))</f>
        <v>0</v>
      </c>
      <c r="AG226" s="310" t="n">
        <f aca="false">IF(SUM(AG216:AG225)=0,0,SUM(AG216:AG225)/COUNTIF(AD216:AD225,"&lt;&gt;0"))</f>
        <v>0</v>
      </c>
      <c r="AH226" s="367"/>
    </row>
    <row r="227" customFormat="false" ht="12.75" hidden="false" customHeight="true" outlineLevel="0" collapsed="false">
      <c r="A227" s="287" t="s">
        <v>315</v>
      </c>
      <c r="B227" s="287" t="s">
        <v>316</v>
      </c>
      <c r="C227" s="287" t="s">
        <v>317</v>
      </c>
      <c r="D227" s="288" t="s">
        <v>318</v>
      </c>
      <c r="E227" s="344" t="s">
        <v>349</v>
      </c>
      <c r="F227" s="345" t="s">
        <v>350</v>
      </c>
      <c r="G227" s="346" t="s">
        <v>351</v>
      </c>
      <c r="H227" s="347" t="s">
        <v>352</v>
      </c>
      <c r="I227" s="348" t="s">
        <v>353</v>
      </c>
      <c r="J227" s="348" t="s">
        <v>354</v>
      </c>
      <c r="K227" s="347" t="s">
        <v>355</v>
      </c>
      <c r="L227" s="346" t="s">
        <v>320</v>
      </c>
      <c r="M227" s="346"/>
      <c r="N227" s="346"/>
      <c r="O227" s="346"/>
      <c r="P227" s="346"/>
      <c r="Q227" s="346"/>
      <c r="R227" s="346"/>
      <c r="S227" s="346"/>
      <c r="T227" s="346"/>
      <c r="U227" s="346"/>
      <c r="V227" s="346"/>
      <c r="W227" s="346"/>
      <c r="X227" s="346"/>
      <c r="Y227" s="346"/>
      <c r="Z227" s="346"/>
      <c r="AA227" s="346"/>
      <c r="AB227" s="346"/>
      <c r="AC227" s="346"/>
      <c r="AD227" s="349"/>
      <c r="AE227" s="349"/>
      <c r="AF227" s="349"/>
      <c r="AG227" s="349"/>
      <c r="AH227" s="184"/>
    </row>
    <row r="228" customFormat="false" ht="12.75" hidden="false" customHeight="true" outlineLevel="0" collapsed="false">
      <c r="A228" s="287"/>
      <c r="B228" s="287"/>
      <c r="C228" s="287"/>
      <c r="D228" s="288"/>
      <c r="E228" s="344"/>
      <c r="F228" s="345"/>
      <c r="G228" s="346"/>
      <c r="H228" s="347"/>
      <c r="I228" s="348"/>
      <c r="J228" s="348"/>
      <c r="K228" s="347"/>
      <c r="L228" s="293" t="s">
        <v>321</v>
      </c>
      <c r="M228" s="293"/>
      <c r="N228" s="293" t="s">
        <v>356</v>
      </c>
      <c r="O228" s="293"/>
      <c r="P228" s="293" t="s">
        <v>357</v>
      </c>
      <c r="Q228" s="293"/>
      <c r="R228" s="293" t="s">
        <v>324</v>
      </c>
      <c r="S228" s="293"/>
      <c r="T228" s="293" t="s">
        <v>325</v>
      </c>
      <c r="U228" s="293"/>
      <c r="V228" s="293" t="s">
        <v>326</v>
      </c>
      <c r="W228" s="293"/>
      <c r="X228" s="293" t="s">
        <v>327</v>
      </c>
      <c r="Y228" s="293"/>
      <c r="Z228" s="293" t="s">
        <v>328</v>
      </c>
      <c r="AA228" s="293"/>
      <c r="AB228" s="293" t="s">
        <v>329</v>
      </c>
      <c r="AC228" s="293"/>
      <c r="AD228" s="350" t="s">
        <v>358</v>
      </c>
      <c r="AE228" s="350" t="s">
        <v>359</v>
      </c>
      <c r="AF228" s="350" t="s">
        <v>360</v>
      </c>
      <c r="AG228" s="350" t="s">
        <v>361</v>
      </c>
      <c r="AH228" s="351" t="s">
        <v>362</v>
      </c>
    </row>
    <row r="229" customFormat="false" ht="48" hidden="false" customHeight="true" outlineLevel="0" collapsed="false">
      <c r="A229" s="287"/>
      <c r="B229" s="287"/>
      <c r="C229" s="287"/>
      <c r="D229" s="288"/>
      <c r="E229" s="344"/>
      <c r="F229" s="345"/>
      <c r="G229" s="346"/>
      <c r="H229" s="347"/>
      <c r="I229" s="348"/>
      <c r="J229" s="348"/>
      <c r="K229" s="347"/>
      <c r="L229" s="295" t="s">
        <v>68</v>
      </c>
      <c r="M229" s="295" t="s">
        <v>298</v>
      </c>
      <c r="N229" s="295" t="s">
        <v>68</v>
      </c>
      <c r="O229" s="295" t="s">
        <v>298</v>
      </c>
      <c r="P229" s="295" t="s">
        <v>68</v>
      </c>
      <c r="Q229" s="295" t="s">
        <v>298</v>
      </c>
      <c r="R229" s="295" t="s">
        <v>68</v>
      </c>
      <c r="S229" s="295" t="s">
        <v>298</v>
      </c>
      <c r="T229" s="295" t="s">
        <v>68</v>
      </c>
      <c r="U229" s="295" t="s">
        <v>298</v>
      </c>
      <c r="V229" s="295" t="s">
        <v>68</v>
      </c>
      <c r="W229" s="295" t="s">
        <v>298</v>
      </c>
      <c r="X229" s="295" t="s">
        <v>68</v>
      </c>
      <c r="Y229" s="295" t="s">
        <v>298</v>
      </c>
      <c r="Z229" s="295" t="s">
        <v>68</v>
      </c>
      <c r="AA229" s="295" t="s">
        <v>298</v>
      </c>
      <c r="AB229" s="295" t="s">
        <v>68</v>
      </c>
      <c r="AC229" s="296" t="s">
        <v>298</v>
      </c>
      <c r="AD229" s="350"/>
      <c r="AE229" s="350"/>
      <c r="AF229" s="350"/>
      <c r="AG229" s="350"/>
      <c r="AH229" s="351"/>
    </row>
    <row r="230" customFormat="false" ht="13.8" hidden="false" customHeight="false" outlineLevel="0" collapsed="false">
      <c r="A230" s="353" t="n">
        <f aca="false">'Listado CAPS'!A227</f>
        <v>0</v>
      </c>
      <c r="B230" s="353" t="n">
        <f aca="false">'Listado CAPS'!B227</f>
        <v>0</v>
      </c>
      <c r="C230" s="353" t="n">
        <f aca="false">'Listado CAPS'!C227</f>
        <v>0</v>
      </c>
      <c r="D230" s="353" t="str">
        <f aca="false">'Listado CAPS'!D19</f>
        <v>P</v>
      </c>
      <c r="E230" s="299" t="n">
        <v>1</v>
      </c>
      <c r="F230" s="354"/>
      <c r="G230" s="304"/>
      <c r="H230" s="355"/>
      <c r="I230" s="299"/>
      <c r="J230" s="300" t="n">
        <f aca="false">IF(H230&lt;&gt;"OTROS",1,0)*IF(I230=1,1,0)</f>
        <v>0</v>
      </c>
      <c r="K230" s="356"/>
      <c r="L230" s="299"/>
      <c r="M230" s="299"/>
      <c r="N230" s="299"/>
      <c r="O230" s="299"/>
      <c r="P230" s="299"/>
      <c r="Q230" s="299"/>
      <c r="R230" s="299"/>
      <c r="S230" s="299"/>
      <c r="T230" s="299"/>
      <c r="U230" s="299"/>
      <c r="V230" s="299"/>
      <c r="W230" s="299"/>
      <c r="X230" s="299"/>
      <c r="Y230" s="299"/>
      <c r="Z230" s="299"/>
      <c r="AA230" s="299"/>
      <c r="AB230" s="299"/>
      <c r="AC230" s="300"/>
      <c r="AD230" s="302" t="n">
        <f aca="false">IF(SUM(L230:AC230)=0,0,SUM(L230:AC230)/'Conformación JD'!$X$23)</f>
        <v>0</v>
      </c>
      <c r="AE230" s="301" t="n">
        <f aca="false">SUM(L230:AC230)</f>
        <v>0</v>
      </c>
      <c r="AF230" s="301" t="n">
        <f aca="false">+AC230+AA230+Y230+W230+U230+S230+Q230+O230+M230</f>
        <v>0</v>
      </c>
      <c r="AG230" s="357" t="n">
        <f aca="false">IF(AE230=0,0,AF230/AE230)</f>
        <v>0</v>
      </c>
      <c r="AH230" s="299"/>
    </row>
    <row r="231" customFormat="false" ht="13.8" hidden="false" customHeight="false" outlineLevel="0" collapsed="false">
      <c r="A231" s="353"/>
      <c r="B231" s="353"/>
      <c r="C231" s="353"/>
      <c r="D231" s="353"/>
      <c r="E231" s="299" t="n">
        <v>2</v>
      </c>
      <c r="F231" s="354"/>
      <c r="G231" s="304"/>
      <c r="H231" s="355"/>
      <c r="I231" s="299"/>
      <c r="J231" s="300" t="n">
        <f aca="false">IF(H231&lt;&gt;"OTROS",1,0)*IF(I231=1,1,0)</f>
        <v>0</v>
      </c>
      <c r="K231" s="356"/>
      <c r="L231" s="299"/>
      <c r="M231" s="299"/>
      <c r="N231" s="299"/>
      <c r="O231" s="299"/>
      <c r="P231" s="299"/>
      <c r="Q231" s="299"/>
      <c r="R231" s="299"/>
      <c r="S231" s="299"/>
      <c r="T231" s="299"/>
      <c r="U231" s="299"/>
      <c r="V231" s="299"/>
      <c r="W231" s="299"/>
      <c r="X231" s="299"/>
      <c r="Y231" s="299"/>
      <c r="Z231" s="299"/>
      <c r="AA231" s="299"/>
      <c r="AB231" s="299"/>
      <c r="AC231" s="300"/>
      <c r="AD231" s="302" t="n">
        <f aca="false">IF(SUM(L231:AC231)=0,0,SUM(L231:AC231)/'Conformación JD'!$X$23)</f>
        <v>0</v>
      </c>
      <c r="AE231" s="301" t="n">
        <f aca="false">SUM(L231:AC231)</f>
        <v>0</v>
      </c>
      <c r="AF231" s="301" t="n">
        <f aca="false">+AC231+AA231+Y231+W231+U231+S231+Q231+O231+M231</f>
        <v>0</v>
      </c>
      <c r="AG231" s="357" t="n">
        <f aca="false">IF(AE231=0,0,AF231/AE231)</f>
        <v>0</v>
      </c>
      <c r="AH231" s="358"/>
    </row>
    <row r="232" customFormat="false" ht="13.8" hidden="false" customHeight="false" outlineLevel="0" collapsed="false">
      <c r="A232" s="353"/>
      <c r="B232" s="353"/>
      <c r="C232" s="353"/>
      <c r="D232" s="353"/>
      <c r="E232" s="299" t="n">
        <v>3</v>
      </c>
      <c r="F232" s="354"/>
      <c r="G232" s="304"/>
      <c r="H232" s="355"/>
      <c r="I232" s="299"/>
      <c r="J232" s="300" t="n">
        <f aca="false">IF(H232&lt;&gt;"OTROS",1,0)*IF(I232=1,1,0)</f>
        <v>0</v>
      </c>
      <c r="K232" s="356"/>
      <c r="L232" s="299"/>
      <c r="M232" s="299"/>
      <c r="N232" s="299"/>
      <c r="O232" s="299"/>
      <c r="P232" s="299"/>
      <c r="Q232" s="299"/>
      <c r="R232" s="299"/>
      <c r="S232" s="299"/>
      <c r="T232" s="299"/>
      <c r="U232" s="299"/>
      <c r="V232" s="299"/>
      <c r="W232" s="299"/>
      <c r="X232" s="299"/>
      <c r="Y232" s="299"/>
      <c r="Z232" s="299"/>
      <c r="AA232" s="299"/>
      <c r="AB232" s="299"/>
      <c r="AC232" s="300"/>
      <c r="AD232" s="302" t="n">
        <f aca="false">IF(SUM(L232:AC232)=0,0,SUM(L232:AC232)/'Conformación JD'!$X$23)</f>
        <v>0</v>
      </c>
      <c r="AE232" s="301" t="n">
        <f aca="false">SUM(L232:AC232)</f>
        <v>0</v>
      </c>
      <c r="AF232" s="301" t="n">
        <f aca="false">+AC232+AA232+Y232+W232+U232+S232+Q232+O232+M232</f>
        <v>0</v>
      </c>
      <c r="AG232" s="357" t="n">
        <f aca="false">IF(AE232=0,0,AF232/AE232)</f>
        <v>0</v>
      </c>
      <c r="AH232" s="359"/>
    </row>
    <row r="233" customFormat="false" ht="13.8" hidden="false" customHeight="false" outlineLevel="0" collapsed="false">
      <c r="A233" s="353"/>
      <c r="B233" s="353"/>
      <c r="C233" s="353"/>
      <c r="D233" s="353"/>
      <c r="E233" s="299" t="n">
        <v>4</v>
      </c>
      <c r="F233" s="354"/>
      <c r="G233" s="355"/>
      <c r="H233" s="355"/>
      <c r="I233" s="299"/>
      <c r="J233" s="300" t="n">
        <f aca="false">IF(H233&lt;&gt;"OTROS",1,0)*IF(I233=1,1,0)</f>
        <v>0</v>
      </c>
      <c r="K233" s="356"/>
      <c r="L233" s="299"/>
      <c r="M233" s="299"/>
      <c r="N233" s="299"/>
      <c r="O233" s="299"/>
      <c r="P233" s="299"/>
      <c r="Q233" s="299"/>
      <c r="R233" s="299"/>
      <c r="S233" s="299"/>
      <c r="T233" s="299"/>
      <c r="U233" s="299"/>
      <c r="V233" s="299"/>
      <c r="W233" s="299"/>
      <c r="X233" s="299"/>
      <c r="Y233" s="299"/>
      <c r="Z233" s="299"/>
      <c r="AA233" s="299"/>
      <c r="AB233" s="299"/>
      <c r="AC233" s="300"/>
      <c r="AD233" s="302" t="n">
        <f aca="false">IF(SUM(L233:AC233)=0,0,SUM(L233:AC233)/'Conformación JD'!$X$23)</f>
        <v>0</v>
      </c>
      <c r="AE233" s="301" t="n">
        <f aca="false">SUM(L233:AC233)</f>
        <v>0</v>
      </c>
      <c r="AF233" s="301" t="n">
        <f aca="false">+AC233+AA233+Y233+W233+U233+S233+Q233+O233+M233</f>
        <v>0</v>
      </c>
      <c r="AG233" s="357" t="n">
        <f aca="false">IF(AE233=0,0,AF233/AE233)</f>
        <v>0</v>
      </c>
      <c r="AH233" s="358"/>
    </row>
    <row r="234" customFormat="false" ht="13.8" hidden="false" customHeight="false" outlineLevel="0" collapsed="false">
      <c r="A234" s="353"/>
      <c r="B234" s="353"/>
      <c r="C234" s="353"/>
      <c r="D234" s="353"/>
      <c r="E234" s="299" t="n">
        <v>5</v>
      </c>
      <c r="F234" s="354"/>
      <c r="G234" s="355"/>
      <c r="H234" s="355"/>
      <c r="I234" s="299"/>
      <c r="J234" s="300" t="n">
        <f aca="false">IF(H234&lt;&gt;"OTROS",1,0)*IF(I234=1,1,0)</f>
        <v>0</v>
      </c>
      <c r="K234" s="356"/>
      <c r="L234" s="299"/>
      <c r="M234" s="299"/>
      <c r="N234" s="299"/>
      <c r="O234" s="299"/>
      <c r="P234" s="299"/>
      <c r="Q234" s="299"/>
      <c r="R234" s="299"/>
      <c r="S234" s="299"/>
      <c r="T234" s="299"/>
      <c r="U234" s="299"/>
      <c r="V234" s="299"/>
      <c r="W234" s="299"/>
      <c r="X234" s="299"/>
      <c r="Y234" s="299"/>
      <c r="Z234" s="299"/>
      <c r="AA234" s="299"/>
      <c r="AB234" s="299"/>
      <c r="AC234" s="300"/>
      <c r="AD234" s="302" t="n">
        <f aca="false">IF(SUM(L234:AC234)=0,0,SUM(L234:AC234)/'Conformación JD'!$X$23)</f>
        <v>0</v>
      </c>
      <c r="AE234" s="301" t="n">
        <f aca="false">SUM(L234:AC234)</f>
        <v>0</v>
      </c>
      <c r="AF234" s="301" t="n">
        <f aca="false">+AC234+AA234+Y234+W234+U234+S234+Q234+O234+M234</f>
        <v>0</v>
      </c>
      <c r="AG234" s="357" t="n">
        <f aca="false">IF(AE234=0,0,AF234/AE234)</f>
        <v>0</v>
      </c>
      <c r="AH234" s="358"/>
    </row>
    <row r="235" customFormat="false" ht="13.8" hidden="false" customHeight="false" outlineLevel="0" collapsed="false">
      <c r="A235" s="353"/>
      <c r="B235" s="353"/>
      <c r="C235" s="353"/>
      <c r="D235" s="353"/>
      <c r="E235" s="299" t="n">
        <v>6</v>
      </c>
      <c r="F235" s="354"/>
      <c r="G235" s="355"/>
      <c r="H235" s="355"/>
      <c r="I235" s="299"/>
      <c r="J235" s="300" t="n">
        <f aca="false">IF(H235&lt;&gt;"OTROS",1,0)*IF(I235=1,1,0)</f>
        <v>0</v>
      </c>
      <c r="K235" s="356"/>
      <c r="L235" s="299"/>
      <c r="M235" s="299"/>
      <c r="N235" s="299"/>
      <c r="O235" s="299"/>
      <c r="P235" s="299"/>
      <c r="Q235" s="299"/>
      <c r="R235" s="299"/>
      <c r="S235" s="299"/>
      <c r="T235" s="299"/>
      <c r="U235" s="299"/>
      <c r="V235" s="299"/>
      <c r="W235" s="299"/>
      <c r="X235" s="299"/>
      <c r="Y235" s="299"/>
      <c r="Z235" s="299"/>
      <c r="AA235" s="299"/>
      <c r="AB235" s="299"/>
      <c r="AC235" s="300"/>
      <c r="AD235" s="302" t="n">
        <f aca="false">IF(SUM(L235:AC235)=0,0,SUM(L235:AC235)/'Conformación JD'!$X$23)</f>
        <v>0</v>
      </c>
      <c r="AE235" s="301" t="n">
        <f aca="false">SUM(L235:AC235)</f>
        <v>0</v>
      </c>
      <c r="AF235" s="301" t="n">
        <f aca="false">+AC235+AA235+Y235+W235+U235+S235+Q235+O235+M235</f>
        <v>0</v>
      </c>
      <c r="AG235" s="357" t="n">
        <f aca="false">IF(AE235=0,0,AF235/AE235)</f>
        <v>0</v>
      </c>
      <c r="AH235" s="358"/>
    </row>
    <row r="236" customFormat="false" ht="13.8" hidden="false" customHeight="false" outlineLevel="0" collapsed="false">
      <c r="A236" s="353"/>
      <c r="B236" s="353"/>
      <c r="C236" s="353"/>
      <c r="D236" s="353"/>
      <c r="E236" s="299" t="n">
        <v>7</v>
      </c>
      <c r="F236" s="354"/>
      <c r="G236" s="355"/>
      <c r="H236" s="355"/>
      <c r="I236" s="299"/>
      <c r="J236" s="300" t="n">
        <f aca="false">IF(H236&lt;&gt;"OTROS",1,0)*IF(I236=1,1,0)</f>
        <v>0</v>
      </c>
      <c r="K236" s="356"/>
      <c r="L236" s="299"/>
      <c r="M236" s="299"/>
      <c r="N236" s="299"/>
      <c r="O236" s="299"/>
      <c r="P236" s="299"/>
      <c r="Q236" s="299"/>
      <c r="R236" s="299"/>
      <c r="S236" s="299"/>
      <c r="T236" s="299"/>
      <c r="U236" s="299"/>
      <c r="V236" s="299"/>
      <c r="W236" s="299"/>
      <c r="X236" s="299"/>
      <c r="Y236" s="299"/>
      <c r="Z236" s="299"/>
      <c r="AA236" s="299"/>
      <c r="AB236" s="299"/>
      <c r="AC236" s="300"/>
      <c r="AD236" s="302" t="n">
        <f aca="false">IF(SUM(L236:AC236)=0,0,SUM(L236:AC236)/'Conformación JD'!$X$23)</f>
        <v>0</v>
      </c>
      <c r="AE236" s="301" t="n">
        <f aca="false">SUM(L236:AC236)</f>
        <v>0</v>
      </c>
      <c r="AF236" s="301" t="n">
        <f aca="false">+AC236+AA236+Y236+W236+U236+S236+Q236+O236+M236</f>
        <v>0</v>
      </c>
      <c r="AG236" s="357" t="n">
        <f aca="false">IF(AE236=0,0,AF236/AE236)</f>
        <v>0</v>
      </c>
      <c r="AH236" s="358"/>
    </row>
    <row r="237" customFormat="false" ht="13.8" hidden="false" customHeight="false" outlineLevel="0" collapsed="false">
      <c r="A237" s="353"/>
      <c r="B237" s="353"/>
      <c r="C237" s="353"/>
      <c r="D237" s="353"/>
      <c r="E237" s="299" t="n">
        <v>8</v>
      </c>
      <c r="F237" s="354"/>
      <c r="G237" s="355"/>
      <c r="H237" s="355"/>
      <c r="I237" s="299"/>
      <c r="J237" s="300" t="n">
        <f aca="false">IF(H237&lt;&gt;"OTROS",1,0)*IF(I237=1,1,0)</f>
        <v>0</v>
      </c>
      <c r="K237" s="356"/>
      <c r="L237" s="299"/>
      <c r="M237" s="299"/>
      <c r="N237" s="299"/>
      <c r="O237" s="299"/>
      <c r="P237" s="299"/>
      <c r="Q237" s="299"/>
      <c r="R237" s="299"/>
      <c r="S237" s="299"/>
      <c r="T237" s="299"/>
      <c r="U237" s="299"/>
      <c r="V237" s="299"/>
      <c r="W237" s="299"/>
      <c r="X237" s="299"/>
      <c r="Y237" s="299"/>
      <c r="Z237" s="299"/>
      <c r="AA237" s="299"/>
      <c r="AB237" s="299"/>
      <c r="AC237" s="300"/>
      <c r="AD237" s="302" t="n">
        <f aca="false">IF(SUM(L237:AC237)=0,0,SUM(L237:AC237)/'Conformación JD'!$X$23)</f>
        <v>0</v>
      </c>
      <c r="AE237" s="301" t="n">
        <f aca="false">SUM(L237:AC237)</f>
        <v>0</v>
      </c>
      <c r="AF237" s="301" t="n">
        <f aca="false">+AC237+AA237+Y237+W237+U237+S237+Q237+O237+M237</f>
        <v>0</v>
      </c>
      <c r="AG237" s="357" t="n">
        <f aca="false">IF(AE237=0,0,AF237/AE237)</f>
        <v>0</v>
      </c>
      <c r="AH237" s="358"/>
    </row>
    <row r="238" customFormat="false" ht="13.8" hidden="false" customHeight="false" outlineLevel="0" collapsed="false">
      <c r="A238" s="353"/>
      <c r="B238" s="353"/>
      <c r="C238" s="353"/>
      <c r="D238" s="353"/>
      <c r="E238" s="299" t="n">
        <v>9</v>
      </c>
      <c r="F238" s="354"/>
      <c r="G238" s="355"/>
      <c r="H238" s="355"/>
      <c r="I238" s="299"/>
      <c r="J238" s="300" t="n">
        <f aca="false">IF(H238&lt;&gt;"OTROS",1,0)*IF(I238=1,1,0)</f>
        <v>0</v>
      </c>
      <c r="K238" s="356"/>
      <c r="L238" s="299"/>
      <c r="M238" s="299"/>
      <c r="N238" s="299"/>
      <c r="O238" s="299"/>
      <c r="P238" s="299"/>
      <c r="Q238" s="299"/>
      <c r="R238" s="299"/>
      <c r="S238" s="299"/>
      <c r="T238" s="299"/>
      <c r="U238" s="299"/>
      <c r="V238" s="299"/>
      <c r="W238" s="299"/>
      <c r="X238" s="299"/>
      <c r="Y238" s="299"/>
      <c r="Z238" s="299"/>
      <c r="AA238" s="299"/>
      <c r="AB238" s="299"/>
      <c r="AC238" s="300"/>
      <c r="AD238" s="302" t="n">
        <f aca="false">IF(SUM(L238:AC238)=0,0,SUM(L238:AC238)/'Conformación JD'!$X$23)</f>
        <v>0</v>
      </c>
      <c r="AE238" s="301" t="n">
        <f aca="false">SUM(L238:AC238)</f>
        <v>0</v>
      </c>
      <c r="AF238" s="301" t="n">
        <f aca="false">+AC238+AA238+Y238+W238+U238+S238+Q238+O238+M238</f>
        <v>0</v>
      </c>
      <c r="AG238" s="357" t="n">
        <f aca="false">IF(AE238=0,0,AF238/AE238)</f>
        <v>0</v>
      </c>
      <c r="AH238" s="358"/>
    </row>
    <row r="239" customFormat="false" ht="13.8" hidden="false" customHeight="false" outlineLevel="0" collapsed="false">
      <c r="A239" s="353"/>
      <c r="B239" s="353"/>
      <c r="C239" s="353"/>
      <c r="D239" s="353"/>
      <c r="E239" s="360" t="n">
        <v>10</v>
      </c>
      <c r="F239" s="361"/>
      <c r="G239" s="362"/>
      <c r="H239" s="362"/>
      <c r="I239" s="360"/>
      <c r="J239" s="300" t="n">
        <f aca="false">IF(H239&lt;&gt;"OTROS",1,0)*IF(I239=1,1,0)</f>
        <v>0</v>
      </c>
      <c r="K239" s="356"/>
      <c r="L239" s="360"/>
      <c r="M239" s="360"/>
      <c r="N239" s="360"/>
      <c r="O239" s="360"/>
      <c r="P239" s="360"/>
      <c r="Q239" s="360"/>
      <c r="R239" s="360"/>
      <c r="S239" s="360"/>
      <c r="T239" s="360"/>
      <c r="U239" s="360"/>
      <c r="V239" s="360"/>
      <c r="W239" s="360"/>
      <c r="X239" s="360"/>
      <c r="Y239" s="360"/>
      <c r="Z239" s="360"/>
      <c r="AA239" s="360"/>
      <c r="AB239" s="360"/>
      <c r="AC239" s="363"/>
      <c r="AD239" s="302" t="n">
        <f aca="false">IF(SUM(L239:AC239)=0,0,SUM(L239:AC239)/'Conformación JD'!$X$23)</f>
        <v>0</v>
      </c>
      <c r="AE239" s="301" t="n">
        <f aca="false">SUM(L239:AC239)</f>
        <v>0</v>
      </c>
      <c r="AF239" s="301" t="n">
        <f aca="false">+AC239+AA239+Y239+W239+U239+S239+Q239+O239+M239</f>
        <v>0</v>
      </c>
      <c r="AG239" s="357" t="n">
        <f aca="false">IF(AE239=0,0,AF239/AE239)</f>
        <v>0</v>
      </c>
      <c r="AH239" s="358"/>
    </row>
    <row r="240" customFormat="false" ht="13.8" hidden="false" customHeight="true" outlineLevel="0" collapsed="false">
      <c r="A240" s="305"/>
      <c r="B240" s="305"/>
      <c r="C240" s="305"/>
      <c r="D240" s="305"/>
      <c r="E240" s="364" t="s">
        <v>366</v>
      </c>
      <c r="F240" s="364"/>
      <c r="G240" s="364"/>
      <c r="H240" s="364"/>
      <c r="I240" s="365" t="n">
        <f aca="false">IF((COUNTIF(G230:G239,"&lt;&gt;"))&lt;&gt;0,SUM(I230:I239)/COUNTIF(G230:G239,"&lt;&gt;"),0)</f>
        <v>0</v>
      </c>
      <c r="J240" s="366" t="n">
        <f aca="false">IF((COUNTIF(H230:H239,"&lt;&gt;"))&lt;&gt;0,SUM(J230:J239)/COUNTIF(H230:H239,"&lt;&gt;"),0)</f>
        <v>0</v>
      </c>
      <c r="K240" s="310" t="n">
        <f aca="false">IF((COUNTIF(H230:H239,"&lt;&gt;"))&lt;&gt;0,SUM(K230:K239)/COUNTIF(H230:H239,"&lt;&gt;"),0)</f>
        <v>0</v>
      </c>
      <c r="L240" s="307" t="n">
        <f aca="false">SUM(L230:L239)</f>
        <v>0</v>
      </c>
      <c r="M240" s="307" t="n">
        <f aca="false">SUM(M230:M239)</f>
        <v>0</v>
      </c>
      <c r="N240" s="307" t="n">
        <f aca="false">SUM(N230:N239)</f>
        <v>0</v>
      </c>
      <c r="O240" s="307" t="n">
        <f aca="false">SUM(O230:O239)</f>
        <v>0</v>
      </c>
      <c r="P240" s="307" t="n">
        <f aca="false">SUM(P230:P239)</f>
        <v>0</v>
      </c>
      <c r="Q240" s="307" t="n">
        <f aca="false">SUM(Q230:Q239)</f>
        <v>0</v>
      </c>
      <c r="R240" s="307" t="n">
        <f aca="false">SUM(R230:R239)</f>
        <v>0</v>
      </c>
      <c r="S240" s="307" t="n">
        <f aca="false">SUM(S230:S239)</f>
        <v>0</v>
      </c>
      <c r="T240" s="307" t="n">
        <f aca="false">SUM(T230:T239)</f>
        <v>0</v>
      </c>
      <c r="U240" s="307" t="n">
        <f aca="false">SUM(U230:U239)</f>
        <v>0</v>
      </c>
      <c r="V240" s="307" t="n">
        <f aca="false">SUM(V230:V239)</f>
        <v>0</v>
      </c>
      <c r="W240" s="307" t="n">
        <f aca="false">SUM(W230:W239)</f>
        <v>0</v>
      </c>
      <c r="X240" s="307" t="n">
        <f aca="false">SUM(X230:X239)</f>
        <v>0</v>
      </c>
      <c r="Y240" s="307" t="n">
        <f aca="false">SUM(Y230:Y239)</f>
        <v>0</v>
      </c>
      <c r="Z240" s="307" t="n">
        <f aca="false">SUM(Z230:Z239)</f>
        <v>0</v>
      </c>
      <c r="AA240" s="307" t="n">
        <f aca="false">SUM(AA230:AA239)</f>
        <v>0</v>
      </c>
      <c r="AB240" s="307" t="n">
        <f aca="false">SUM(AB230:AB239)</f>
        <v>0</v>
      </c>
      <c r="AC240" s="307" t="n">
        <f aca="false">SUM(AC230:AC239)</f>
        <v>0</v>
      </c>
      <c r="AD240" s="310" t="n">
        <f aca="false">IF(SUM(AD230:AD239)=0,0,SUM(AD230:AD239)/COUNTIF(AD230:AD239,"&lt;&gt;0"))</f>
        <v>0</v>
      </c>
      <c r="AE240" s="365" t="n">
        <f aca="false">IF(SUM(AE230:AE239)=0,0,SUM(AE230:AE239)/COUNTIF(AE230:AE239,"&lt;&gt;0"))</f>
        <v>0</v>
      </c>
      <c r="AF240" s="365" t="n">
        <f aca="false">IF(SUM(AF230:AF239)=0,0,SUM(AF230:AF239)/COUNTIF(AF230:AF239,"&lt;&gt;0"))</f>
        <v>0</v>
      </c>
      <c r="AG240" s="310" t="n">
        <f aca="false">IF(SUM(AG230:AG239)=0,0,SUM(AG230:AG239)/COUNTIF(AD230:AD239,"&lt;&gt;0"))</f>
        <v>0</v>
      </c>
      <c r="AH240" s="367"/>
    </row>
    <row r="241" customFormat="false" ht="12.75" hidden="false" customHeight="true" outlineLevel="0" collapsed="false">
      <c r="A241" s="287" t="s">
        <v>315</v>
      </c>
      <c r="B241" s="287" t="s">
        <v>316</v>
      </c>
      <c r="C241" s="287" t="s">
        <v>317</v>
      </c>
      <c r="D241" s="288" t="s">
        <v>318</v>
      </c>
      <c r="E241" s="344" t="s">
        <v>349</v>
      </c>
      <c r="F241" s="345" t="s">
        <v>350</v>
      </c>
      <c r="G241" s="346" t="s">
        <v>351</v>
      </c>
      <c r="H241" s="347" t="s">
        <v>352</v>
      </c>
      <c r="I241" s="348" t="s">
        <v>353</v>
      </c>
      <c r="J241" s="348" t="s">
        <v>354</v>
      </c>
      <c r="K241" s="347" t="s">
        <v>355</v>
      </c>
      <c r="L241" s="346" t="s">
        <v>320</v>
      </c>
      <c r="M241" s="346"/>
      <c r="N241" s="346"/>
      <c r="O241" s="346"/>
      <c r="P241" s="346"/>
      <c r="Q241" s="346"/>
      <c r="R241" s="346"/>
      <c r="S241" s="346"/>
      <c r="T241" s="346"/>
      <c r="U241" s="346"/>
      <c r="V241" s="346"/>
      <c r="W241" s="346"/>
      <c r="X241" s="346"/>
      <c r="Y241" s="346"/>
      <c r="Z241" s="346"/>
      <c r="AA241" s="346"/>
      <c r="AB241" s="346"/>
      <c r="AC241" s="346"/>
      <c r="AD241" s="349"/>
      <c r="AE241" s="349"/>
      <c r="AF241" s="349"/>
      <c r="AG241" s="349"/>
      <c r="AH241" s="184"/>
    </row>
    <row r="242" customFormat="false" ht="12.75" hidden="false" customHeight="true" outlineLevel="0" collapsed="false">
      <c r="A242" s="287"/>
      <c r="B242" s="287"/>
      <c r="C242" s="287"/>
      <c r="D242" s="288"/>
      <c r="E242" s="344"/>
      <c r="F242" s="345"/>
      <c r="G242" s="346"/>
      <c r="H242" s="347"/>
      <c r="I242" s="348"/>
      <c r="J242" s="348"/>
      <c r="K242" s="347"/>
      <c r="L242" s="293" t="s">
        <v>321</v>
      </c>
      <c r="M242" s="293"/>
      <c r="N242" s="293" t="s">
        <v>356</v>
      </c>
      <c r="O242" s="293"/>
      <c r="P242" s="293" t="s">
        <v>357</v>
      </c>
      <c r="Q242" s="293"/>
      <c r="R242" s="293" t="s">
        <v>324</v>
      </c>
      <c r="S242" s="293"/>
      <c r="T242" s="293" t="s">
        <v>325</v>
      </c>
      <c r="U242" s="293"/>
      <c r="V242" s="293" t="s">
        <v>326</v>
      </c>
      <c r="W242" s="293"/>
      <c r="X242" s="293" t="s">
        <v>327</v>
      </c>
      <c r="Y242" s="293"/>
      <c r="Z242" s="293" t="s">
        <v>328</v>
      </c>
      <c r="AA242" s="293"/>
      <c r="AB242" s="293" t="s">
        <v>329</v>
      </c>
      <c r="AC242" s="293"/>
      <c r="AD242" s="350" t="s">
        <v>358</v>
      </c>
      <c r="AE242" s="350" t="s">
        <v>359</v>
      </c>
      <c r="AF242" s="350" t="s">
        <v>360</v>
      </c>
      <c r="AG242" s="350" t="s">
        <v>361</v>
      </c>
      <c r="AH242" s="351" t="s">
        <v>362</v>
      </c>
    </row>
    <row r="243" customFormat="false" ht="44.25" hidden="false" customHeight="true" outlineLevel="0" collapsed="false">
      <c r="A243" s="287"/>
      <c r="B243" s="287"/>
      <c r="C243" s="287"/>
      <c r="D243" s="288"/>
      <c r="E243" s="344"/>
      <c r="F243" s="345"/>
      <c r="G243" s="346"/>
      <c r="H243" s="347"/>
      <c r="I243" s="348"/>
      <c r="J243" s="348"/>
      <c r="K243" s="347"/>
      <c r="L243" s="295" t="s">
        <v>68</v>
      </c>
      <c r="M243" s="295" t="s">
        <v>298</v>
      </c>
      <c r="N243" s="295" t="s">
        <v>68</v>
      </c>
      <c r="O243" s="295" t="s">
        <v>298</v>
      </c>
      <c r="P243" s="295" t="s">
        <v>68</v>
      </c>
      <c r="Q243" s="295" t="s">
        <v>298</v>
      </c>
      <c r="R243" s="295" t="s">
        <v>68</v>
      </c>
      <c r="S243" s="295" t="s">
        <v>298</v>
      </c>
      <c r="T243" s="295" t="s">
        <v>68</v>
      </c>
      <c r="U243" s="295" t="s">
        <v>298</v>
      </c>
      <c r="V243" s="295" t="s">
        <v>68</v>
      </c>
      <c r="W243" s="295" t="s">
        <v>298</v>
      </c>
      <c r="X243" s="295" t="s">
        <v>68</v>
      </c>
      <c r="Y243" s="295" t="s">
        <v>298</v>
      </c>
      <c r="Z243" s="295" t="s">
        <v>68</v>
      </c>
      <c r="AA243" s="295" t="s">
        <v>298</v>
      </c>
      <c r="AB243" s="295" t="s">
        <v>68</v>
      </c>
      <c r="AC243" s="296" t="s">
        <v>298</v>
      </c>
      <c r="AD243" s="350"/>
      <c r="AE243" s="350"/>
      <c r="AF243" s="350"/>
      <c r="AG243" s="350"/>
      <c r="AH243" s="351"/>
    </row>
    <row r="244" customFormat="false" ht="13.8" hidden="false" customHeight="false" outlineLevel="0" collapsed="false">
      <c r="A244" s="353" t="n">
        <f aca="false">'Listado CAPS'!A241</f>
        <v>0</v>
      </c>
      <c r="B244" s="353" t="n">
        <f aca="false">'Listado CAPS'!B241</f>
        <v>0</v>
      </c>
      <c r="C244" s="353" t="n">
        <f aca="false">'Listado CAPS'!C241</f>
        <v>0</v>
      </c>
      <c r="D244" s="353" t="str">
        <f aca="false">'Listado CAPS'!D20</f>
        <v>Q</v>
      </c>
      <c r="E244" s="299" t="n">
        <v>1</v>
      </c>
      <c r="F244" s="354"/>
      <c r="G244" s="304"/>
      <c r="H244" s="355"/>
      <c r="I244" s="299"/>
      <c r="J244" s="300" t="n">
        <f aca="false">IF(H244&lt;&gt;"OTROS",1,0)*IF(I244=1,1,0)</f>
        <v>0</v>
      </c>
      <c r="K244" s="356"/>
      <c r="L244" s="299"/>
      <c r="M244" s="299"/>
      <c r="N244" s="299"/>
      <c r="O244" s="299"/>
      <c r="P244" s="299"/>
      <c r="Q244" s="299"/>
      <c r="R244" s="299"/>
      <c r="S244" s="299"/>
      <c r="T244" s="299"/>
      <c r="U244" s="299"/>
      <c r="V244" s="299"/>
      <c r="W244" s="299"/>
      <c r="X244" s="299"/>
      <c r="Y244" s="299"/>
      <c r="Z244" s="299"/>
      <c r="AA244" s="299"/>
      <c r="AB244" s="299"/>
      <c r="AC244" s="300"/>
      <c r="AD244" s="302" t="n">
        <f aca="false">IF(SUM(L244:AC244)=0,0,SUM(L244:AC244)/'Conformación JD'!$X$24)</f>
        <v>0</v>
      </c>
      <c r="AE244" s="301" t="n">
        <f aca="false">SUM(L244:AC244)</f>
        <v>0</v>
      </c>
      <c r="AF244" s="301" t="n">
        <f aca="false">+AC244+AA244+Y244+W244+U244+S244+Q244+O244+M244</f>
        <v>0</v>
      </c>
      <c r="AG244" s="357" t="n">
        <f aca="false">IF(AE244=0,0,AF244/AE244)</f>
        <v>0</v>
      </c>
      <c r="AH244" s="299"/>
    </row>
    <row r="245" customFormat="false" ht="13.8" hidden="false" customHeight="false" outlineLevel="0" collapsed="false">
      <c r="A245" s="353"/>
      <c r="B245" s="353"/>
      <c r="C245" s="353"/>
      <c r="D245" s="353"/>
      <c r="E245" s="299" t="n">
        <v>2</v>
      </c>
      <c r="F245" s="354"/>
      <c r="G245" s="304"/>
      <c r="H245" s="355"/>
      <c r="I245" s="299"/>
      <c r="J245" s="300" t="n">
        <f aca="false">IF(H245&lt;&gt;"OTROS",1,0)*IF(I245=1,1,0)</f>
        <v>0</v>
      </c>
      <c r="K245" s="356"/>
      <c r="L245" s="299"/>
      <c r="M245" s="299"/>
      <c r="N245" s="299"/>
      <c r="O245" s="299"/>
      <c r="P245" s="299"/>
      <c r="Q245" s="299"/>
      <c r="R245" s="299"/>
      <c r="S245" s="299"/>
      <c r="T245" s="299"/>
      <c r="U245" s="299"/>
      <c r="V245" s="299"/>
      <c r="W245" s="299"/>
      <c r="X245" s="299"/>
      <c r="Y245" s="299"/>
      <c r="Z245" s="299"/>
      <c r="AA245" s="299"/>
      <c r="AB245" s="299"/>
      <c r="AC245" s="300"/>
      <c r="AD245" s="302" t="n">
        <f aca="false">IF(SUM(L245:AC245)=0,0,SUM(L245:AC245)/'Conformación JD'!$X$24)</f>
        <v>0</v>
      </c>
      <c r="AE245" s="301" t="n">
        <f aca="false">SUM(L245:AC245)</f>
        <v>0</v>
      </c>
      <c r="AF245" s="301" t="n">
        <f aca="false">+AC245+AA245+Y245+W245+U245+S245+Q245+O245+M245</f>
        <v>0</v>
      </c>
      <c r="AG245" s="357" t="n">
        <f aca="false">IF(AE245=0,0,AF245/AE245)</f>
        <v>0</v>
      </c>
      <c r="AH245" s="358"/>
    </row>
    <row r="246" customFormat="false" ht="13.8" hidden="false" customHeight="false" outlineLevel="0" collapsed="false">
      <c r="A246" s="353"/>
      <c r="B246" s="353"/>
      <c r="C246" s="353"/>
      <c r="D246" s="353"/>
      <c r="E246" s="299" t="n">
        <v>3</v>
      </c>
      <c r="F246" s="354"/>
      <c r="G246" s="304"/>
      <c r="H246" s="355"/>
      <c r="I246" s="299"/>
      <c r="J246" s="300" t="n">
        <f aca="false">IF(H246&lt;&gt;"OTROS",1,0)*IF(I246=1,1,0)</f>
        <v>0</v>
      </c>
      <c r="K246" s="356"/>
      <c r="L246" s="299"/>
      <c r="M246" s="299"/>
      <c r="N246" s="299"/>
      <c r="O246" s="299"/>
      <c r="P246" s="299"/>
      <c r="Q246" s="299"/>
      <c r="R246" s="299"/>
      <c r="S246" s="299"/>
      <c r="T246" s="299"/>
      <c r="U246" s="299"/>
      <c r="V246" s="299"/>
      <c r="W246" s="299"/>
      <c r="X246" s="299"/>
      <c r="Y246" s="299"/>
      <c r="Z246" s="299"/>
      <c r="AA246" s="299"/>
      <c r="AB246" s="299"/>
      <c r="AC246" s="300"/>
      <c r="AD246" s="302" t="n">
        <f aca="false">IF(SUM(L246:AC246)=0,0,SUM(L246:AC246)/'Conformación JD'!$X$24)</f>
        <v>0</v>
      </c>
      <c r="AE246" s="301" t="n">
        <f aca="false">SUM(L246:AC246)</f>
        <v>0</v>
      </c>
      <c r="AF246" s="301" t="n">
        <f aca="false">+AC246+AA246+Y246+W246+U246+S246+Q246+O246+M246</f>
        <v>0</v>
      </c>
      <c r="AG246" s="357" t="n">
        <f aca="false">IF(AE246=0,0,AF246/AE246)</f>
        <v>0</v>
      </c>
      <c r="AH246" s="359"/>
    </row>
    <row r="247" customFormat="false" ht="13.8" hidden="false" customHeight="false" outlineLevel="0" collapsed="false">
      <c r="A247" s="353"/>
      <c r="B247" s="353"/>
      <c r="C247" s="353"/>
      <c r="D247" s="353"/>
      <c r="E247" s="299" t="n">
        <v>4</v>
      </c>
      <c r="F247" s="354"/>
      <c r="G247" s="355"/>
      <c r="H247" s="355"/>
      <c r="I247" s="299"/>
      <c r="J247" s="300" t="n">
        <f aca="false">IF(H247&lt;&gt;"OTROS",1,0)*IF(I247=1,1,0)</f>
        <v>0</v>
      </c>
      <c r="K247" s="356"/>
      <c r="L247" s="299"/>
      <c r="M247" s="299"/>
      <c r="N247" s="299"/>
      <c r="O247" s="299"/>
      <c r="P247" s="299"/>
      <c r="Q247" s="299"/>
      <c r="R247" s="299"/>
      <c r="S247" s="299"/>
      <c r="T247" s="299"/>
      <c r="U247" s="299"/>
      <c r="V247" s="299"/>
      <c r="W247" s="299"/>
      <c r="X247" s="299"/>
      <c r="Y247" s="299"/>
      <c r="Z247" s="299"/>
      <c r="AA247" s="299"/>
      <c r="AB247" s="299"/>
      <c r="AC247" s="300"/>
      <c r="AD247" s="302" t="n">
        <f aca="false">IF(SUM(L247:AC247)=0,0,SUM(L247:AC247)/'Conformación JD'!$X$24)</f>
        <v>0</v>
      </c>
      <c r="AE247" s="301" t="n">
        <f aca="false">SUM(L247:AC247)</f>
        <v>0</v>
      </c>
      <c r="AF247" s="301" t="n">
        <f aca="false">+AC247+AA247+Y247+W247+U247+S247+Q247+O247+M247</f>
        <v>0</v>
      </c>
      <c r="AG247" s="357" t="n">
        <f aca="false">IF(AE247=0,0,AF247/AE247)</f>
        <v>0</v>
      </c>
      <c r="AH247" s="358"/>
    </row>
    <row r="248" customFormat="false" ht="13.8" hidden="false" customHeight="false" outlineLevel="0" collapsed="false">
      <c r="A248" s="353"/>
      <c r="B248" s="353"/>
      <c r="C248" s="353"/>
      <c r="D248" s="353"/>
      <c r="E248" s="299" t="n">
        <v>5</v>
      </c>
      <c r="F248" s="354"/>
      <c r="G248" s="355"/>
      <c r="H248" s="355"/>
      <c r="I248" s="299"/>
      <c r="J248" s="300" t="n">
        <f aca="false">IF(H248&lt;&gt;"OTROS",1,0)*IF(I248=1,1,0)</f>
        <v>0</v>
      </c>
      <c r="K248" s="356"/>
      <c r="L248" s="299"/>
      <c r="M248" s="299"/>
      <c r="N248" s="299"/>
      <c r="O248" s="299"/>
      <c r="P248" s="299"/>
      <c r="Q248" s="299"/>
      <c r="R248" s="299"/>
      <c r="S248" s="299"/>
      <c r="T248" s="299"/>
      <c r="U248" s="299"/>
      <c r="V248" s="299"/>
      <c r="W248" s="299"/>
      <c r="X248" s="299"/>
      <c r="Y248" s="299"/>
      <c r="Z248" s="299"/>
      <c r="AA248" s="299"/>
      <c r="AB248" s="299"/>
      <c r="AC248" s="300"/>
      <c r="AD248" s="302" t="n">
        <f aca="false">IF(SUM(L248:AC248)=0,0,SUM(L248:AC248)/'Conformación JD'!$X$24)</f>
        <v>0</v>
      </c>
      <c r="AE248" s="301" t="n">
        <f aca="false">SUM(L248:AC248)</f>
        <v>0</v>
      </c>
      <c r="AF248" s="301" t="n">
        <f aca="false">+AC248+AA248+Y248+W248+U248+S248+Q248+O248+M248</f>
        <v>0</v>
      </c>
      <c r="AG248" s="357" t="n">
        <f aca="false">IF(AE248=0,0,AF248/AE248)</f>
        <v>0</v>
      </c>
      <c r="AH248" s="358"/>
    </row>
    <row r="249" customFormat="false" ht="13.8" hidden="false" customHeight="false" outlineLevel="0" collapsed="false">
      <c r="A249" s="353"/>
      <c r="B249" s="353"/>
      <c r="C249" s="353"/>
      <c r="D249" s="353"/>
      <c r="E249" s="299" t="n">
        <v>6</v>
      </c>
      <c r="F249" s="354"/>
      <c r="G249" s="355"/>
      <c r="H249" s="355"/>
      <c r="I249" s="299"/>
      <c r="J249" s="300" t="n">
        <f aca="false">IF(H249&lt;&gt;"OTROS",1,0)*IF(I249=1,1,0)</f>
        <v>0</v>
      </c>
      <c r="K249" s="356"/>
      <c r="L249" s="299"/>
      <c r="M249" s="299"/>
      <c r="N249" s="299"/>
      <c r="O249" s="299"/>
      <c r="P249" s="299"/>
      <c r="Q249" s="299"/>
      <c r="R249" s="299"/>
      <c r="S249" s="299"/>
      <c r="T249" s="299"/>
      <c r="U249" s="299"/>
      <c r="V249" s="299"/>
      <c r="W249" s="299"/>
      <c r="X249" s="299"/>
      <c r="Y249" s="299"/>
      <c r="Z249" s="299"/>
      <c r="AA249" s="299"/>
      <c r="AB249" s="299"/>
      <c r="AC249" s="300"/>
      <c r="AD249" s="302" t="n">
        <f aca="false">IF(SUM(L249:AC249)=0,0,SUM(L249:AC249)/'Conformación JD'!$X$24)</f>
        <v>0</v>
      </c>
      <c r="AE249" s="301" t="n">
        <f aca="false">SUM(L249:AC249)</f>
        <v>0</v>
      </c>
      <c r="AF249" s="301" t="n">
        <f aca="false">+AC249+AA249+Y249+W249+U249+S249+Q249+O249+M249</f>
        <v>0</v>
      </c>
      <c r="AG249" s="357" t="n">
        <f aca="false">IF(AE249=0,0,AF249/AE249)</f>
        <v>0</v>
      </c>
      <c r="AH249" s="358"/>
    </row>
    <row r="250" customFormat="false" ht="13.8" hidden="false" customHeight="false" outlineLevel="0" collapsed="false">
      <c r="A250" s="353"/>
      <c r="B250" s="353"/>
      <c r="C250" s="353"/>
      <c r="D250" s="353"/>
      <c r="E250" s="299" t="n">
        <v>7</v>
      </c>
      <c r="F250" s="354"/>
      <c r="G250" s="355"/>
      <c r="H250" s="355"/>
      <c r="I250" s="299"/>
      <c r="J250" s="300" t="n">
        <f aca="false">IF(H250&lt;&gt;"OTROS",1,0)*IF(I250=1,1,0)</f>
        <v>0</v>
      </c>
      <c r="K250" s="356"/>
      <c r="L250" s="299"/>
      <c r="M250" s="299"/>
      <c r="N250" s="299"/>
      <c r="O250" s="299"/>
      <c r="P250" s="299"/>
      <c r="Q250" s="299"/>
      <c r="R250" s="299"/>
      <c r="S250" s="299"/>
      <c r="T250" s="299"/>
      <c r="U250" s="299"/>
      <c r="V250" s="299"/>
      <c r="W250" s="299"/>
      <c r="X250" s="299"/>
      <c r="Y250" s="299"/>
      <c r="Z250" s="299"/>
      <c r="AA250" s="299"/>
      <c r="AB250" s="299"/>
      <c r="AC250" s="300"/>
      <c r="AD250" s="302" t="n">
        <f aca="false">IF(SUM(L250:AC250)=0,0,SUM(L250:AC250)/'Conformación JD'!$X$24)</f>
        <v>0</v>
      </c>
      <c r="AE250" s="301" t="n">
        <f aca="false">SUM(L250:AC250)</f>
        <v>0</v>
      </c>
      <c r="AF250" s="301" t="n">
        <f aca="false">+AC250+AA250+Y250+W250+U250+S250+Q250+O250+M250</f>
        <v>0</v>
      </c>
      <c r="AG250" s="357" t="n">
        <f aca="false">IF(AE250=0,0,AF250/AE250)</f>
        <v>0</v>
      </c>
      <c r="AH250" s="358"/>
    </row>
    <row r="251" customFormat="false" ht="13.8" hidden="false" customHeight="false" outlineLevel="0" collapsed="false">
      <c r="A251" s="353"/>
      <c r="B251" s="353"/>
      <c r="C251" s="353"/>
      <c r="D251" s="353"/>
      <c r="E251" s="299" t="n">
        <v>8</v>
      </c>
      <c r="F251" s="354"/>
      <c r="G251" s="355"/>
      <c r="H251" s="355"/>
      <c r="I251" s="299"/>
      <c r="J251" s="300" t="n">
        <f aca="false">IF(H251&lt;&gt;"OTROS",1,0)*IF(I251=1,1,0)</f>
        <v>0</v>
      </c>
      <c r="K251" s="356"/>
      <c r="L251" s="299"/>
      <c r="M251" s="299"/>
      <c r="N251" s="299"/>
      <c r="O251" s="299"/>
      <c r="P251" s="299"/>
      <c r="Q251" s="299"/>
      <c r="R251" s="299"/>
      <c r="S251" s="299"/>
      <c r="T251" s="299"/>
      <c r="U251" s="299"/>
      <c r="V251" s="299"/>
      <c r="W251" s="299"/>
      <c r="X251" s="299"/>
      <c r="Y251" s="299"/>
      <c r="Z251" s="299"/>
      <c r="AA251" s="299"/>
      <c r="AB251" s="299"/>
      <c r="AC251" s="300"/>
      <c r="AD251" s="302" t="n">
        <f aca="false">IF(SUM(L251:AC251)=0,0,SUM(L251:AC251)/'Conformación JD'!$X$24)</f>
        <v>0</v>
      </c>
      <c r="AE251" s="301" t="n">
        <f aca="false">SUM(L251:AC251)</f>
        <v>0</v>
      </c>
      <c r="AF251" s="301" t="n">
        <f aca="false">+AC251+AA251+Y251+W251+U251+S251+Q251+O251+M251</f>
        <v>0</v>
      </c>
      <c r="AG251" s="357" t="n">
        <f aca="false">IF(AE251=0,0,AF251/AE251)</f>
        <v>0</v>
      </c>
      <c r="AH251" s="358"/>
    </row>
    <row r="252" customFormat="false" ht="13.8" hidden="false" customHeight="false" outlineLevel="0" collapsed="false">
      <c r="A252" s="353"/>
      <c r="B252" s="353"/>
      <c r="C252" s="353"/>
      <c r="D252" s="353"/>
      <c r="E252" s="299" t="n">
        <v>9</v>
      </c>
      <c r="F252" s="354"/>
      <c r="G252" s="355"/>
      <c r="H252" s="355"/>
      <c r="I252" s="299"/>
      <c r="J252" s="300" t="n">
        <f aca="false">IF(H252&lt;&gt;"OTROS",1,0)*IF(I252=1,1,0)</f>
        <v>0</v>
      </c>
      <c r="K252" s="356"/>
      <c r="L252" s="299"/>
      <c r="M252" s="299"/>
      <c r="N252" s="299"/>
      <c r="O252" s="299"/>
      <c r="P252" s="299"/>
      <c r="Q252" s="299"/>
      <c r="R252" s="299"/>
      <c r="S252" s="299"/>
      <c r="T252" s="299"/>
      <c r="U252" s="299"/>
      <c r="V252" s="299"/>
      <c r="W252" s="299"/>
      <c r="X252" s="299"/>
      <c r="Y252" s="299"/>
      <c r="Z252" s="299"/>
      <c r="AA252" s="299"/>
      <c r="AB252" s="299"/>
      <c r="AC252" s="300"/>
      <c r="AD252" s="302" t="n">
        <f aca="false">IF(SUM(L252:AC252)=0,0,SUM(L252:AC252)/'Conformación JD'!$X$24)</f>
        <v>0</v>
      </c>
      <c r="AE252" s="301" t="n">
        <f aca="false">SUM(L252:AC252)</f>
        <v>0</v>
      </c>
      <c r="AF252" s="301" t="n">
        <f aca="false">+AC252+AA252+Y252+W252+U252+S252+Q252+O252+M252</f>
        <v>0</v>
      </c>
      <c r="AG252" s="357" t="n">
        <f aca="false">IF(AE252=0,0,AF252/AE252)</f>
        <v>0</v>
      </c>
      <c r="AH252" s="358"/>
    </row>
    <row r="253" customFormat="false" ht="13.8" hidden="false" customHeight="false" outlineLevel="0" collapsed="false">
      <c r="A253" s="353"/>
      <c r="B253" s="353"/>
      <c r="C253" s="353"/>
      <c r="D253" s="353"/>
      <c r="E253" s="360" t="n">
        <v>10</v>
      </c>
      <c r="F253" s="361"/>
      <c r="G253" s="362"/>
      <c r="H253" s="362"/>
      <c r="I253" s="360"/>
      <c r="J253" s="300" t="n">
        <f aca="false">IF(H253&lt;&gt;"OTROS",1,0)*IF(I253=1,1,0)</f>
        <v>0</v>
      </c>
      <c r="K253" s="356"/>
      <c r="L253" s="360"/>
      <c r="M253" s="360"/>
      <c r="N253" s="360"/>
      <c r="O253" s="360"/>
      <c r="P253" s="360"/>
      <c r="Q253" s="360"/>
      <c r="R253" s="360"/>
      <c r="S253" s="360"/>
      <c r="T253" s="360"/>
      <c r="U253" s="360"/>
      <c r="V253" s="360"/>
      <c r="W253" s="360"/>
      <c r="X253" s="360"/>
      <c r="Y253" s="360"/>
      <c r="Z253" s="360"/>
      <c r="AA253" s="360"/>
      <c r="AB253" s="360"/>
      <c r="AC253" s="363"/>
      <c r="AD253" s="302" t="n">
        <f aca="false">IF(SUM(L253:AC253)=0,0,SUM(L253:AC253)/'Conformación JD'!$X$24)</f>
        <v>0</v>
      </c>
      <c r="AE253" s="301" t="n">
        <f aca="false">SUM(L253:AC253)</f>
        <v>0</v>
      </c>
      <c r="AF253" s="301" t="n">
        <f aca="false">+AC253+AA253+Y253+W253+U253+S253+Q253+O253+M253</f>
        <v>0</v>
      </c>
      <c r="AG253" s="357" t="n">
        <f aca="false">IF(AE253=0,0,AF253/AE253)</f>
        <v>0</v>
      </c>
      <c r="AH253" s="358"/>
    </row>
    <row r="254" customFormat="false" ht="13.8" hidden="false" customHeight="true" outlineLevel="0" collapsed="false">
      <c r="A254" s="305"/>
      <c r="B254" s="305"/>
      <c r="C254" s="305"/>
      <c r="D254" s="305"/>
      <c r="E254" s="364" t="s">
        <v>366</v>
      </c>
      <c r="F254" s="364"/>
      <c r="G254" s="364"/>
      <c r="H254" s="364"/>
      <c r="I254" s="365" t="n">
        <f aca="false">IF((COUNTIF(G244:G253,"&lt;&gt;"))&lt;&gt;0,SUM(I244:I253)/COUNTIF(G244:G253,"&lt;&gt;"),0)</f>
        <v>0</v>
      </c>
      <c r="J254" s="366" t="n">
        <f aca="false">IF((COUNTIF(H244:H253,"&lt;&gt;"))&lt;&gt;0,SUM(J244:J253)/COUNTIF(H244:H253,"&lt;&gt;"),0)</f>
        <v>0</v>
      </c>
      <c r="K254" s="310" t="n">
        <f aca="false">IF((COUNTIF(H244:H253,"&lt;&gt;"))&lt;&gt;0,SUM(K244:K253)/COUNTIF(H244:H253,"&lt;&gt;"),0)</f>
        <v>0</v>
      </c>
      <c r="L254" s="307" t="n">
        <f aca="false">SUM(L244:L253)</f>
        <v>0</v>
      </c>
      <c r="M254" s="307" t="n">
        <f aca="false">SUM(M244:M253)</f>
        <v>0</v>
      </c>
      <c r="N254" s="307" t="n">
        <f aca="false">SUM(N244:N253)</f>
        <v>0</v>
      </c>
      <c r="O254" s="307" t="n">
        <f aca="false">SUM(O244:O253)</f>
        <v>0</v>
      </c>
      <c r="P254" s="307" t="n">
        <f aca="false">SUM(P244:P253)</f>
        <v>0</v>
      </c>
      <c r="Q254" s="307" t="n">
        <f aca="false">SUM(Q244:Q253)</f>
        <v>0</v>
      </c>
      <c r="R254" s="307" t="n">
        <f aca="false">SUM(R244:R253)</f>
        <v>0</v>
      </c>
      <c r="S254" s="307" t="n">
        <f aca="false">SUM(S244:S253)</f>
        <v>0</v>
      </c>
      <c r="T254" s="307" t="n">
        <f aca="false">SUM(T244:T253)</f>
        <v>0</v>
      </c>
      <c r="U254" s="307" t="n">
        <f aca="false">SUM(U244:U253)</f>
        <v>0</v>
      </c>
      <c r="V254" s="307" t="n">
        <f aca="false">SUM(V244:V253)</f>
        <v>0</v>
      </c>
      <c r="W254" s="307" t="n">
        <f aca="false">SUM(W244:W253)</f>
        <v>0</v>
      </c>
      <c r="X254" s="307" t="n">
        <f aca="false">SUM(X244:X253)</f>
        <v>0</v>
      </c>
      <c r="Y254" s="307" t="n">
        <f aca="false">SUM(Y244:Y253)</f>
        <v>0</v>
      </c>
      <c r="Z254" s="307" t="n">
        <f aca="false">SUM(Z244:Z253)</f>
        <v>0</v>
      </c>
      <c r="AA254" s="307" t="n">
        <f aca="false">SUM(AA244:AA253)</f>
        <v>0</v>
      </c>
      <c r="AB254" s="307" t="n">
        <f aca="false">SUM(AB244:AB253)</f>
        <v>0</v>
      </c>
      <c r="AC254" s="307" t="n">
        <f aca="false">SUM(AC244:AC253)</f>
        <v>0</v>
      </c>
      <c r="AD254" s="310" t="n">
        <f aca="false">IF(SUM(AD244:AD253)=0,0,SUM(AD244:AD253)/COUNTIF(AD244:AD253,"&lt;&gt;0"))</f>
        <v>0</v>
      </c>
      <c r="AE254" s="365" t="n">
        <f aca="false">IF(SUM(AE244:AE253)=0,0,SUM(AE244:AE253)/COUNTIF(AE244:AE253,"&lt;&gt;0"))</f>
        <v>0</v>
      </c>
      <c r="AF254" s="365" t="n">
        <f aca="false">IF(SUM(AF244:AF253)=0,0,SUM(AF244:AF253)/COUNTIF(AF244:AF253,"&lt;&gt;0"))</f>
        <v>0</v>
      </c>
      <c r="AG254" s="310" t="n">
        <f aca="false">IF(SUM(AG244:AG253)=0,0,SUM(AG244:AG253)/COUNTIF(AD244:AD253,"&lt;&gt;0"))</f>
        <v>0</v>
      </c>
      <c r="AH254" s="367"/>
    </row>
    <row r="255" customFormat="false" ht="12.75" hidden="false" customHeight="true" outlineLevel="0" collapsed="false">
      <c r="A255" s="287" t="s">
        <v>315</v>
      </c>
      <c r="B255" s="287" t="s">
        <v>316</v>
      </c>
      <c r="C255" s="287" t="s">
        <v>317</v>
      </c>
      <c r="D255" s="288" t="s">
        <v>318</v>
      </c>
      <c r="E255" s="344" t="s">
        <v>349</v>
      </c>
      <c r="F255" s="345" t="s">
        <v>350</v>
      </c>
      <c r="G255" s="346" t="s">
        <v>351</v>
      </c>
      <c r="H255" s="347" t="s">
        <v>352</v>
      </c>
      <c r="I255" s="348" t="s">
        <v>353</v>
      </c>
      <c r="J255" s="348" t="s">
        <v>354</v>
      </c>
      <c r="K255" s="347" t="s">
        <v>355</v>
      </c>
      <c r="L255" s="346" t="s">
        <v>320</v>
      </c>
      <c r="M255" s="346"/>
      <c r="N255" s="346"/>
      <c r="O255" s="346"/>
      <c r="P255" s="346"/>
      <c r="Q255" s="346"/>
      <c r="R255" s="346"/>
      <c r="S255" s="346"/>
      <c r="T255" s="346"/>
      <c r="U255" s="346"/>
      <c r="V255" s="346"/>
      <c r="W255" s="346"/>
      <c r="X255" s="346"/>
      <c r="Y255" s="346"/>
      <c r="Z255" s="346"/>
      <c r="AA255" s="346"/>
      <c r="AB255" s="346"/>
      <c r="AC255" s="346"/>
      <c r="AD255" s="349"/>
      <c r="AE255" s="349"/>
      <c r="AF255" s="349"/>
      <c r="AG255" s="349"/>
      <c r="AH255" s="184"/>
    </row>
    <row r="256" customFormat="false" ht="12.75" hidden="false" customHeight="true" outlineLevel="0" collapsed="false">
      <c r="A256" s="287"/>
      <c r="B256" s="287"/>
      <c r="C256" s="287"/>
      <c r="D256" s="288"/>
      <c r="E256" s="344"/>
      <c r="F256" s="345"/>
      <c r="G256" s="346"/>
      <c r="H256" s="347"/>
      <c r="I256" s="348"/>
      <c r="J256" s="348"/>
      <c r="K256" s="347"/>
      <c r="L256" s="293" t="s">
        <v>321</v>
      </c>
      <c r="M256" s="293"/>
      <c r="N256" s="293" t="s">
        <v>356</v>
      </c>
      <c r="O256" s="293"/>
      <c r="P256" s="293" t="s">
        <v>357</v>
      </c>
      <c r="Q256" s="293"/>
      <c r="R256" s="293" t="s">
        <v>324</v>
      </c>
      <c r="S256" s="293"/>
      <c r="T256" s="293" t="s">
        <v>325</v>
      </c>
      <c r="U256" s="293"/>
      <c r="V256" s="293" t="s">
        <v>326</v>
      </c>
      <c r="W256" s="293"/>
      <c r="X256" s="293" t="s">
        <v>327</v>
      </c>
      <c r="Y256" s="293"/>
      <c r="Z256" s="293" t="s">
        <v>328</v>
      </c>
      <c r="AA256" s="293"/>
      <c r="AB256" s="293" t="s">
        <v>329</v>
      </c>
      <c r="AC256" s="293"/>
      <c r="AD256" s="350" t="s">
        <v>358</v>
      </c>
      <c r="AE256" s="350" t="s">
        <v>359</v>
      </c>
      <c r="AF256" s="350" t="s">
        <v>360</v>
      </c>
      <c r="AG256" s="350" t="s">
        <v>361</v>
      </c>
      <c r="AH256" s="351" t="s">
        <v>362</v>
      </c>
    </row>
    <row r="257" customFormat="false" ht="47.25" hidden="false" customHeight="true" outlineLevel="0" collapsed="false">
      <c r="A257" s="287"/>
      <c r="B257" s="287"/>
      <c r="C257" s="287"/>
      <c r="D257" s="288"/>
      <c r="E257" s="344"/>
      <c r="F257" s="345"/>
      <c r="G257" s="346"/>
      <c r="H257" s="347"/>
      <c r="I257" s="348"/>
      <c r="J257" s="348"/>
      <c r="K257" s="347"/>
      <c r="L257" s="295" t="s">
        <v>68</v>
      </c>
      <c r="M257" s="295" t="s">
        <v>298</v>
      </c>
      <c r="N257" s="295" t="s">
        <v>68</v>
      </c>
      <c r="O257" s="295" t="s">
        <v>298</v>
      </c>
      <c r="P257" s="295" t="s">
        <v>68</v>
      </c>
      <c r="Q257" s="295" t="s">
        <v>298</v>
      </c>
      <c r="R257" s="295" t="s">
        <v>68</v>
      </c>
      <c r="S257" s="295" t="s">
        <v>298</v>
      </c>
      <c r="T257" s="295" t="s">
        <v>68</v>
      </c>
      <c r="U257" s="295" t="s">
        <v>298</v>
      </c>
      <c r="V257" s="295" t="s">
        <v>68</v>
      </c>
      <c r="W257" s="295" t="s">
        <v>298</v>
      </c>
      <c r="X257" s="295" t="s">
        <v>68</v>
      </c>
      <c r="Y257" s="295" t="s">
        <v>298</v>
      </c>
      <c r="Z257" s="295" t="s">
        <v>68</v>
      </c>
      <c r="AA257" s="295" t="s">
        <v>298</v>
      </c>
      <c r="AB257" s="295" t="s">
        <v>68</v>
      </c>
      <c r="AC257" s="296" t="s">
        <v>298</v>
      </c>
      <c r="AD257" s="350"/>
      <c r="AE257" s="350"/>
      <c r="AF257" s="350"/>
      <c r="AG257" s="350"/>
      <c r="AH257" s="351"/>
    </row>
    <row r="258" customFormat="false" ht="13.8" hidden="false" customHeight="false" outlineLevel="0" collapsed="false">
      <c r="A258" s="353" t="n">
        <f aca="false">'Listado CAPS'!A255</f>
        <v>0</v>
      </c>
      <c r="B258" s="353" t="n">
        <f aca="false">'Listado CAPS'!B255</f>
        <v>0</v>
      </c>
      <c r="C258" s="353" t="n">
        <f aca="false">'Listado CAPS'!C255</f>
        <v>0</v>
      </c>
      <c r="D258" s="353" t="str">
        <f aca="false">'Listado CAPS'!D21</f>
        <v>R</v>
      </c>
      <c r="E258" s="299" t="n">
        <v>1</v>
      </c>
      <c r="F258" s="354"/>
      <c r="G258" s="304"/>
      <c r="H258" s="355"/>
      <c r="I258" s="299"/>
      <c r="J258" s="300" t="n">
        <f aca="false">IF(H258&lt;&gt;"OTROS",1,0)*IF(I258=1,1,0)</f>
        <v>0</v>
      </c>
      <c r="K258" s="356"/>
      <c r="L258" s="299"/>
      <c r="M258" s="299"/>
      <c r="N258" s="299"/>
      <c r="O258" s="299"/>
      <c r="P258" s="299"/>
      <c r="Q258" s="299"/>
      <c r="R258" s="299"/>
      <c r="S258" s="299"/>
      <c r="T258" s="299"/>
      <c r="U258" s="299"/>
      <c r="V258" s="299"/>
      <c r="W258" s="299"/>
      <c r="X258" s="299"/>
      <c r="Y258" s="299"/>
      <c r="Z258" s="299"/>
      <c r="AA258" s="299"/>
      <c r="AB258" s="299"/>
      <c r="AC258" s="300"/>
      <c r="AD258" s="302" t="n">
        <f aca="false">IF(SUM(L258:AC258)=0,0,SUM(L258:AC258)/'Conformación JD'!$X$25)</f>
        <v>0</v>
      </c>
      <c r="AE258" s="301" t="n">
        <f aca="false">SUM(L258:AC258)</f>
        <v>0</v>
      </c>
      <c r="AF258" s="301" t="n">
        <f aca="false">+AC258+AA258+Y258+W258+U258+S258+Q258+O258+M258</f>
        <v>0</v>
      </c>
      <c r="AG258" s="357" t="n">
        <f aca="false">IF(AE258=0,0,AF258/AE258)</f>
        <v>0</v>
      </c>
      <c r="AH258" s="299"/>
    </row>
    <row r="259" customFormat="false" ht="13.8" hidden="false" customHeight="false" outlineLevel="0" collapsed="false">
      <c r="A259" s="353"/>
      <c r="B259" s="353"/>
      <c r="C259" s="353"/>
      <c r="D259" s="353"/>
      <c r="E259" s="299" t="n">
        <v>2</v>
      </c>
      <c r="F259" s="354"/>
      <c r="G259" s="304"/>
      <c r="H259" s="355"/>
      <c r="I259" s="299"/>
      <c r="J259" s="300" t="n">
        <f aca="false">IF(H259&lt;&gt;"OTROS",1,0)*IF(I259=1,1,0)</f>
        <v>0</v>
      </c>
      <c r="K259" s="356"/>
      <c r="L259" s="299"/>
      <c r="M259" s="299"/>
      <c r="N259" s="299"/>
      <c r="O259" s="299"/>
      <c r="P259" s="299"/>
      <c r="Q259" s="299"/>
      <c r="R259" s="299"/>
      <c r="S259" s="299"/>
      <c r="T259" s="299"/>
      <c r="U259" s="299"/>
      <c r="V259" s="299"/>
      <c r="W259" s="299"/>
      <c r="X259" s="299"/>
      <c r="Y259" s="299"/>
      <c r="Z259" s="299"/>
      <c r="AA259" s="299"/>
      <c r="AB259" s="299"/>
      <c r="AC259" s="300"/>
      <c r="AD259" s="302" t="n">
        <f aca="false">IF(SUM(L259:AC259)=0,0,SUM(L259:AC259)/'Conformación JD'!$X$25)</f>
        <v>0</v>
      </c>
      <c r="AE259" s="301" t="n">
        <f aca="false">SUM(L259:AC259)</f>
        <v>0</v>
      </c>
      <c r="AF259" s="301" t="n">
        <f aca="false">+AC259+AA259+Y259+W259+U259+S259+Q259+O259+M259</f>
        <v>0</v>
      </c>
      <c r="AG259" s="357" t="n">
        <f aca="false">IF(AE259=0,0,AF259/AE259)</f>
        <v>0</v>
      </c>
      <c r="AH259" s="358"/>
    </row>
    <row r="260" customFormat="false" ht="13.8" hidden="false" customHeight="false" outlineLevel="0" collapsed="false">
      <c r="A260" s="353"/>
      <c r="B260" s="353"/>
      <c r="C260" s="353"/>
      <c r="D260" s="353"/>
      <c r="E260" s="299" t="n">
        <v>3</v>
      </c>
      <c r="F260" s="354"/>
      <c r="G260" s="304"/>
      <c r="H260" s="355"/>
      <c r="I260" s="299"/>
      <c r="J260" s="300" t="n">
        <f aca="false">IF(H260&lt;&gt;"OTROS",1,0)*IF(I260=1,1,0)</f>
        <v>0</v>
      </c>
      <c r="K260" s="356"/>
      <c r="L260" s="299"/>
      <c r="M260" s="299"/>
      <c r="N260" s="299"/>
      <c r="O260" s="299"/>
      <c r="P260" s="299"/>
      <c r="Q260" s="299"/>
      <c r="R260" s="299"/>
      <c r="S260" s="299"/>
      <c r="T260" s="299"/>
      <c r="U260" s="299"/>
      <c r="V260" s="299"/>
      <c r="W260" s="299"/>
      <c r="X260" s="299"/>
      <c r="Y260" s="299"/>
      <c r="Z260" s="299"/>
      <c r="AA260" s="299"/>
      <c r="AB260" s="299"/>
      <c r="AC260" s="300"/>
      <c r="AD260" s="302" t="n">
        <f aca="false">IF(SUM(L260:AC260)=0,0,SUM(L260:AC260)/'Conformación JD'!$X$25)</f>
        <v>0</v>
      </c>
      <c r="AE260" s="301" t="n">
        <f aca="false">SUM(L260:AC260)</f>
        <v>0</v>
      </c>
      <c r="AF260" s="301" t="n">
        <f aca="false">+AC260+AA260+Y260+W260+U260+S260+Q260+O260+M260</f>
        <v>0</v>
      </c>
      <c r="AG260" s="357" t="n">
        <f aca="false">IF(AE260=0,0,AF260/AE260)</f>
        <v>0</v>
      </c>
      <c r="AH260" s="359"/>
    </row>
    <row r="261" customFormat="false" ht="13.8" hidden="false" customHeight="false" outlineLevel="0" collapsed="false">
      <c r="A261" s="353"/>
      <c r="B261" s="353"/>
      <c r="C261" s="353"/>
      <c r="D261" s="353"/>
      <c r="E261" s="299" t="n">
        <v>4</v>
      </c>
      <c r="F261" s="354"/>
      <c r="G261" s="355"/>
      <c r="H261" s="355"/>
      <c r="I261" s="299"/>
      <c r="J261" s="300" t="n">
        <f aca="false">IF(H261&lt;&gt;"OTROS",1,0)*IF(I261=1,1,0)</f>
        <v>0</v>
      </c>
      <c r="K261" s="356"/>
      <c r="L261" s="299"/>
      <c r="M261" s="299"/>
      <c r="N261" s="299"/>
      <c r="O261" s="299"/>
      <c r="P261" s="299"/>
      <c r="Q261" s="299"/>
      <c r="R261" s="299"/>
      <c r="S261" s="299"/>
      <c r="T261" s="299"/>
      <c r="U261" s="299"/>
      <c r="V261" s="299"/>
      <c r="W261" s="299"/>
      <c r="X261" s="299"/>
      <c r="Y261" s="299"/>
      <c r="Z261" s="299"/>
      <c r="AA261" s="299"/>
      <c r="AB261" s="299"/>
      <c r="AC261" s="300"/>
      <c r="AD261" s="302" t="n">
        <f aca="false">IF(SUM(L261:AC261)=0,0,SUM(L261:AC261)/'Conformación JD'!$X$25)</f>
        <v>0</v>
      </c>
      <c r="AE261" s="301" t="n">
        <f aca="false">SUM(L261:AC261)</f>
        <v>0</v>
      </c>
      <c r="AF261" s="301" t="n">
        <f aca="false">+AC261+AA261+Y261+W261+U261+S261+Q261+O261+M261</f>
        <v>0</v>
      </c>
      <c r="AG261" s="357" t="n">
        <f aca="false">IF(AE261=0,0,AF261/AE261)</f>
        <v>0</v>
      </c>
      <c r="AH261" s="358"/>
    </row>
    <row r="262" customFormat="false" ht="13.8" hidden="false" customHeight="false" outlineLevel="0" collapsed="false">
      <c r="A262" s="353"/>
      <c r="B262" s="353"/>
      <c r="C262" s="353"/>
      <c r="D262" s="353"/>
      <c r="E262" s="299" t="n">
        <v>5</v>
      </c>
      <c r="F262" s="354"/>
      <c r="G262" s="355"/>
      <c r="H262" s="355"/>
      <c r="I262" s="299"/>
      <c r="J262" s="300" t="n">
        <f aca="false">IF(H262&lt;&gt;"OTROS",1,0)*IF(I262=1,1,0)</f>
        <v>0</v>
      </c>
      <c r="K262" s="356"/>
      <c r="L262" s="299"/>
      <c r="M262" s="299"/>
      <c r="N262" s="299"/>
      <c r="O262" s="299"/>
      <c r="P262" s="299"/>
      <c r="Q262" s="299"/>
      <c r="R262" s="299"/>
      <c r="S262" s="299"/>
      <c r="T262" s="299"/>
      <c r="U262" s="299"/>
      <c r="V262" s="299"/>
      <c r="W262" s="299"/>
      <c r="X262" s="299"/>
      <c r="Y262" s="299"/>
      <c r="Z262" s="299"/>
      <c r="AA262" s="299"/>
      <c r="AB262" s="299"/>
      <c r="AC262" s="300"/>
      <c r="AD262" s="302" t="n">
        <f aca="false">IF(SUM(L262:AC262)=0,0,SUM(L262:AC262)/'Conformación JD'!$X$25)</f>
        <v>0</v>
      </c>
      <c r="AE262" s="301" t="n">
        <f aca="false">SUM(L262:AC262)</f>
        <v>0</v>
      </c>
      <c r="AF262" s="301" t="n">
        <f aca="false">+AC262+AA262+Y262+W262+U262+S262+Q262+O262+M262</f>
        <v>0</v>
      </c>
      <c r="AG262" s="357" t="n">
        <f aca="false">IF(AE262=0,0,AF262/AE262)</f>
        <v>0</v>
      </c>
      <c r="AH262" s="358"/>
    </row>
    <row r="263" customFormat="false" ht="13.8" hidden="false" customHeight="false" outlineLevel="0" collapsed="false">
      <c r="A263" s="353"/>
      <c r="B263" s="353"/>
      <c r="C263" s="353"/>
      <c r="D263" s="353"/>
      <c r="E263" s="299" t="n">
        <v>6</v>
      </c>
      <c r="F263" s="354"/>
      <c r="G263" s="355"/>
      <c r="H263" s="355"/>
      <c r="I263" s="299"/>
      <c r="J263" s="300" t="n">
        <f aca="false">IF(H263&lt;&gt;"OTROS",1,0)*IF(I263=1,1,0)</f>
        <v>0</v>
      </c>
      <c r="K263" s="356"/>
      <c r="L263" s="299"/>
      <c r="M263" s="299"/>
      <c r="N263" s="299"/>
      <c r="O263" s="299"/>
      <c r="P263" s="299"/>
      <c r="Q263" s="299"/>
      <c r="R263" s="299"/>
      <c r="S263" s="299"/>
      <c r="T263" s="299"/>
      <c r="U263" s="299"/>
      <c r="V263" s="299"/>
      <c r="W263" s="299"/>
      <c r="X263" s="299"/>
      <c r="Y263" s="299"/>
      <c r="Z263" s="299"/>
      <c r="AA263" s="299"/>
      <c r="AB263" s="299"/>
      <c r="AC263" s="300"/>
      <c r="AD263" s="302" t="n">
        <f aca="false">IF(SUM(L263:AC263)=0,0,SUM(L263:AC263)/'Conformación JD'!$X$25)</f>
        <v>0</v>
      </c>
      <c r="AE263" s="301" t="n">
        <f aca="false">SUM(L263:AC263)</f>
        <v>0</v>
      </c>
      <c r="AF263" s="301" t="n">
        <f aca="false">+AC263+AA263+Y263+W263+U263+S263+Q263+O263+M263</f>
        <v>0</v>
      </c>
      <c r="AG263" s="357" t="n">
        <f aca="false">IF(AE263=0,0,AF263/AE263)</f>
        <v>0</v>
      </c>
      <c r="AH263" s="358"/>
    </row>
    <row r="264" customFormat="false" ht="13.8" hidden="false" customHeight="false" outlineLevel="0" collapsed="false">
      <c r="A264" s="353"/>
      <c r="B264" s="353"/>
      <c r="C264" s="353"/>
      <c r="D264" s="353"/>
      <c r="E264" s="299" t="n">
        <v>7</v>
      </c>
      <c r="F264" s="354"/>
      <c r="G264" s="355"/>
      <c r="H264" s="355"/>
      <c r="I264" s="299"/>
      <c r="J264" s="300" t="n">
        <f aca="false">IF(H264&lt;&gt;"OTROS",1,0)*IF(I264=1,1,0)</f>
        <v>0</v>
      </c>
      <c r="K264" s="356"/>
      <c r="L264" s="299"/>
      <c r="M264" s="299"/>
      <c r="N264" s="299"/>
      <c r="O264" s="299"/>
      <c r="P264" s="299"/>
      <c r="Q264" s="299"/>
      <c r="R264" s="299"/>
      <c r="S264" s="299"/>
      <c r="T264" s="299"/>
      <c r="U264" s="299"/>
      <c r="V264" s="299"/>
      <c r="W264" s="299"/>
      <c r="X264" s="299"/>
      <c r="Y264" s="299"/>
      <c r="Z264" s="299"/>
      <c r="AA264" s="299"/>
      <c r="AB264" s="299"/>
      <c r="AC264" s="300"/>
      <c r="AD264" s="302" t="n">
        <f aca="false">IF(SUM(L264:AC264)=0,0,SUM(L264:AC264)/'Conformación JD'!$X$25)</f>
        <v>0</v>
      </c>
      <c r="AE264" s="301" t="n">
        <f aca="false">SUM(L264:AC264)</f>
        <v>0</v>
      </c>
      <c r="AF264" s="301" t="n">
        <f aca="false">+AC264+AA264+Y264+W264+U264+S264+Q264+O264+M264</f>
        <v>0</v>
      </c>
      <c r="AG264" s="357" t="n">
        <f aca="false">IF(AE264=0,0,AF264/AE264)</f>
        <v>0</v>
      </c>
      <c r="AH264" s="358"/>
    </row>
    <row r="265" customFormat="false" ht="13.8" hidden="false" customHeight="false" outlineLevel="0" collapsed="false">
      <c r="A265" s="353"/>
      <c r="B265" s="353"/>
      <c r="C265" s="353"/>
      <c r="D265" s="353"/>
      <c r="E265" s="299" t="n">
        <v>8</v>
      </c>
      <c r="F265" s="354"/>
      <c r="G265" s="355"/>
      <c r="H265" s="355"/>
      <c r="I265" s="299"/>
      <c r="J265" s="300" t="n">
        <f aca="false">IF(H265&lt;&gt;"OTROS",1,0)*IF(I265=1,1,0)</f>
        <v>0</v>
      </c>
      <c r="K265" s="356"/>
      <c r="L265" s="299"/>
      <c r="M265" s="299"/>
      <c r="N265" s="299"/>
      <c r="O265" s="299"/>
      <c r="P265" s="299"/>
      <c r="Q265" s="299"/>
      <c r="R265" s="299"/>
      <c r="S265" s="299"/>
      <c r="T265" s="299"/>
      <c r="U265" s="299"/>
      <c r="V265" s="299"/>
      <c r="W265" s="299"/>
      <c r="X265" s="299"/>
      <c r="Y265" s="299"/>
      <c r="Z265" s="299"/>
      <c r="AA265" s="299"/>
      <c r="AB265" s="299"/>
      <c r="AC265" s="300"/>
      <c r="AD265" s="302" t="n">
        <f aca="false">IF(SUM(L265:AC265)=0,0,SUM(L265:AC265)/'Conformación JD'!$X$25)</f>
        <v>0</v>
      </c>
      <c r="AE265" s="301" t="n">
        <f aca="false">SUM(L265:AC265)</f>
        <v>0</v>
      </c>
      <c r="AF265" s="301" t="n">
        <f aca="false">+AC265+AA265+Y265+W265+U265+S265+Q265+O265+M265</f>
        <v>0</v>
      </c>
      <c r="AG265" s="357" t="n">
        <f aca="false">IF(AE265=0,0,AF265/AE265)</f>
        <v>0</v>
      </c>
      <c r="AH265" s="358"/>
    </row>
    <row r="266" customFormat="false" ht="13.8" hidden="false" customHeight="false" outlineLevel="0" collapsed="false">
      <c r="A266" s="353"/>
      <c r="B266" s="353"/>
      <c r="C266" s="353"/>
      <c r="D266" s="353"/>
      <c r="E266" s="299" t="n">
        <v>9</v>
      </c>
      <c r="F266" s="354"/>
      <c r="G266" s="355"/>
      <c r="H266" s="355"/>
      <c r="I266" s="299"/>
      <c r="J266" s="300" t="n">
        <f aca="false">IF(H266&lt;&gt;"OTROS",1,0)*IF(I266=1,1,0)</f>
        <v>0</v>
      </c>
      <c r="K266" s="356"/>
      <c r="L266" s="299"/>
      <c r="M266" s="299"/>
      <c r="N266" s="299"/>
      <c r="O266" s="299"/>
      <c r="P266" s="299"/>
      <c r="Q266" s="299"/>
      <c r="R266" s="299"/>
      <c r="S266" s="299"/>
      <c r="T266" s="299"/>
      <c r="U266" s="299"/>
      <c r="V266" s="299"/>
      <c r="W266" s="299"/>
      <c r="X266" s="299"/>
      <c r="Y266" s="299"/>
      <c r="Z266" s="299"/>
      <c r="AA266" s="299"/>
      <c r="AB266" s="299"/>
      <c r="AC266" s="300"/>
      <c r="AD266" s="302" t="n">
        <f aca="false">IF(SUM(L266:AC266)=0,0,SUM(L266:AC266)/'Conformación JD'!$X$25)</f>
        <v>0</v>
      </c>
      <c r="AE266" s="301" t="n">
        <f aca="false">SUM(L266:AC266)</f>
        <v>0</v>
      </c>
      <c r="AF266" s="301" t="n">
        <f aca="false">+AC266+AA266+Y266+W266+U266+S266+Q266+O266+M266</f>
        <v>0</v>
      </c>
      <c r="AG266" s="357" t="n">
        <f aca="false">IF(AE266=0,0,AF266/AE266)</f>
        <v>0</v>
      </c>
      <c r="AH266" s="358"/>
    </row>
    <row r="267" customFormat="false" ht="13.8" hidden="false" customHeight="false" outlineLevel="0" collapsed="false">
      <c r="A267" s="353"/>
      <c r="B267" s="353"/>
      <c r="C267" s="353"/>
      <c r="D267" s="353"/>
      <c r="E267" s="360" t="n">
        <v>10</v>
      </c>
      <c r="F267" s="361"/>
      <c r="G267" s="362"/>
      <c r="H267" s="362"/>
      <c r="I267" s="360"/>
      <c r="J267" s="300" t="n">
        <f aca="false">IF(H267&lt;&gt;"OTROS",1,0)*IF(I267=1,1,0)</f>
        <v>0</v>
      </c>
      <c r="K267" s="356"/>
      <c r="L267" s="360"/>
      <c r="M267" s="360"/>
      <c r="N267" s="360"/>
      <c r="O267" s="360"/>
      <c r="P267" s="360"/>
      <c r="Q267" s="360"/>
      <c r="R267" s="360"/>
      <c r="S267" s="360"/>
      <c r="T267" s="360"/>
      <c r="U267" s="360"/>
      <c r="V267" s="360"/>
      <c r="W267" s="360"/>
      <c r="X267" s="360"/>
      <c r="Y267" s="360"/>
      <c r="Z267" s="360"/>
      <c r="AA267" s="360"/>
      <c r="AB267" s="360"/>
      <c r="AC267" s="363"/>
      <c r="AD267" s="302" t="n">
        <f aca="false">IF(SUM(L267:AC267)=0,0,SUM(L267:AC267)/'Conformación JD'!$X$25)</f>
        <v>0</v>
      </c>
      <c r="AE267" s="301" t="n">
        <f aca="false">SUM(L267:AC267)</f>
        <v>0</v>
      </c>
      <c r="AF267" s="301" t="n">
        <f aca="false">+AC267+AA267+Y267+W267+U267+S267+Q267+O267+M267</f>
        <v>0</v>
      </c>
      <c r="AG267" s="357" t="n">
        <f aca="false">IF(AE267=0,0,AF267/AE267)</f>
        <v>0</v>
      </c>
      <c r="AH267" s="358"/>
    </row>
    <row r="268" customFormat="false" ht="13.8" hidden="false" customHeight="true" outlineLevel="0" collapsed="false">
      <c r="A268" s="305"/>
      <c r="B268" s="305"/>
      <c r="C268" s="305"/>
      <c r="D268" s="305"/>
      <c r="E268" s="364" t="s">
        <v>366</v>
      </c>
      <c r="F268" s="364"/>
      <c r="G268" s="364"/>
      <c r="H268" s="364"/>
      <c r="I268" s="365" t="n">
        <f aca="false">IF((COUNTIF(G258:G267,"&lt;&gt;"))&lt;&gt;0,SUM(I258:I267)/COUNTIF(G258:G267,"&lt;&gt;"),0)</f>
        <v>0</v>
      </c>
      <c r="J268" s="366" t="n">
        <f aca="false">IF((COUNTIF(H258:H267,"&lt;&gt;"))&lt;&gt;0,SUM(J258:J267)/COUNTIF(H258:H267,"&lt;&gt;"),0)</f>
        <v>0</v>
      </c>
      <c r="K268" s="310" t="n">
        <f aca="false">IF((COUNTIF(H258:H267,"&lt;&gt;"))&lt;&gt;0,SUM(K258:K267)/COUNTIF(H258:H267,"&lt;&gt;"),0)</f>
        <v>0</v>
      </c>
      <c r="L268" s="307" t="n">
        <f aca="false">SUM(L258:L267)</f>
        <v>0</v>
      </c>
      <c r="M268" s="307" t="n">
        <f aca="false">SUM(M258:M267)</f>
        <v>0</v>
      </c>
      <c r="N268" s="307" t="n">
        <f aca="false">SUM(N258:N267)</f>
        <v>0</v>
      </c>
      <c r="O268" s="307" t="n">
        <f aca="false">SUM(O258:O267)</f>
        <v>0</v>
      </c>
      <c r="P268" s="307" t="n">
        <f aca="false">SUM(P258:P267)</f>
        <v>0</v>
      </c>
      <c r="Q268" s="307" t="n">
        <f aca="false">SUM(Q258:Q267)</f>
        <v>0</v>
      </c>
      <c r="R268" s="307" t="n">
        <f aca="false">SUM(R258:R267)</f>
        <v>0</v>
      </c>
      <c r="S268" s="307" t="n">
        <f aca="false">SUM(S258:S267)</f>
        <v>0</v>
      </c>
      <c r="T268" s="307" t="n">
        <f aca="false">SUM(T258:T267)</f>
        <v>0</v>
      </c>
      <c r="U268" s="307" t="n">
        <f aca="false">SUM(U258:U267)</f>
        <v>0</v>
      </c>
      <c r="V268" s="307" t="n">
        <f aca="false">SUM(V258:V267)</f>
        <v>0</v>
      </c>
      <c r="W268" s="307" t="n">
        <f aca="false">SUM(W258:W267)</f>
        <v>0</v>
      </c>
      <c r="X268" s="307" t="n">
        <f aca="false">SUM(X258:X267)</f>
        <v>0</v>
      </c>
      <c r="Y268" s="307" t="n">
        <f aca="false">SUM(Y258:Y267)</f>
        <v>0</v>
      </c>
      <c r="Z268" s="307" t="n">
        <f aca="false">SUM(Z258:Z267)</f>
        <v>0</v>
      </c>
      <c r="AA268" s="307" t="n">
        <f aca="false">SUM(AA258:AA267)</f>
        <v>0</v>
      </c>
      <c r="AB268" s="307" t="n">
        <f aca="false">SUM(AB258:AB267)</f>
        <v>0</v>
      </c>
      <c r="AC268" s="307" t="n">
        <f aca="false">SUM(AC258:AC267)</f>
        <v>0</v>
      </c>
      <c r="AD268" s="310" t="n">
        <f aca="false">IF(SUM(AD258:AD267)=0,0,SUM(AD258:AD267)/COUNTIF(AD258:AD267,"&lt;&gt;0"))</f>
        <v>0</v>
      </c>
      <c r="AE268" s="365" t="n">
        <f aca="false">IF(SUM(AE258:AE267)=0,0,SUM(AE258:AE267)/COUNTIF(AE258:AE267,"&lt;&gt;0"))</f>
        <v>0</v>
      </c>
      <c r="AF268" s="365" t="n">
        <f aca="false">IF(SUM(AF258:AF267)=0,0,SUM(AF258:AF267)/COUNTIF(AF258:AF267,"&lt;&gt;0"))</f>
        <v>0</v>
      </c>
      <c r="AG268" s="310" t="n">
        <f aca="false">IF(SUM(AG258:AG267)=0,0,SUM(AG258:AG267)/COUNTIF(AD258:AD267,"&lt;&gt;0"))</f>
        <v>0</v>
      </c>
      <c r="AH268" s="367"/>
    </row>
    <row r="269" customFormat="false" ht="12.75" hidden="false" customHeight="true" outlineLevel="0" collapsed="false">
      <c r="A269" s="287" t="s">
        <v>315</v>
      </c>
      <c r="B269" s="287" t="s">
        <v>316</v>
      </c>
      <c r="C269" s="287" t="s">
        <v>317</v>
      </c>
      <c r="D269" s="288" t="s">
        <v>318</v>
      </c>
      <c r="E269" s="344" t="s">
        <v>349</v>
      </c>
      <c r="F269" s="345" t="s">
        <v>350</v>
      </c>
      <c r="G269" s="346" t="s">
        <v>351</v>
      </c>
      <c r="H269" s="347" t="s">
        <v>352</v>
      </c>
      <c r="I269" s="348" t="s">
        <v>353</v>
      </c>
      <c r="J269" s="348" t="s">
        <v>354</v>
      </c>
      <c r="K269" s="347" t="s">
        <v>355</v>
      </c>
      <c r="L269" s="346" t="s">
        <v>320</v>
      </c>
      <c r="M269" s="346"/>
      <c r="N269" s="346"/>
      <c r="O269" s="346"/>
      <c r="P269" s="346"/>
      <c r="Q269" s="346"/>
      <c r="R269" s="346"/>
      <c r="S269" s="346"/>
      <c r="T269" s="346"/>
      <c r="U269" s="346"/>
      <c r="V269" s="346"/>
      <c r="W269" s="346"/>
      <c r="X269" s="346"/>
      <c r="Y269" s="346"/>
      <c r="Z269" s="346"/>
      <c r="AA269" s="346"/>
      <c r="AB269" s="346"/>
      <c r="AC269" s="346"/>
      <c r="AD269" s="349"/>
      <c r="AE269" s="349"/>
      <c r="AF269" s="349"/>
      <c r="AG269" s="349"/>
      <c r="AH269" s="184"/>
    </row>
    <row r="270" customFormat="false" ht="12.75" hidden="false" customHeight="true" outlineLevel="0" collapsed="false">
      <c r="A270" s="287"/>
      <c r="B270" s="287"/>
      <c r="C270" s="287"/>
      <c r="D270" s="288"/>
      <c r="E270" s="344"/>
      <c r="F270" s="345"/>
      <c r="G270" s="346"/>
      <c r="H270" s="347"/>
      <c r="I270" s="348"/>
      <c r="J270" s="348"/>
      <c r="K270" s="347"/>
      <c r="L270" s="293" t="s">
        <v>321</v>
      </c>
      <c r="M270" s="293"/>
      <c r="N270" s="293" t="s">
        <v>356</v>
      </c>
      <c r="O270" s="293"/>
      <c r="P270" s="293" t="s">
        <v>357</v>
      </c>
      <c r="Q270" s="293"/>
      <c r="R270" s="293" t="s">
        <v>324</v>
      </c>
      <c r="S270" s="293"/>
      <c r="T270" s="293" t="s">
        <v>325</v>
      </c>
      <c r="U270" s="293"/>
      <c r="V270" s="293" t="s">
        <v>326</v>
      </c>
      <c r="W270" s="293"/>
      <c r="X270" s="293" t="s">
        <v>327</v>
      </c>
      <c r="Y270" s="293"/>
      <c r="Z270" s="293" t="s">
        <v>328</v>
      </c>
      <c r="AA270" s="293"/>
      <c r="AB270" s="293" t="s">
        <v>329</v>
      </c>
      <c r="AC270" s="293"/>
      <c r="AD270" s="350" t="s">
        <v>358</v>
      </c>
      <c r="AE270" s="350" t="s">
        <v>359</v>
      </c>
      <c r="AF270" s="350" t="s">
        <v>360</v>
      </c>
      <c r="AG270" s="350" t="s">
        <v>361</v>
      </c>
      <c r="AH270" s="351" t="s">
        <v>362</v>
      </c>
    </row>
    <row r="271" customFormat="false" ht="41.25" hidden="false" customHeight="true" outlineLevel="0" collapsed="false">
      <c r="A271" s="287"/>
      <c r="B271" s="287"/>
      <c r="C271" s="287"/>
      <c r="D271" s="288"/>
      <c r="E271" s="344"/>
      <c r="F271" s="345"/>
      <c r="G271" s="346"/>
      <c r="H271" s="347"/>
      <c r="I271" s="348"/>
      <c r="J271" s="348"/>
      <c r="K271" s="347"/>
      <c r="L271" s="295" t="s">
        <v>68</v>
      </c>
      <c r="M271" s="295" t="s">
        <v>298</v>
      </c>
      <c r="N271" s="295" t="s">
        <v>68</v>
      </c>
      <c r="O271" s="295" t="s">
        <v>298</v>
      </c>
      <c r="P271" s="295" t="s">
        <v>68</v>
      </c>
      <c r="Q271" s="295" t="s">
        <v>298</v>
      </c>
      <c r="R271" s="295" t="s">
        <v>68</v>
      </c>
      <c r="S271" s="295" t="s">
        <v>298</v>
      </c>
      <c r="T271" s="295" t="s">
        <v>68</v>
      </c>
      <c r="U271" s="295" t="s">
        <v>298</v>
      </c>
      <c r="V271" s="295" t="s">
        <v>68</v>
      </c>
      <c r="W271" s="295" t="s">
        <v>298</v>
      </c>
      <c r="X271" s="295" t="s">
        <v>68</v>
      </c>
      <c r="Y271" s="295" t="s">
        <v>298</v>
      </c>
      <c r="Z271" s="295" t="s">
        <v>68</v>
      </c>
      <c r="AA271" s="295" t="s">
        <v>298</v>
      </c>
      <c r="AB271" s="295" t="s">
        <v>68</v>
      </c>
      <c r="AC271" s="296" t="s">
        <v>298</v>
      </c>
      <c r="AD271" s="350"/>
      <c r="AE271" s="350"/>
      <c r="AF271" s="350"/>
      <c r="AG271" s="350"/>
      <c r="AH271" s="351"/>
    </row>
    <row r="272" customFormat="false" ht="13.8" hidden="false" customHeight="false" outlineLevel="0" collapsed="false">
      <c r="A272" s="353" t="n">
        <f aca="false">'Listado CAPS'!A269</f>
        <v>0</v>
      </c>
      <c r="B272" s="353" t="n">
        <f aca="false">'Listado CAPS'!B269</f>
        <v>0</v>
      </c>
      <c r="C272" s="353" t="n">
        <f aca="false">'Listado CAPS'!C269</f>
        <v>0</v>
      </c>
      <c r="D272" s="353" t="str">
        <f aca="false">'Listado CAPS'!D22</f>
        <v>S</v>
      </c>
      <c r="E272" s="299" t="n">
        <v>1</v>
      </c>
      <c r="F272" s="354"/>
      <c r="G272" s="304"/>
      <c r="H272" s="355"/>
      <c r="I272" s="299"/>
      <c r="J272" s="300" t="n">
        <f aca="false">IF(H272&lt;&gt;"OTROS",1,0)*IF(I272=1,1,0)</f>
        <v>0</v>
      </c>
      <c r="K272" s="356"/>
      <c r="L272" s="299"/>
      <c r="M272" s="299"/>
      <c r="N272" s="299"/>
      <c r="O272" s="299"/>
      <c r="P272" s="299"/>
      <c r="Q272" s="299"/>
      <c r="R272" s="299"/>
      <c r="S272" s="299"/>
      <c r="T272" s="299"/>
      <c r="U272" s="299"/>
      <c r="V272" s="299"/>
      <c r="W272" s="299"/>
      <c r="X272" s="299"/>
      <c r="Y272" s="299"/>
      <c r="Z272" s="299"/>
      <c r="AA272" s="299"/>
      <c r="AB272" s="299"/>
      <c r="AC272" s="300"/>
      <c r="AD272" s="302" t="n">
        <f aca="false">IF(SUM(L272:AC272)=0,0,SUM(L272:AC272)/'Conformación JD'!$X$26)</f>
        <v>0</v>
      </c>
      <c r="AE272" s="301" t="n">
        <f aca="false">SUM(L272:AC272)</f>
        <v>0</v>
      </c>
      <c r="AF272" s="301" t="n">
        <f aca="false">+AC272+AA272+Y272+W272+U272+S272+Q272+O272+M272</f>
        <v>0</v>
      </c>
      <c r="AG272" s="357" t="n">
        <f aca="false">IF(AE272=0,0,AF272/AE272)</f>
        <v>0</v>
      </c>
      <c r="AH272" s="299"/>
    </row>
    <row r="273" customFormat="false" ht="13.8" hidden="false" customHeight="false" outlineLevel="0" collapsed="false">
      <c r="A273" s="353"/>
      <c r="B273" s="353"/>
      <c r="C273" s="353"/>
      <c r="D273" s="353"/>
      <c r="E273" s="299" t="n">
        <v>2</v>
      </c>
      <c r="F273" s="354"/>
      <c r="G273" s="304"/>
      <c r="H273" s="355"/>
      <c r="I273" s="299"/>
      <c r="J273" s="300" t="n">
        <f aca="false">IF(H273&lt;&gt;"OTROS",1,0)*IF(I273=1,1,0)</f>
        <v>0</v>
      </c>
      <c r="K273" s="356"/>
      <c r="L273" s="299"/>
      <c r="M273" s="299"/>
      <c r="N273" s="299"/>
      <c r="O273" s="299"/>
      <c r="P273" s="299"/>
      <c r="Q273" s="299"/>
      <c r="R273" s="299"/>
      <c r="S273" s="299"/>
      <c r="T273" s="299"/>
      <c r="U273" s="299"/>
      <c r="V273" s="299"/>
      <c r="W273" s="299"/>
      <c r="X273" s="299"/>
      <c r="Y273" s="299"/>
      <c r="Z273" s="299"/>
      <c r="AA273" s="299"/>
      <c r="AB273" s="299"/>
      <c r="AC273" s="300"/>
      <c r="AD273" s="302" t="n">
        <f aca="false">IF(SUM(L273:AC273)=0,0,SUM(L273:AC273)/'Conformación JD'!$X$26)</f>
        <v>0</v>
      </c>
      <c r="AE273" s="301" t="n">
        <f aca="false">SUM(L273:AC273)</f>
        <v>0</v>
      </c>
      <c r="AF273" s="301" t="n">
        <f aca="false">+AC273+AA273+Y273+W273+U273+S273+Q273+O273+M273</f>
        <v>0</v>
      </c>
      <c r="AG273" s="357" t="n">
        <f aca="false">IF(AE273=0,0,AF273/AE273)</f>
        <v>0</v>
      </c>
      <c r="AH273" s="358"/>
    </row>
    <row r="274" customFormat="false" ht="13.8" hidden="false" customHeight="false" outlineLevel="0" collapsed="false">
      <c r="A274" s="353"/>
      <c r="B274" s="353"/>
      <c r="C274" s="353"/>
      <c r="D274" s="353"/>
      <c r="E274" s="299" t="n">
        <v>3</v>
      </c>
      <c r="F274" s="354"/>
      <c r="G274" s="304"/>
      <c r="H274" s="355"/>
      <c r="I274" s="299"/>
      <c r="J274" s="300" t="n">
        <f aca="false">IF(H274&lt;&gt;"OTROS",1,0)*IF(I274=1,1,0)</f>
        <v>0</v>
      </c>
      <c r="K274" s="356"/>
      <c r="L274" s="299"/>
      <c r="M274" s="299"/>
      <c r="N274" s="299"/>
      <c r="O274" s="299"/>
      <c r="P274" s="299"/>
      <c r="Q274" s="299"/>
      <c r="R274" s="299"/>
      <c r="S274" s="299"/>
      <c r="T274" s="299"/>
      <c r="U274" s="299"/>
      <c r="V274" s="299"/>
      <c r="W274" s="299"/>
      <c r="X274" s="299"/>
      <c r="Y274" s="299"/>
      <c r="Z274" s="299"/>
      <c r="AA274" s="299"/>
      <c r="AB274" s="299"/>
      <c r="AC274" s="300"/>
      <c r="AD274" s="302" t="n">
        <f aca="false">IF(SUM(L274:AC274)=0,0,SUM(L274:AC274)/'Conformación JD'!$X$26)</f>
        <v>0</v>
      </c>
      <c r="AE274" s="301" t="n">
        <f aca="false">SUM(L274:AC274)</f>
        <v>0</v>
      </c>
      <c r="AF274" s="301" t="n">
        <f aca="false">+AC274+AA274+Y274+W274+U274+S274+Q274+O274+M274</f>
        <v>0</v>
      </c>
      <c r="AG274" s="357" t="n">
        <f aca="false">IF(AE274=0,0,AF274/AE274)</f>
        <v>0</v>
      </c>
      <c r="AH274" s="359"/>
    </row>
    <row r="275" customFormat="false" ht="13.8" hidden="false" customHeight="false" outlineLevel="0" collapsed="false">
      <c r="A275" s="353"/>
      <c r="B275" s="353"/>
      <c r="C275" s="353"/>
      <c r="D275" s="353"/>
      <c r="E275" s="299" t="n">
        <v>4</v>
      </c>
      <c r="F275" s="354"/>
      <c r="G275" s="355"/>
      <c r="H275" s="355"/>
      <c r="I275" s="299"/>
      <c r="J275" s="300" t="n">
        <f aca="false">IF(H275&lt;&gt;"OTROS",1,0)*IF(I275=1,1,0)</f>
        <v>0</v>
      </c>
      <c r="K275" s="356"/>
      <c r="L275" s="299"/>
      <c r="M275" s="299"/>
      <c r="N275" s="299"/>
      <c r="O275" s="299"/>
      <c r="P275" s="299"/>
      <c r="Q275" s="299"/>
      <c r="R275" s="299"/>
      <c r="S275" s="299"/>
      <c r="T275" s="299"/>
      <c r="U275" s="299"/>
      <c r="V275" s="299"/>
      <c r="W275" s="299"/>
      <c r="X275" s="299"/>
      <c r="Y275" s="299"/>
      <c r="Z275" s="299"/>
      <c r="AA275" s="299"/>
      <c r="AB275" s="299"/>
      <c r="AC275" s="300"/>
      <c r="AD275" s="302" t="n">
        <f aca="false">IF(SUM(L275:AC275)=0,0,SUM(L275:AC275)/'Conformación JD'!$X$26)</f>
        <v>0</v>
      </c>
      <c r="AE275" s="301" t="n">
        <f aca="false">SUM(L275:AC275)</f>
        <v>0</v>
      </c>
      <c r="AF275" s="301" t="n">
        <f aca="false">+AC275+AA275+Y275+W275+U275+S275+Q275+O275+M275</f>
        <v>0</v>
      </c>
      <c r="AG275" s="357" t="n">
        <f aca="false">IF(AE275=0,0,AF275/AE275)</f>
        <v>0</v>
      </c>
      <c r="AH275" s="358"/>
    </row>
    <row r="276" customFormat="false" ht="13.8" hidden="false" customHeight="false" outlineLevel="0" collapsed="false">
      <c r="A276" s="353"/>
      <c r="B276" s="353"/>
      <c r="C276" s="353"/>
      <c r="D276" s="353"/>
      <c r="E276" s="299" t="n">
        <v>5</v>
      </c>
      <c r="F276" s="354"/>
      <c r="G276" s="355"/>
      <c r="H276" s="355"/>
      <c r="I276" s="299"/>
      <c r="J276" s="300" t="n">
        <f aca="false">IF(H276&lt;&gt;"OTROS",1,0)*IF(I276=1,1,0)</f>
        <v>0</v>
      </c>
      <c r="K276" s="356"/>
      <c r="L276" s="299"/>
      <c r="M276" s="299"/>
      <c r="N276" s="299"/>
      <c r="O276" s="299"/>
      <c r="P276" s="299"/>
      <c r="Q276" s="299"/>
      <c r="R276" s="299"/>
      <c r="S276" s="299"/>
      <c r="T276" s="299"/>
      <c r="U276" s="299"/>
      <c r="V276" s="299"/>
      <c r="W276" s="299"/>
      <c r="X276" s="299"/>
      <c r="Y276" s="299"/>
      <c r="Z276" s="299"/>
      <c r="AA276" s="299"/>
      <c r="AB276" s="299"/>
      <c r="AC276" s="300"/>
      <c r="AD276" s="302" t="n">
        <f aca="false">IF(SUM(L276:AC276)=0,0,SUM(L276:AC276)/'Conformación JD'!$X$26)</f>
        <v>0</v>
      </c>
      <c r="AE276" s="301" t="n">
        <f aca="false">SUM(L276:AC276)</f>
        <v>0</v>
      </c>
      <c r="AF276" s="301" t="n">
        <f aca="false">+AC276+AA276+Y276+W276+U276+S276+Q276+O276+M276</f>
        <v>0</v>
      </c>
      <c r="AG276" s="357" t="n">
        <f aca="false">IF(AE276=0,0,AF276/AE276)</f>
        <v>0</v>
      </c>
      <c r="AH276" s="358"/>
    </row>
    <row r="277" customFormat="false" ht="13.8" hidden="false" customHeight="false" outlineLevel="0" collapsed="false">
      <c r="A277" s="353"/>
      <c r="B277" s="353"/>
      <c r="C277" s="353"/>
      <c r="D277" s="353"/>
      <c r="E277" s="299" t="n">
        <v>6</v>
      </c>
      <c r="F277" s="354"/>
      <c r="G277" s="355"/>
      <c r="H277" s="355"/>
      <c r="I277" s="299"/>
      <c r="J277" s="300" t="n">
        <f aca="false">IF(H277&lt;&gt;"OTROS",1,0)*IF(I277=1,1,0)</f>
        <v>0</v>
      </c>
      <c r="K277" s="356"/>
      <c r="L277" s="299"/>
      <c r="M277" s="299"/>
      <c r="N277" s="299"/>
      <c r="O277" s="299"/>
      <c r="P277" s="299"/>
      <c r="Q277" s="299"/>
      <c r="R277" s="299"/>
      <c r="S277" s="299"/>
      <c r="T277" s="299"/>
      <c r="U277" s="299"/>
      <c r="V277" s="299"/>
      <c r="W277" s="299"/>
      <c r="X277" s="299"/>
      <c r="Y277" s="299"/>
      <c r="Z277" s="299"/>
      <c r="AA277" s="299"/>
      <c r="AB277" s="299"/>
      <c r="AC277" s="300"/>
      <c r="AD277" s="302" t="n">
        <f aca="false">IF(SUM(L277:AC277)=0,0,SUM(L277:AC277)/'Conformación JD'!$X$26)</f>
        <v>0</v>
      </c>
      <c r="AE277" s="301" t="n">
        <f aca="false">SUM(L277:AC277)</f>
        <v>0</v>
      </c>
      <c r="AF277" s="301" t="n">
        <f aca="false">+AC277+AA277+Y277+W277+U277+S277+Q277+O277+M277</f>
        <v>0</v>
      </c>
      <c r="AG277" s="357" t="n">
        <f aca="false">IF(AE277=0,0,AF277/AE277)</f>
        <v>0</v>
      </c>
      <c r="AH277" s="358"/>
    </row>
    <row r="278" customFormat="false" ht="13.8" hidden="false" customHeight="false" outlineLevel="0" collapsed="false">
      <c r="A278" s="353"/>
      <c r="B278" s="353"/>
      <c r="C278" s="353"/>
      <c r="D278" s="353"/>
      <c r="E278" s="299" t="n">
        <v>7</v>
      </c>
      <c r="F278" s="354"/>
      <c r="G278" s="355"/>
      <c r="H278" s="355"/>
      <c r="I278" s="299"/>
      <c r="J278" s="300" t="n">
        <f aca="false">IF(H278&lt;&gt;"OTROS",1,0)*IF(I278=1,1,0)</f>
        <v>0</v>
      </c>
      <c r="K278" s="356"/>
      <c r="L278" s="299"/>
      <c r="M278" s="299"/>
      <c r="N278" s="299"/>
      <c r="O278" s="299"/>
      <c r="P278" s="299"/>
      <c r="Q278" s="299"/>
      <c r="R278" s="299"/>
      <c r="S278" s="299"/>
      <c r="T278" s="299"/>
      <c r="U278" s="299"/>
      <c r="V278" s="299"/>
      <c r="W278" s="299"/>
      <c r="X278" s="299"/>
      <c r="Y278" s="299"/>
      <c r="Z278" s="299"/>
      <c r="AA278" s="299"/>
      <c r="AB278" s="299"/>
      <c r="AC278" s="300"/>
      <c r="AD278" s="302" t="n">
        <f aca="false">IF(SUM(L278:AC278)=0,0,SUM(L278:AC278)/'Conformación JD'!$X$26)</f>
        <v>0</v>
      </c>
      <c r="AE278" s="301" t="n">
        <f aca="false">SUM(L278:AC278)</f>
        <v>0</v>
      </c>
      <c r="AF278" s="301" t="n">
        <f aca="false">+AC278+AA278+Y278+W278+U278+S278+Q278+O278+M278</f>
        <v>0</v>
      </c>
      <c r="AG278" s="357" t="n">
        <f aca="false">IF(AE278=0,0,AF278/AE278)</f>
        <v>0</v>
      </c>
      <c r="AH278" s="358"/>
    </row>
    <row r="279" customFormat="false" ht="13.8" hidden="false" customHeight="false" outlineLevel="0" collapsed="false">
      <c r="A279" s="353"/>
      <c r="B279" s="353"/>
      <c r="C279" s="353"/>
      <c r="D279" s="353"/>
      <c r="E279" s="299" t="n">
        <v>8</v>
      </c>
      <c r="F279" s="354"/>
      <c r="G279" s="355"/>
      <c r="H279" s="355"/>
      <c r="I279" s="299"/>
      <c r="J279" s="300" t="n">
        <f aca="false">IF(H279&lt;&gt;"OTROS",1,0)*IF(I279=1,1,0)</f>
        <v>0</v>
      </c>
      <c r="K279" s="356"/>
      <c r="L279" s="299"/>
      <c r="M279" s="299"/>
      <c r="N279" s="299"/>
      <c r="O279" s="299"/>
      <c r="P279" s="299"/>
      <c r="Q279" s="299"/>
      <c r="R279" s="299"/>
      <c r="S279" s="299"/>
      <c r="T279" s="299"/>
      <c r="U279" s="299"/>
      <c r="V279" s="299"/>
      <c r="W279" s="299"/>
      <c r="X279" s="299"/>
      <c r="Y279" s="299"/>
      <c r="Z279" s="299"/>
      <c r="AA279" s="299"/>
      <c r="AB279" s="299"/>
      <c r="AC279" s="300"/>
      <c r="AD279" s="302" t="n">
        <f aca="false">IF(SUM(L279:AC279)=0,0,SUM(L279:AC279)/'Conformación JD'!$X$26)</f>
        <v>0</v>
      </c>
      <c r="AE279" s="301" t="n">
        <f aca="false">SUM(L279:AC279)</f>
        <v>0</v>
      </c>
      <c r="AF279" s="301" t="n">
        <f aca="false">+AC279+AA279+Y279+W279+U279+S279+Q279+O279+M279</f>
        <v>0</v>
      </c>
      <c r="AG279" s="357" t="n">
        <f aca="false">IF(AE279=0,0,AF279/AE279)</f>
        <v>0</v>
      </c>
      <c r="AH279" s="358"/>
    </row>
    <row r="280" customFormat="false" ht="13.8" hidden="false" customHeight="false" outlineLevel="0" collapsed="false">
      <c r="A280" s="353"/>
      <c r="B280" s="353"/>
      <c r="C280" s="353"/>
      <c r="D280" s="353"/>
      <c r="E280" s="299" t="n">
        <v>9</v>
      </c>
      <c r="F280" s="354"/>
      <c r="G280" s="355"/>
      <c r="H280" s="355"/>
      <c r="I280" s="299"/>
      <c r="J280" s="300" t="n">
        <f aca="false">IF(H280&lt;&gt;"OTROS",1,0)*IF(I280=1,1,0)</f>
        <v>0</v>
      </c>
      <c r="K280" s="356"/>
      <c r="L280" s="299"/>
      <c r="M280" s="299"/>
      <c r="N280" s="299"/>
      <c r="O280" s="299"/>
      <c r="P280" s="299"/>
      <c r="Q280" s="299"/>
      <c r="R280" s="299"/>
      <c r="S280" s="299"/>
      <c r="T280" s="299"/>
      <c r="U280" s="299"/>
      <c r="V280" s="299"/>
      <c r="W280" s="299"/>
      <c r="X280" s="299"/>
      <c r="Y280" s="299"/>
      <c r="Z280" s="299"/>
      <c r="AA280" s="299"/>
      <c r="AB280" s="299"/>
      <c r="AC280" s="300"/>
      <c r="AD280" s="302" t="n">
        <f aca="false">IF(SUM(L280:AC280)=0,0,SUM(L280:AC280)/'Conformación JD'!$X$26)</f>
        <v>0</v>
      </c>
      <c r="AE280" s="301" t="n">
        <f aca="false">SUM(L280:AC280)</f>
        <v>0</v>
      </c>
      <c r="AF280" s="301" t="n">
        <f aca="false">+AC280+AA280+Y280+W280+U280+S280+Q280+O280+M280</f>
        <v>0</v>
      </c>
      <c r="AG280" s="357" t="n">
        <f aca="false">IF(AE280=0,0,AF280/AE280)</f>
        <v>0</v>
      </c>
      <c r="AH280" s="358"/>
    </row>
    <row r="281" customFormat="false" ht="13.8" hidden="false" customHeight="false" outlineLevel="0" collapsed="false">
      <c r="A281" s="353"/>
      <c r="B281" s="353"/>
      <c r="C281" s="353"/>
      <c r="D281" s="353"/>
      <c r="E281" s="360" t="n">
        <v>10</v>
      </c>
      <c r="F281" s="361"/>
      <c r="G281" s="362"/>
      <c r="H281" s="362"/>
      <c r="I281" s="360"/>
      <c r="J281" s="300" t="n">
        <f aca="false">IF(H281&lt;&gt;"OTROS",1,0)*IF(I281=1,1,0)</f>
        <v>0</v>
      </c>
      <c r="K281" s="356"/>
      <c r="L281" s="360"/>
      <c r="M281" s="360"/>
      <c r="N281" s="360"/>
      <c r="O281" s="360"/>
      <c r="P281" s="360"/>
      <c r="Q281" s="360"/>
      <c r="R281" s="360"/>
      <c r="S281" s="360"/>
      <c r="T281" s="360"/>
      <c r="U281" s="360"/>
      <c r="V281" s="360"/>
      <c r="W281" s="360"/>
      <c r="X281" s="360"/>
      <c r="Y281" s="360"/>
      <c r="Z281" s="360"/>
      <c r="AA281" s="360"/>
      <c r="AB281" s="360"/>
      <c r="AC281" s="363"/>
      <c r="AD281" s="302" t="n">
        <f aca="false">IF(SUM(L281:AC281)=0,0,SUM(L281:AC281)/'Conformación JD'!$X$26)</f>
        <v>0</v>
      </c>
      <c r="AE281" s="301" t="n">
        <f aca="false">SUM(L281:AC281)</f>
        <v>0</v>
      </c>
      <c r="AF281" s="301" t="n">
        <f aca="false">+AC281+AA281+Y281+W281+U281+S281+Q281+O281+M281</f>
        <v>0</v>
      </c>
      <c r="AG281" s="357" t="n">
        <f aca="false">IF(AE281=0,0,AF281/AE281)</f>
        <v>0</v>
      </c>
      <c r="AH281" s="358"/>
    </row>
    <row r="282" customFormat="false" ht="13.8" hidden="false" customHeight="true" outlineLevel="0" collapsed="false">
      <c r="A282" s="305"/>
      <c r="B282" s="305"/>
      <c r="C282" s="305"/>
      <c r="D282" s="305"/>
      <c r="E282" s="364" t="s">
        <v>366</v>
      </c>
      <c r="F282" s="364"/>
      <c r="G282" s="364"/>
      <c r="H282" s="364"/>
      <c r="I282" s="365" t="n">
        <f aca="false">IF((COUNTIF(G272:G281,"&lt;&gt;"))&lt;&gt;0,SUM(I272:I281)/COUNTIF(G272:G281,"&lt;&gt;"),0)</f>
        <v>0</v>
      </c>
      <c r="J282" s="366" t="n">
        <f aca="false">IF((COUNTIF(H272:H281,"&lt;&gt;"))&lt;&gt;0,SUM(J272:J281)/COUNTIF(H272:H281,"&lt;&gt;"),0)</f>
        <v>0</v>
      </c>
      <c r="K282" s="310" t="n">
        <f aca="false">IF((COUNTIF(H272:H281,"&lt;&gt;"))&lt;&gt;0,SUM(K272:K281)/COUNTIF(H272:H281,"&lt;&gt;"),0)</f>
        <v>0</v>
      </c>
      <c r="L282" s="307" t="n">
        <f aca="false">SUM(L272:L281)</f>
        <v>0</v>
      </c>
      <c r="M282" s="307" t="n">
        <f aca="false">SUM(M272:M281)</f>
        <v>0</v>
      </c>
      <c r="N282" s="307" t="n">
        <f aca="false">SUM(N272:N281)</f>
        <v>0</v>
      </c>
      <c r="O282" s="307" t="n">
        <f aca="false">SUM(O272:O281)</f>
        <v>0</v>
      </c>
      <c r="P282" s="307" t="n">
        <f aca="false">SUM(P272:P281)</f>
        <v>0</v>
      </c>
      <c r="Q282" s="307" t="n">
        <f aca="false">SUM(Q272:Q281)</f>
        <v>0</v>
      </c>
      <c r="R282" s="307" t="n">
        <f aca="false">SUM(R272:R281)</f>
        <v>0</v>
      </c>
      <c r="S282" s="307" t="n">
        <f aca="false">SUM(S272:S281)</f>
        <v>0</v>
      </c>
      <c r="T282" s="307" t="n">
        <f aca="false">SUM(T272:T281)</f>
        <v>0</v>
      </c>
      <c r="U282" s="307" t="n">
        <f aca="false">SUM(U272:U281)</f>
        <v>0</v>
      </c>
      <c r="V282" s="307" t="n">
        <f aca="false">SUM(V272:V281)</f>
        <v>0</v>
      </c>
      <c r="W282" s="307" t="n">
        <f aca="false">SUM(W272:W281)</f>
        <v>0</v>
      </c>
      <c r="X282" s="307" t="n">
        <f aca="false">SUM(X272:X281)</f>
        <v>0</v>
      </c>
      <c r="Y282" s="307" t="n">
        <f aca="false">SUM(Y272:Y281)</f>
        <v>0</v>
      </c>
      <c r="Z282" s="307" t="n">
        <f aca="false">SUM(Z272:Z281)</f>
        <v>0</v>
      </c>
      <c r="AA282" s="307" t="n">
        <f aca="false">SUM(AA272:AA281)</f>
        <v>0</v>
      </c>
      <c r="AB282" s="307" t="n">
        <f aca="false">SUM(AB272:AB281)</f>
        <v>0</v>
      </c>
      <c r="AC282" s="307" t="n">
        <f aca="false">SUM(AC272:AC281)</f>
        <v>0</v>
      </c>
      <c r="AD282" s="310" t="n">
        <f aca="false">IF(SUM(AD272:AD281)=0,0,SUM(AD272:AD281)/COUNTIF(AD272:AD281,"&lt;&gt;0"))</f>
        <v>0</v>
      </c>
      <c r="AE282" s="365" t="n">
        <f aca="false">IF(SUM(AE272:AE281)=0,0,SUM(AE272:AE281)/COUNTIF(AE272:AE281,"&lt;&gt;0"))</f>
        <v>0</v>
      </c>
      <c r="AF282" s="365" t="n">
        <f aca="false">IF(SUM(AF272:AF281)=0,0,SUM(AF272:AF281)/COUNTIF(AF272:AF281,"&lt;&gt;0"))</f>
        <v>0</v>
      </c>
      <c r="AG282" s="310" t="n">
        <f aca="false">IF(SUM(AG272:AG281)=0,0,SUM(AG272:AG281)/COUNTIF(AD272:AD281,"&lt;&gt;0"))</f>
        <v>0</v>
      </c>
      <c r="AH282" s="367"/>
    </row>
    <row r="283" customFormat="false" ht="12.75" hidden="false" customHeight="true" outlineLevel="0" collapsed="false">
      <c r="A283" s="287" t="s">
        <v>315</v>
      </c>
      <c r="B283" s="287" t="s">
        <v>316</v>
      </c>
      <c r="C283" s="287" t="s">
        <v>317</v>
      </c>
      <c r="D283" s="288" t="s">
        <v>318</v>
      </c>
      <c r="E283" s="344" t="s">
        <v>349</v>
      </c>
      <c r="F283" s="345" t="s">
        <v>350</v>
      </c>
      <c r="G283" s="346" t="s">
        <v>351</v>
      </c>
      <c r="H283" s="347" t="s">
        <v>352</v>
      </c>
      <c r="I283" s="348" t="s">
        <v>353</v>
      </c>
      <c r="J283" s="348" t="s">
        <v>354</v>
      </c>
      <c r="K283" s="347" t="s">
        <v>355</v>
      </c>
      <c r="L283" s="346" t="s">
        <v>320</v>
      </c>
      <c r="M283" s="346"/>
      <c r="N283" s="346"/>
      <c r="O283" s="346"/>
      <c r="P283" s="346"/>
      <c r="Q283" s="346"/>
      <c r="R283" s="346"/>
      <c r="S283" s="346"/>
      <c r="T283" s="346"/>
      <c r="U283" s="346"/>
      <c r="V283" s="346"/>
      <c r="W283" s="346"/>
      <c r="X283" s="346"/>
      <c r="Y283" s="346"/>
      <c r="Z283" s="346"/>
      <c r="AA283" s="346"/>
      <c r="AB283" s="346"/>
      <c r="AC283" s="346"/>
      <c r="AD283" s="349"/>
      <c r="AE283" s="349"/>
      <c r="AF283" s="349"/>
      <c r="AG283" s="349"/>
      <c r="AH283" s="184"/>
    </row>
    <row r="284" customFormat="false" ht="12.75" hidden="false" customHeight="true" outlineLevel="0" collapsed="false">
      <c r="A284" s="287"/>
      <c r="B284" s="287"/>
      <c r="C284" s="287"/>
      <c r="D284" s="288"/>
      <c r="E284" s="344"/>
      <c r="F284" s="345"/>
      <c r="G284" s="346"/>
      <c r="H284" s="347"/>
      <c r="I284" s="348"/>
      <c r="J284" s="348"/>
      <c r="K284" s="347"/>
      <c r="L284" s="293" t="s">
        <v>321</v>
      </c>
      <c r="M284" s="293"/>
      <c r="N284" s="293" t="s">
        <v>356</v>
      </c>
      <c r="O284" s="293"/>
      <c r="P284" s="293" t="s">
        <v>357</v>
      </c>
      <c r="Q284" s="293"/>
      <c r="R284" s="293" t="s">
        <v>324</v>
      </c>
      <c r="S284" s="293"/>
      <c r="T284" s="293" t="s">
        <v>325</v>
      </c>
      <c r="U284" s="293"/>
      <c r="V284" s="293" t="s">
        <v>326</v>
      </c>
      <c r="W284" s="293"/>
      <c r="X284" s="293" t="s">
        <v>327</v>
      </c>
      <c r="Y284" s="293"/>
      <c r="Z284" s="293" t="s">
        <v>328</v>
      </c>
      <c r="AA284" s="293"/>
      <c r="AB284" s="293" t="s">
        <v>329</v>
      </c>
      <c r="AC284" s="293"/>
      <c r="AD284" s="350" t="s">
        <v>358</v>
      </c>
      <c r="AE284" s="350" t="s">
        <v>359</v>
      </c>
      <c r="AF284" s="350" t="s">
        <v>360</v>
      </c>
      <c r="AG284" s="350" t="s">
        <v>361</v>
      </c>
      <c r="AH284" s="351" t="s">
        <v>362</v>
      </c>
    </row>
    <row r="285" customFormat="false" ht="43.5" hidden="false" customHeight="true" outlineLevel="0" collapsed="false">
      <c r="A285" s="287"/>
      <c r="B285" s="287"/>
      <c r="C285" s="287"/>
      <c r="D285" s="288"/>
      <c r="E285" s="344"/>
      <c r="F285" s="345"/>
      <c r="G285" s="346"/>
      <c r="H285" s="347"/>
      <c r="I285" s="348"/>
      <c r="J285" s="348"/>
      <c r="K285" s="347"/>
      <c r="L285" s="295" t="s">
        <v>68</v>
      </c>
      <c r="M285" s="295" t="s">
        <v>298</v>
      </c>
      <c r="N285" s="295" t="s">
        <v>68</v>
      </c>
      <c r="O285" s="295" t="s">
        <v>298</v>
      </c>
      <c r="P285" s="295" t="s">
        <v>68</v>
      </c>
      <c r="Q285" s="295" t="s">
        <v>298</v>
      </c>
      <c r="R285" s="295" t="s">
        <v>68</v>
      </c>
      <c r="S285" s="295" t="s">
        <v>298</v>
      </c>
      <c r="T285" s="295" t="s">
        <v>68</v>
      </c>
      <c r="U285" s="295" t="s">
        <v>298</v>
      </c>
      <c r="V285" s="295" t="s">
        <v>68</v>
      </c>
      <c r="W285" s="295" t="s">
        <v>298</v>
      </c>
      <c r="X285" s="295" t="s">
        <v>68</v>
      </c>
      <c r="Y285" s="295" t="s">
        <v>298</v>
      </c>
      <c r="Z285" s="295" t="s">
        <v>68</v>
      </c>
      <c r="AA285" s="295" t="s">
        <v>298</v>
      </c>
      <c r="AB285" s="295" t="s">
        <v>68</v>
      </c>
      <c r="AC285" s="296" t="s">
        <v>298</v>
      </c>
      <c r="AD285" s="350"/>
      <c r="AE285" s="350"/>
      <c r="AF285" s="350"/>
      <c r="AG285" s="350"/>
      <c r="AH285" s="351"/>
    </row>
    <row r="286" customFormat="false" ht="13.8" hidden="false" customHeight="false" outlineLevel="0" collapsed="false">
      <c r="A286" s="353" t="n">
        <f aca="false">'Listado CAPS'!A283</f>
        <v>0</v>
      </c>
      <c r="B286" s="353" t="n">
        <f aca="false">'Listado CAPS'!B283</f>
        <v>0</v>
      </c>
      <c r="C286" s="353" t="n">
        <f aca="false">'Listado CAPS'!C283</f>
        <v>0</v>
      </c>
      <c r="D286" s="353" t="str">
        <f aca="false">'Listado CAPS'!D23</f>
        <v>T</v>
      </c>
      <c r="E286" s="299" t="n">
        <v>1</v>
      </c>
      <c r="F286" s="354"/>
      <c r="G286" s="304"/>
      <c r="H286" s="355"/>
      <c r="I286" s="299"/>
      <c r="J286" s="300" t="n">
        <f aca="false">IF(H286&lt;&gt;"OTROS",1,0)*IF(I286=1,1,0)</f>
        <v>0</v>
      </c>
      <c r="K286" s="356"/>
      <c r="L286" s="299"/>
      <c r="M286" s="299"/>
      <c r="N286" s="299"/>
      <c r="O286" s="299"/>
      <c r="P286" s="299"/>
      <c r="Q286" s="299"/>
      <c r="R286" s="299"/>
      <c r="S286" s="299"/>
      <c r="T286" s="299"/>
      <c r="U286" s="299"/>
      <c r="V286" s="299"/>
      <c r="W286" s="299"/>
      <c r="X286" s="299"/>
      <c r="Y286" s="299"/>
      <c r="Z286" s="299"/>
      <c r="AA286" s="299"/>
      <c r="AB286" s="299"/>
      <c r="AC286" s="300"/>
      <c r="AD286" s="302" t="n">
        <f aca="false">IF(SUM(L286:AC286)=0,0,SUM(L286:AC286)/'Conformación JD'!$X$27)</f>
        <v>0</v>
      </c>
      <c r="AE286" s="301" t="n">
        <f aca="false">SUM(L286:AC286)</f>
        <v>0</v>
      </c>
      <c r="AF286" s="301" t="n">
        <f aca="false">+AC286+AA286+Y286+W286+U286+S286+Q286+O286+M286</f>
        <v>0</v>
      </c>
      <c r="AG286" s="357" t="n">
        <f aca="false">IF(AE286=0,0,AF286/AE286)</f>
        <v>0</v>
      </c>
      <c r="AH286" s="299"/>
    </row>
    <row r="287" customFormat="false" ht="13.8" hidden="false" customHeight="false" outlineLevel="0" collapsed="false">
      <c r="A287" s="353"/>
      <c r="B287" s="353"/>
      <c r="C287" s="353"/>
      <c r="D287" s="353"/>
      <c r="E287" s="299" t="n">
        <v>2</v>
      </c>
      <c r="F287" s="354"/>
      <c r="G287" s="304"/>
      <c r="H287" s="355"/>
      <c r="I287" s="299"/>
      <c r="J287" s="300" t="n">
        <f aca="false">IF(H287&lt;&gt;"OTROS",1,0)*IF(I287=1,1,0)</f>
        <v>0</v>
      </c>
      <c r="K287" s="356"/>
      <c r="L287" s="299"/>
      <c r="M287" s="299"/>
      <c r="N287" s="299"/>
      <c r="O287" s="299"/>
      <c r="P287" s="299"/>
      <c r="Q287" s="299"/>
      <c r="R287" s="299"/>
      <c r="S287" s="299"/>
      <c r="T287" s="299"/>
      <c r="U287" s="299"/>
      <c r="V287" s="299"/>
      <c r="W287" s="299"/>
      <c r="X287" s="299"/>
      <c r="Y287" s="299"/>
      <c r="Z287" s="299"/>
      <c r="AA287" s="299"/>
      <c r="AB287" s="299"/>
      <c r="AC287" s="300"/>
      <c r="AD287" s="302" t="n">
        <f aca="false">IF(SUM(L287:AC287)=0,0,SUM(L287:AC287)/'Conformación JD'!$X$27)</f>
        <v>0</v>
      </c>
      <c r="AE287" s="301" t="n">
        <f aca="false">SUM(L287:AC287)</f>
        <v>0</v>
      </c>
      <c r="AF287" s="301" t="n">
        <f aca="false">+AC287+AA287+Y287+W287+U287+S287+Q287+O287+M287</f>
        <v>0</v>
      </c>
      <c r="AG287" s="357" t="n">
        <f aca="false">IF(AE287=0,0,AF287/AE287)</f>
        <v>0</v>
      </c>
      <c r="AH287" s="358"/>
    </row>
    <row r="288" customFormat="false" ht="13.8" hidden="false" customHeight="false" outlineLevel="0" collapsed="false">
      <c r="A288" s="353"/>
      <c r="B288" s="353"/>
      <c r="C288" s="353"/>
      <c r="D288" s="353"/>
      <c r="E288" s="299" t="n">
        <v>3</v>
      </c>
      <c r="F288" s="354"/>
      <c r="G288" s="304"/>
      <c r="H288" s="355"/>
      <c r="I288" s="299"/>
      <c r="J288" s="300" t="n">
        <f aca="false">IF(H288&lt;&gt;"OTROS",1,0)*IF(I288=1,1,0)</f>
        <v>0</v>
      </c>
      <c r="K288" s="356"/>
      <c r="L288" s="299"/>
      <c r="M288" s="299"/>
      <c r="N288" s="299"/>
      <c r="O288" s="299"/>
      <c r="P288" s="299"/>
      <c r="Q288" s="299"/>
      <c r="R288" s="299"/>
      <c r="S288" s="299"/>
      <c r="T288" s="299"/>
      <c r="U288" s="299"/>
      <c r="V288" s="299"/>
      <c r="W288" s="299"/>
      <c r="X288" s="299"/>
      <c r="Y288" s="299"/>
      <c r="Z288" s="299"/>
      <c r="AA288" s="299"/>
      <c r="AB288" s="299"/>
      <c r="AC288" s="300"/>
      <c r="AD288" s="302" t="n">
        <f aca="false">IF(SUM(L288:AC288)=0,0,SUM(L288:AC288)/'Conformación JD'!$X$27)</f>
        <v>0</v>
      </c>
      <c r="AE288" s="301" t="n">
        <f aca="false">SUM(L288:AC288)</f>
        <v>0</v>
      </c>
      <c r="AF288" s="301" t="n">
        <f aca="false">+AC288+AA288+Y288+W288+U288+S288+Q288+O288+M288</f>
        <v>0</v>
      </c>
      <c r="AG288" s="357" t="n">
        <f aca="false">IF(AE288=0,0,AF288/AE288)</f>
        <v>0</v>
      </c>
      <c r="AH288" s="359"/>
    </row>
    <row r="289" customFormat="false" ht="13.8" hidden="false" customHeight="false" outlineLevel="0" collapsed="false">
      <c r="A289" s="353"/>
      <c r="B289" s="353"/>
      <c r="C289" s="353"/>
      <c r="D289" s="353"/>
      <c r="E289" s="299" t="n">
        <v>4</v>
      </c>
      <c r="F289" s="354"/>
      <c r="G289" s="355"/>
      <c r="H289" s="355"/>
      <c r="I289" s="299"/>
      <c r="J289" s="300" t="n">
        <f aca="false">IF(H289&lt;&gt;"OTROS",1,0)*IF(I289=1,1,0)</f>
        <v>0</v>
      </c>
      <c r="K289" s="356"/>
      <c r="L289" s="299"/>
      <c r="M289" s="299"/>
      <c r="N289" s="299"/>
      <c r="O289" s="299"/>
      <c r="P289" s="299"/>
      <c r="Q289" s="299"/>
      <c r="R289" s="299"/>
      <c r="S289" s="299"/>
      <c r="T289" s="299"/>
      <c r="U289" s="299"/>
      <c r="V289" s="299"/>
      <c r="W289" s="299"/>
      <c r="X289" s="299"/>
      <c r="Y289" s="299"/>
      <c r="Z289" s="299"/>
      <c r="AA289" s="299"/>
      <c r="AB289" s="299"/>
      <c r="AC289" s="300"/>
      <c r="AD289" s="302" t="n">
        <f aca="false">IF(SUM(L289:AC289)=0,0,SUM(L289:AC289)/'Conformación JD'!$X$27)</f>
        <v>0</v>
      </c>
      <c r="AE289" s="301" t="n">
        <f aca="false">SUM(L289:AC289)</f>
        <v>0</v>
      </c>
      <c r="AF289" s="301" t="n">
        <f aca="false">+AC289+AA289+Y289+W289+U289+S289+Q289+O289+M289</f>
        <v>0</v>
      </c>
      <c r="AG289" s="357" t="n">
        <f aca="false">IF(AE289=0,0,AF289/AE289)</f>
        <v>0</v>
      </c>
      <c r="AH289" s="358"/>
    </row>
    <row r="290" customFormat="false" ht="13.8" hidden="false" customHeight="false" outlineLevel="0" collapsed="false">
      <c r="A290" s="353"/>
      <c r="B290" s="353"/>
      <c r="C290" s="353"/>
      <c r="D290" s="353"/>
      <c r="E290" s="299" t="n">
        <v>5</v>
      </c>
      <c r="F290" s="354"/>
      <c r="G290" s="355"/>
      <c r="H290" s="355"/>
      <c r="I290" s="299"/>
      <c r="J290" s="300" t="n">
        <f aca="false">IF(H290&lt;&gt;"OTROS",1,0)*IF(I290=1,1,0)</f>
        <v>0</v>
      </c>
      <c r="K290" s="356"/>
      <c r="L290" s="299"/>
      <c r="M290" s="299"/>
      <c r="N290" s="299"/>
      <c r="O290" s="299"/>
      <c r="P290" s="299"/>
      <c r="Q290" s="299"/>
      <c r="R290" s="299"/>
      <c r="S290" s="299"/>
      <c r="T290" s="299"/>
      <c r="U290" s="299"/>
      <c r="V290" s="299"/>
      <c r="W290" s="299"/>
      <c r="X290" s="299"/>
      <c r="Y290" s="299"/>
      <c r="Z290" s="299"/>
      <c r="AA290" s="299"/>
      <c r="AB290" s="299"/>
      <c r="AC290" s="300"/>
      <c r="AD290" s="302" t="n">
        <f aca="false">IF(SUM(L290:AC290)=0,0,SUM(L290:AC290)/'Conformación JD'!$X$27)</f>
        <v>0</v>
      </c>
      <c r="AE290" s="301" t="n">
        <f aca="false">SUM(L290:AC290)</f>
        <v>0</v>
      </c>
      <c r="AF290" s="301" t="n">
        <f aca="false">+AC290+AA290+Y290+W290+U290+S290+Q290+O290+M290</f>
        <v>0</v>
      </c>
      <c r="AG290" s="357" t="n">
        <f aca="false">IF(AE290=0,0,AF290/AE290)</f>
        <v>0</v>
      </c>
      <c r="AH290" s="358"/>
    </row>
    <row r="291" customFormat="false" ht="13.8" hidden="false" customHeight="false" outlineLevel="0" collapsed="false">
      <c r="A291" s="353"/>
      <c r="B291" s="353"/>
      <c r="C291" s="353"/>
      <c r="D291" s="353"/>
      <c r="E291" s="299" t="n">
        <v>6</v>
      </c>
      <c r="F291" s="354"/>
      <c r="G291" s="355"/>
      <c r="H291" s="355"/>
      <c r="I291" s="299"/>
      <c r="J291" s="300" t="n">
        <f aca="false">IF(H291&lt;&gt;"OTROS",1,0)*IF(I291=1,1,0)</f>
        <v>0</v>
      </c>
      <c r="K291" s="356"/>
      <c r="L291" s="299"/>
      <c r="M291" s="299"/>
      <c r="N291" s="299"/>
      <c r="O291" s="299"/>
      <c r="P291" s="299"/>
      <c r="Q291" s="299"/>
      <c r="R291" s="299"/>
      <c r="S291" s="299"/>
      <c r="T291" s="299"/>
      <c r="U291" s="299"/>
      <c r="V291" s="299"/>
      <c r="W291" s="299"/>
      <c r="X291" s="299"/>
      <c r="Y291" s="299"/>
      <c r="Z291" s="299"/>
      <c r="AA291" s="299"/>
      <c r="AB291" s="299"/>
      <c r="AC291" s="300"/>
      <c r="AD291" s="302" t="n">
        <f aca="false">IF(SUM(L291:AC291)=0,0,SUM(L291:AC291)/'Conformación JD'!$X$27)</f>
        <v>0</v>
      </c>
      <c r="AE291" s="301" t="n">
        <f aca="false">SUM(L291:AC291)</f>
        <v>0</v>
      </c>
      <c r="AF291" s="301" t="n">
        <f aca="false">+AC291+AA291+Y291+W291+U291+S291+Q291+O291+M291</f>
        <v>0</v>
      </c>
      <c r="AG291" s="357" t="n">
        <f aca="false">IF(AE291=0,0,AF291/AE291)</f>
        <v>0</v>
      </c>
      <c r="AH291" s="358"/>
    </row>
    <row r="292" customFormat="false" ht="13.8" hidden="false" customHeight="false" outlineLevel="0" collapsed="false">
      <c r="A292" s="353"/>
      <c r="B292" s="353"/>
      <c r="C292" s="353"/>
      <c r="D292" s="353"/>
      <c r="E292" s="299" t="n">
        <v>7</v>
      </c>
      <c r="F292" s="354"/>
      <c r="G292" s="355"/>
      <c r="H292" s="355"/>
      <c r="I292" s="299"/>
      <c r="J292" s="300" t="n">
        <f aca="false">IF(H292&lt;&gt;"OTROS",1,0)*IF(I292=1,1,0)</f>
        <v>0</v>
      </c>
      <c r="K292" s="356"/>
      <c r="L292" s="299"/>
      <c r="M292" s="299"/>
      <c r="N292" s="299"/>
      <c r="O292" s="299"/>
      <c r="P292" s="299"/>
      <c r="Q292" s="299"/>
      <c r="R292" s="299"/>
      <c r="S292" s="299"/>
      <c r="T292" s="299"/>
      <c r="U292" s="299"/>
      <c r="V292" s="299"/>
      <c r="W292" s="299"/>
      <c r="X292" s="299"/>
      <c r="Y292" s="299"/>
      <c r="Z292" s="299"/>
      <c r="AA292" s="299"/>
      <c r="AB292" s="299"/>
      <c r="AC292" s="300"/>
      <c r="AD292" s="302" t="n">
        <f aca="false">IF(SUM(L292:AC292)=0,0,SUM(L292:AC292)/'Conformación JD'!$X$27)</f>
        <v>0</v>
      </c>
      <c r="AE292" s="301" t="n">
        <f aca="false">SUM(L292:AC292)</f>
        <v>0</v>
      </c>
      <c r="AF292" s="301" t="n">
        <f aca="false">+AC292+AA292+Y292+W292+U292+S292+Q292+O292+M292</f>
        <v>0</v>
      </c>
      <c r="AG292" s="357" t="n">
        <f aca="false">IF(AE292=0,0,AF292/AE292)</f>
        <v>0</v>
      </c>
      <c r="AH292" s="358"/>
    </row>
    <row r="293" customFormat="false" ht="13.8" hidden="false" customHeight="false" outlineLevel="0" collapsed="false">
      <c r="A293" s="353"/>
      <c r="B293" s="353"/>
      <c r="C293" s="353"/>
      <c r="D293" s="353"/>
      <c r="E293" s="299" t="n">
        <v>8</v>
      </c>
      <c r="F293" s="354"/>
      <c r="G293" s="355"/>
      <c r="H293" s="355"/>
      <c r="I293" s="299"/>
      <c r="J293" s="300" t="n">
        <f aca="false">IF(H293&lt;&gt;"OTROS",1,0)*IF(I293=1,1,0)</f>
        <v>0</v>
      </c>
      <c r="K293" s="356"/>
      <c r="L293" s="299"/>
      <c r="M293" s="299"/>
      <c r="N293" s="299"/>
      <c r="O293" s="299"/>
      <c r="P293" s="299"/>
      <c r="Q293" s="299"/>
      <c r="R293" s="299"/>
      <c r="S293" s="299"/>
      <c r="T293" s="299"/>
      <c r="U293" s="299"/>
      <c r="V293" s="299"/>
      <c r="W293" s="299"/>
      <c r="X293" s="299"/>
      <c r="Y293" s="299"/>
      <c r="Z293" s="299"/>
      <c r="AA293" s="299"/>
      <c r="AB293" s="299"/>
      <c r="AC293" s="300"/>
      <c r="AD293" s="302" t="n">
        <f aca="false">IF(SUM(L293:AC293)=0,0,SUM(L293:AC293)/'Conformación JD'!$X$27)</f>
        <v>0</v>
      </c>
      <c r="AE293" s="301" t="n">
        <f aca="false">SUM(L293:AC293)</f>
        <v>0</v>
      </c>
      <c r="AF293" s="301" t="n">
        <f aca="false">+AC293+AA293+Y293+W293+U293+S293+Q293+O293+M293</f>
        <v>0</v>
      </c>
      <c r="AG293" s="357" t="n">
        <f aca="false">IF(AE293=0,0,AF293/AE293)</f>
        <v>0</v>
      </c>
      <c r="AH293" s="358"/>
    </row>
    <row r="294" customFormat="false" ht="13.8" hidden="false" customHeight="false" outlineLevel="0" collapsed="false">
      <c r="A294" s="353"/>
      <c r="B294" s="353"/>
      <c r="C294" s="353"/>
      <c r="D294" s="353"/>
      <c r="E294" s="299" t="n">
        <v>9</v>
      </c>
      <c r="F294" s="354"/>
      <c r="G294" s="355"/>
      <c r="H294" s="355"/>
      <c r="I294" s="299"/>
      <c r="J294" s="300" t="n">
        <f aca="false">IF(H294&lt;&gt;"OTROS",1,0)*IF(I294=1,1,0)</f>
        <v>0</v>
      </c>
      <c r="K294" s="356"/>
      <c r="L294" s="299"/>
      <c r="M294" s="299"/>
      <c r="N294" s="299"/>
      <c r="O294" s="299"/>
      <c r="P294" s="299"/>
      <c r="Q294" s="299"/>
      <c r="R294" s="299"/>
      <c r="S294" s="299"/>
      <c r="T294" s="299"/>
      <c r="U294" s="299"/>
      <c r="V294" s="299"/>
      <c r="W294" s="299"/>
      <c r="X294" s="299"/>
      <c r="Y294" s="299"/>
      <c r="Z294" s="299"/>
      <c r="AA294" s="299"/>
      <c r="AB294" s="299"/>
      <c r="AC294" s="300"/>
      <c r="AD294" s="302" t="n">
        <f aca="false">IF(SUM(L294:AC294)=0,0,SUM(L294:AC294)/'Conformación JD'!$X$27)</f>
        <v>0</v>
      </c>
      <c r="AE294" s="301" t="n">
        <f aca="false">SUM(L294:AC294)</f>
        <v>0</v>
      </c>
      <c r="AF294" s="301" t="n">
        <f aca="false">+AC294+AA294+Y294+W294+U294+S294+Q294+O294+M294</f>
        <v>0</v>
      </c>
      <c r="AG294" s="357" t="n">
        <f aca="false">IF(AE294=0,0,AF294/AE294)</f>
        <v>0</v>
      </c>
      <c r="AH294" s="358"/>
    </row>
    <row r="295" customFormat="false" ht="13.8" hidden="false" customHeight="false" outlineLevel="0" collapsed="false">
      <c r="A295" s="353"/>
      <c r="B295" s="353"/>
      <c r="C295" s="353"/>
      <c r="D295" s="353"/>
      <c r="E295" s="360" t="n">
        <v>10</v>
      </c>
      <c r="F295" s="361"/>
      <c r="G295" s="362"/>
      <c r="H295" s="362"/>
      <c r="I295" s="360"/>
      <c r="J295" s="300" t="n">
        <f aca="false">IF(H295&lt;&gt;"OTROS",1,0)*IF(I295=1,1,0)</f>
        <v>0</v>
      </c>
      <c r="K295" s="356"/>
      <c r="L295" s="360"/>
      <c r="M295" s="360"/>
      <c r="N295" s="360"/>
      <c r="O295" s="360"/>
      <c r="P295" s="360"/>
      <c r="Q295" s="360"/>
      <c r="R295" s="360"/>
      <c r="S295" s="360"/>
      <c r="T295" s="360"/>
      <c r="U295" s="360"/>
      <c r="V295" s="360"/>
      <c r="W295" s="360"/>
      <c r="X295" s="360"/>
      <c r="Y295" s="360"/>
      <c r="Z295" s="360"/>
      <c r="AA295" s="360"/>
      <c r="AB295" s="360"/>
      <c r="AC295" s="363"/>
      <c r="AD295" s="302" t="n">
        <f aca="false">IF(SUM(L295:AC295)=0,0,SUM(L295:AC295)/'Conformación JD'!$X$27)</f>
        <v>0</v>
      </c>
      <c r="AE295" s="301" t="n">
        <f aca="false">SUM(L295:AC295)</f>
        <v>0</v>
      </c>
      <c r="AF295" s="301" t="n">
        <f aca="false">+AC295+AA295+Y295+W295+U295+S295+Q295+O295+M295</f>
        <v>0</v>
      </c>
      <c r="AG295" s="357" t="n">
        <f aca="false">IF(AE295=0,0,AF295/AE295)</f>
        <v>0</v>
      </c>
      <c r="AH295" s="358"/>
    </row>
    <row r="296" customFormat="false" ht="13.8" hidden="false" customHeight="true" outlineLevel="0" collapsed="false">
      <c r="A296" s="305"/>
      <c r="B296" s="305"/>
      <c r="C296" s="305"/>
      <c r="D296" s="305"/>
      <c r="E296" s="364" t="s">
        <v>366</v>
      </c>
      <c r="F296" s="364"/>
      <c r="G296" s="364"/>
      <c r="H296" s="364"/>
      <c r="I296" s="365" t="n">
        <f aca="false">IF((COUNTIF(G286:G295,"&lt;&gt;"))&lt;&gt;0,SUM(I286:I295)/COUNTIF(G286:G295,"&lt;&gt;"),0)</f>
        <v>0</v>
      </c>
      <c r="J296" s="366" t="n">
        <f aca="false">IF((COUNTIF(H286:H295,"&lt;&gt;"))&lt;&gt;0,SUM(J286:J295)/COUNTIF(H286:H295,"&lt;&gt;"),0)</f>
        <v>0</v>
      </c>
      <c r="K296" s="310" t="n">
        <f aca="false">IF((COUNTIF(H286:H295,"&lt;&gt;"))&lt;&gt;0,SUM(K286:K295)/COUNTIF(H286:H295,"&lt;&gt;"),0)</f>
        <v>0</v>
      </c>
      <c r="L296" s="307" t="n">
        <f aca="false">SUM(L286:L295)</f>
        <v>0</v>
      </c>
      <c r="M296" s="307" t="n">
        <f aca="false">SUM(M286:M295)</f>
        <v>0</v>
      </c>
      <c r="N296" s="307" t="n">
        <f aca="false">SUM(N286:N295)</f>
        <v>0</v>
      </c>
      <c r="O296" s="307" t="n">
        <f aca="false">SUM(O286:O295)</f>
        <v>0</v>
      </c>
      <c r="P296" s="307" t="n">
        <f aca="false">SUM(P286:P295)</f>
        <v>0</v>
      </c>
      <c r="Q296" s="307" t="n">
        <f aca="false">SUM(Q286:Q295)</f>
        <v>0</v>
      </c>
      <c r="R296" s="307" t="n">
        <f aca="false">SUM(R286:R295)</f>
        <v>0</v>
      </c>
      <c r="S296" s="307" t="n">
        <f aca="false">SUM(S286:S295)</f>
        <v>0</v>
      </c>
      <c r="T296" s="307" t="n">
        <f aca="false">SUM(T286:T295)</f>
        <v>0</v>
      </c>
      <c r="U296" s="307" t="n">
        <f aca="false">SUM(U286:U295)</f>
        <v>0</v>
      </c>
      <c r="V296" s="307" t="n">
        <f aca="false">SUM(V286:V295)</f>
        <v>0</v>
      </c>
      <c r="W296" s="307" t="n">
        <f aca="false">SUM(W286:W295)</f>
        <v>0</v>
      </c>
      <c r="X296" s="307" t="n">
        <f aca="false">SUM(X286:X295)</f>
        <v>0</v>
      </c>
      <c r="Y296" s="307" t="n">
        <f aca="false">SUM(Y286:Y295)</f>
        <v>0</v>
      </c>
      <c r="Z296" s="307" t="n">
        <f aca="false">SUM(Z286:Z295)</f>
        <v>0</v>
      </c>
      <c r="AA296" s="307" t="n">
        <f aca="false">SUM(AA286:AA295)</f>
        <v>0</v>
      </c>
      <c r="AB296" s="307" t="n">
        <f aca="false">SUM(AB286:AB295)</f>
        <v>0</v>
      </c>
      <c r="AC296" s="307" t="n">
        <f aca="false">SUM(AC286:AC295)</f>
        <v>0</v>
      </c>
      <c r="AD296" s="310" t="n">
        <f aca="false">IF(SUM(AD286:AD295)=0,0,SUM(AD286:AD295)/COUNTIF(AD286:AD295,"&lt;&gt;0"))</f>
        <v>0</v>
      </c>
      <c r="AE296" s="365" t="n">
        <f aca="false">IF(SUM(AE286:AE295)=0,0,SUM(AE286:AE295)/COUNTIF(AE286:AE295,"&lt;&gt;0"))</f>
        <v>0</v>
      </c>
      <c r="AF296" s="365" t="n">
        <f aca="false">IF(SUM(AF286:AF295)=0,0,SUM(AF286:AF295)/COUNTIF(AF286:AF295,"&lt;&gt;0"))</f>
        <v>0</v>
      </c>
      <c r="AG296" s="310" t="n">
        <f aca="false">IF(SUM(AG286:AG295)=0,0,SUM(AG286:AG295)/COUNTIF(AD286:AD295,"&lt;&gt;0"))</f>
        <v>0</v>
      </c>
      <c r="AH296" s="367"/>
    </row>
    <row r="297" customFormat="false" ht="12.75" hidden="false" customHeight="true" outlineLevel="0" collapsed="false">
      <c r="A297" s="287" t="s">
        <v>315</v>
      </c>
      <c r="B297" s="287" t="s">
        <v>316</v>
      </c>
      <c r="C297" s="287" t="s">
        <v>317</v>
      </c>
      <c r="D297" s="288" t="s">
        <v>318</v>
      </c>
      <c r="E297" s="344" t="s">
        <v>349</v>
      </c>
      <c r="F297" s="345" t="s">
        <v>350</v>
      </c>
      <c r="G297" s="346" t="s">
        <v>351</v>
      </c>
      <c r="H297" s="347" t="s">
        <v>352</v>
      </c>
      <c r="I297" s="348" t="s">
        <v>353</v>
      </c>
      <c r="J297" s="348" t="s">
        <v>354</v>
      </c>
      <c r="K297" s="347" t="s">
        <v>355</v>
      </c>
      <c r="L297" s="346" t="s">
        <v>320</v>
      </c>
      <c r="M297" s="346"/>
      <c r="N297" s="346"/>
      <c r="O297" s="346"/>
      <c r="P297" s="346"/>
      <c r="Q297" s="346"/>
      <c r="R297" s="346"/>
      <c r="S297" s="346"/>
      <c r="T297" s="346"/>
      <c r="U297" s="346"/>
      <c r="V297" s="346"/>
      <c r="W297" s="346"/>
      <c r="X297" s="346"/>
      <c r="Y297" s="346"/>
      <c r="Z297" s="346"/>
      <c r="AA297" s="346"/>
      <c r="AB297" s="346"/>
      <c r="AC297" s="346"/>
      <c r="AD297" s="349"/>
      <c r="AE297" s="349"/>
      <c r="AF297" s="349"/>
      <c r="AG297" s="349"/>
      <c r="AH297" s="184"/>
    </row>
    <row r="298" customFormat="false" ht="12.75" hidden="false" customHeight="true" outlineLevel="0" collapsed="false">
      <c r="A298" s="287"/>
      <c r="B298" s="287"/>
      <c r="C298" s="287"/>
      <c r="D298" s="288"/>
      <c r="E298" s="344"/>
      <c r="F298" s="345"/>
      <c r="G298" s="346"/>
      <c r="H298" s="347"/>
      <c r="I298" s="348"/>
      <c r="J298" s="348"/>
      <c r="K298" s="347"/>
      <c r="L298" s="293" t="s">
        <v>321</v>
      </c>
      <c r="M298" s="293"/>
      <c r="N298" s="293" t="s">
        <v>356</v>
      </c>
      <c r="O298" s="293"/>
      <c r="P298" s="293" t="s">
        <v>357</v>
      </c>
      <c r="Q298" s="293"/>
      <c r="R298" s="293" t="s">
        <v>324</v>
      </c>
      <c r="S298" s="293"/>
      <c r="T298" s="293" t="s">
        <v>325</v>
      </c>
      <c r="U298" s="293"/>
      <c r="V298" s="293" t="s">
        <v>326</v>
      </c>
      <c r="W298" s="293"/>
      <c r="X298" s="293" t="s">
        <v>327</v>
      </c>
      <c r="Y298" s="293"/>
      <c r="Z298" s="293" t="s">
        <v>328</v>
      </c>
      <c r="AA298" s="293"/>
      <c r="AB298" s="293" t="s">
        <v>329</v>
      </c>
      <c r="AC298" s="293"/>
      <c r="AD298" s="350" t="s">
        <v>358</v>
      </c>
      <c r="AE298" s="350" t="s">
        <v>359</v>
      </c>
      <c r="AF298" s="350" t="s">
        <v>360</v>
      </c>
      <c r="AG298" s="350" t="s">
        <v>361</v>
      </c>
      <c r="AH298" s="351" t="s">
        <v>362</v>
      </c>
    </row>
    <row r="299" customFormat="false" ht="42" hidden="false" customHeight="true" outlineLevel="0" collapsed="false">
      <c r="A299" s="287"/>
      <c r="B299" s="287"/>
      <c r="C299" s="287"/>
      <c r="D299" s="288"/>
      <c r="E299" s="344"/>
      <c r="F299" s="345"/>
      <c r="G299" s="346"/>
      <c r="H299" s="347"/>
      <c r="I299" s="348"/>
      <c r="J299" s="348"/>
      <c r="K299" s="347"/>
      <c r="L299" s="295" t="s">
        <v>68</v>
      </c>
      <c r="M299" s="295" t="s">
        <v>298</v>
      </c>
      <c r="N299" s="295" t="s">
        <v>68</v>
      </c>
      <c r="O299" s="295" t="s">
        <v>298</v>
      </c>
      <c r="P299" s="295" t="s">
        <v>68</v>
      </c>
      <c r="Q299" s="295" t="s">
        <v>298</v>
      </c>
      <c r="R299" s="295" t="s">
        <v>68</v>
      </c>
      <c r="S299" s="295" t="s">
        <v>298</v>
      </c>
      <c r="T299" s="295" t="s">
        <v>68</v>
      </c>
      <c r="U299" s="295" t="s">
        <v>298</v>
      </c>
      <c r="V299" s="295" t="s">
        <v>68</v>
      </c>
      <c r="W299" s="295" t="s">
        <v>298</v>
      </c>
      <c r="X299" s="295" t="s">
        <v>68</v>
      </c>
      <c r="Y299" s="295" t="s">
        <v>298</v>
      </c>
      <c r="Z299" s="295" t="s">
        <v>68</v>
      </c>
      <c r="AA299" s="295" t="s">
        <v>298</v>
      </c>
      <c r="AB299" s="295" t="s">
        <v>68</v>
      </c>
      <c r="AC299" s="296" t="s">
        <v>298</v>
      </c>
      <c r="AD299" s="350"/>
      <c r="AE299" s="350"/>
      <c r="AF299" s="350"/>
      <c r="AG299" s="350"/>
      <c r="AH299" s="351"/>
    </row>
    <row r="300" customFormat="false" ht="13.8" hidden="false" customHeight="false" outlineLevel="0" collapsed="false">
      <c r="A300" s="353" t="n">
        <f aca="false">'Listado CAPS'!A297</f>
        <v>0</v>
      </c>
      <c r="B300" s="353" t="n">
        <f aca="false">'Listado CAPS'!B297</f>
        <v>0</v>
      </c>
      <c r="C300" s="353" t="n">
        <f aca="false">'Listado CAPS'!C297</f>
        <v>0</v>
      </c>
      <c r="D300" s="353" t="str">
        <f aca="false">'Listado CAPS'!D24</f>
        <v>U</v>
      </c>
      <c r="E300" s="299" t="n">
        <v>1</v>
      </c>
      <c r="F300" s="354"/>
      <c r="G300" s="304"/>
      <c r="H300" s="355"/>
      <c r="I300" s="299"/>
      <c r="J300" s="300" t="n">
        <f aca="false">IF(H300&lt;&gt;"OTROS",1,0)*IF(I300=1,1,0)</f>
        <v>0</v>
      </c>
      <c r="K300" s="356"/>
      <c r="L300" s="299"/>
      <c r="M300" s="299"/>
      <c r="N300" s="299"/>
      <c r="O300" s="299"/>
      <c r="P300" s="299"/>
      <c r="Q300" s="299"/>
      <c r="R300" s="299"/>
      <c r="S300" s="299"/>
      <c r="T300" s="299"/>
      <c r="U300" s="299"/>
      <c r="V300" s="299"/>
      <c r="W300" s="299"/>
      <c r="X300" s="299"/>
      <c r="Y300" s="299"/>
      <c r="Z300" s="299"/>
      <c r="AA300" s="299"/>
      <c r="AB300" s="299"/>
      <c r="AC300" s="300"/>
      <c r="AD300" s="302" t="n">
        <f aca="false">IF(SUM(L300:AC300)=0,0,SUM(L300:AC300)/'Conformación JD'!$X$28)</f>
        <v>0</v>
      </c>
      <c r="AE300" s="301" t="n">
        <f aca="false">SUM(L300:AC300)</f>
        <v>0</v>
      </c>
      <c r="AF300" s="301" t="n">
        <f aca="false">+AC300+AA300+Y300+W300+U300+S300+Q300+O300+M300</f>
        <v>0</v>
      </c>
      <c r="AG300" s="357" t="n">
        <f aca="false">IF(AE300=0,0,AF300/AE300)</f>
        <v>0</v>
      </c>
      <c r="AH300" s="299"/>
    </row>
    <row r="301" customFormat="false" ht="13.8" hidden="false" customHeight="false" outlineLevel="0" collapsed="false">
      <c r="A301" s="353"/>
      <c r="B301" s="353"/>
      <c r="C301" s="353"/>
      <c r="D301" s="353"/>
      <c r="E301" s="299" t="n">
        <v>2</v>
      </c>
      <c r="F301" s="354"/>
      <c r="G301" s="304"/>
      <c r="H301" s="355"/>
      <c r="I301" s="299"/>
      <c r="J301" s="300" t="n">
        <f aca="false">IF(H301&lt;&gt;"OTROS",1,0)*IF(I301=1,1,0)</f>
        <v>0</v>
      </c>
      <c r="K301" s="356"/>
      <c r="L301" s="299"/>
      <c r="M301" s="299"/>
      <c r="N301" s="299"/>
      <c r="O301" s="299"/>
      <c r="P301" s="299"/>
      <c r="Q301" s="299"/>
      <c r="R301" s="299"/>
      <c r="S301" s="299"/>
      <c r="T301" s="299"/>
      <c r="U301" s="299"/>
      <c r="V301" s="299"/>
      <c r="W301" s="299"/>
      <c r="X301" s="299"/>
      <c r="Y301" s="299"/>
      <c r="Z301" s="299"/>
      <c r="AA301" s="299"/>
      <c r="AB301" s="299"/>
      <c r="AC301" s="300"/>
      <c r="AD301" s="302" t="n">
        <f aca="false">IF(SUM(L301:AC301)=0,0,SUM(L301:AC301)/'Conformación JD'!$X$28)</f>
        <v>0</v>
      </c>
      <c r="AE301" s="301" t="n">
        <f aca="false">SUM(L301:AC301)</f>
        <v>0</v>
      </c>
      <c r="AF301" s="301" t="n">
        <f aca="false">+AC301+AA301+Y301+W301+U301+S301+Q301+O301+M301</f>
        <v>0</v>
      </c>
      <c r="AG301" s="357" t="n">
        <f aca="false">IF(AE301=0,0,AF301/AE301)</f>
        <v>0</v>
      </c>
      <c r="AH301" s="358"/>
    </row>
    <row r="302" customFormat="false" ht="13.8" hidden="false" customHeight="false" outlineLevel="0" collapsed="false">
      <c r="A302" s="353"/>
      <c r="B302" s="353"/>
      <c r="C302" s="353"/>
      <c r="D302" s="353"/>
      <c r="E302" s="299" t="n">
        <v>3</v>
      </c>
      <c r="F302" s="354"/>
      <c r="G302" s="304"/>
      <c r="H302" s="355"/>
      <c r="I302" s="299"/>
      <c r="J302" s="300" t="n">
        <f aca="false">IF(H302&lt;&gt;"OTROS",1,0)*IF(I302=1,1,0)</f>
        <v>0</v>
      </c>
      <c r="K302" s="356"/>
      <c r="L302" s="299"/>
      <c r="M302" s="299"/>
      <c r="N302" s="299"/>
      <c r="O302" s="299"/>
      <c r="P302" s="299"/>
      <c r="Q302" s="299"/>
      <c r="R302" s="299"/>
      <c r="S302" s="299"/>
      <c r="T302" s="299"/>
      <c r="U302" s="299"/>
      <c r="V302" s="299"/>
      <c r="W302" s="299"/>
      <c r="X302" s="299"/>
      <c r="Y302" s="299"/>
      <c r="Z302" s="299"/>
      <c r="AA302" s="299"/>
      <c r="AB302" s="299"/>
      <c r="AC302" s="300"/>
      <c r="AD302" s="302" t="n">
        <f aca="false">IF(SUM(L302:AC302)=0,0,SUM(L302:AC302)/'Conformación JD'!$X$28)</f>
        <v>0</v>
      </c>
      <c r="AE302" s="301" t="n">
        <f aca="false">SUM(L302:AC302)</f>
        <v>0</v>
      </c>
      <c r="AF302" s="301" t="n">
        <f aca="false">+AC302+AA302+Y302+W302+U302+S302+Q302+O302+M302</f>
        <v>0</v>
      </c>
      <c r="AG302" s="357" t="n">
        <f aca="false">IF(AE302=0,0,AF302/AE302)</f>
        <v>0</v>
      </c>
      <c r="AH302" s="359"/>
    </row>
    <row r="303" customFormat="false" ht="13.8" hidden="false" customHeight="false" outlineLevel="0" collapsed="false">
      <c r="A303" s="353"/>
      <c r="B303" s="353"/>
      <c r="C303" s="353"/>
      <c r="D303" s="353"/>
      <c r="E303" s="299" t="n">
        <v>4</v>
      </c>
      <c r="F303" s="354"/>
      <c r="G303" s="355"/>
      <c r="H303" s="355"/>
      <c r="I303" s="299"/>
      <c r="J303" s="300" t="n">
        <f aca="false">IF(H303&lt;&gt;"OTROS",1,0)*IF(I303=1,1,0)</f>
        <v>0</v>
      </c>
      <c r="K303" s="356"/>
      <c r="L303" s="299"/>
      <c r="M303" s="299"/>
      <c r="N303" s="299"/>
      <c r="O303" s="299"/>
      <c r="P303" s="299"/>
      <c r="Q303" s="299"/>
      <c r="R303" s="299"/>
      <c r="S303" s="299"/>
      <c r="T303" s="299"/>
      <c r="U303" s="299"/>
      <c r="V303" s="299"/>
      <c r="W303" s="299"/>
      <c r="X303" s="299"/>
      <c r="Y303" s="299"/>
      <c r="Z303" s="299"/>
      <c r="AA303" s="299"/>
      <c r="AB303" s="299"/>
      <c r="AC303" s="300"/>
      <c r="AD303" s="302" t="n">
        <f aca="false">IF(SUM(L303:AC303)=0,0,SUM(L303:AC303)/'Conformación JD'!$X$28)</f>
        <v>0</v>
      </c>
      <c r="AE303" s="301" t="n">
        <f aca="false">SUM(L303:AC303)</f>
        <v>0</v>
      </c>
      <c r="AF303" s="301" t="n">
        <f aca="false">+AC303+AA303+Y303+W303+U303+S303+Q303+O303+M303</f>
        <v>0</v>
      </c>
      <c r="AG303" s="357" t="n">
        <f aca="false">IF(AE303=0,0,AF303/AE303)</f>
        <v>0</v>
      </c>
      <c r="AH303" s="358"/>
    </row>
    <row r="304" customFormat="false" ht="13.8" hidden="false" customHeight="false" outlineLevel="0" collapsed="false">
      <c r="A304" s="353"/>
      <c r="B304" s="353"/>
      <c r="C304" s="353"/>
      <c r="D304" s="353"/>
      <c r="E304" s="299" t="n">
        <v>5</v>
      </c>
      <c r="F304" s="354"/>
      <c r="G304" s="355"/>
      <c r="H304" s="355"/>
      <c r="I304" s="299"/>
      <c r="J304" s="300" t="n">
        <f aca="false">IF(H304&lt;&gt;"OTROS",1,0)*IF(I304=1,1,0)</f>
        <v>0</v>
      </c>
      <c r="K304" s="356"/>
      <c r="L304" s="299"/>
      <c r="M304" s="299"/>
      <c r="N304" s="299"/>
      <c r="O304" s="299"/>
      <c r="P304" s="299"/>
      <c r="Q304" s="299"/>
      <c r="R304" s="299"/>
      <c r="S304" s="299"/>
      <c r="T304" s="299"/>
      <c r="U304" s="299"/>
      <c r="V304" s="299"/>
      <c r="W304" s="299"/>
      <c r="X304" s="299"/>
      <c r="Y304" s="299"/>
      <c r="Z304" s="299"/>
      <c r="AA304" s="299"/>
      <c r="AB304" s="299"/>
      <c r="AC304" s="300"/>
      <c r="AD304" s="302" t="n">
        <f aca="false">IF(SUM(L304:AC304)=0,0,SUM(L304:AC304)/'Conformación JD'!$X$28)</f>
        <v>0</v>
      </c>
      <c r="AE304" s="301" t="n">
        <f aca="false">SUM(L304:AC304)</f>
        <v>0</v>
      </c>
      <c r="AF304" s="301" t="n">
        <f aca="false">+AC304+AA304+Y304+W304+U304+S304+Q304+O304+M304</f>
        <v>0</v>
      </c>
      <c r="AG304" s="357" t="n">
        <f aca="false">IF(AE304=0,0,AF304/AE304)</f>
        <v>0</v>
      </c>
      <c r="AH304" s="358"/>
    </row>
    <row r="305" customFormat="false" ht="13.8" hidden="false" customHeight="false" outlineLevel="0" collapsed="false">
      <c r="A305" s="353"/>
      <c r="B305" s="353"/>
      <c r="C305" s="353"/>
      <c r="D305" s="353"/>
      <c r="E305" s="299" t="n">
        <v>6</v>
      </c>
      <c r="F305" s="354"/>
      <c r="G305" s="355"/>
      <c r="H305" s="355"/>
      <c r="I305" s="299"/>
      <c r="J305" s="300" t="n">
        <f aca="false">IF(H305&lt;&gt;"OTROS",1,0)*IF(I305=1,1,0)</f>
        <v>0</v>
      </c>
      <c r="K305" s="356"/>
      <c r="L305" s="299"/>
      <c r="M305" s="299"/>
      <c r="N305" s="299"/>
      <c r="O305" s="299"/>
      <c r="P305" s="299"/>
      <c r="Q305" s="299"/>
      <c r="R305" s="299"/>
      <c r="S305" s="299"/>
      <c r="T305" s="299"/>
      <c r="U305" s="299"/>
      <c r="V305" s="299"/>
      <c r="W305" s="299"/>
      <c r="X305" s="299"/>
      <c r="Y305" s="299"/>
      <c r="Z305" s="299"/>
      <c r="AA305" s="299"/>
      <c r="AB305" s="299"/>
      <c r="AC305" s="300"/>
      <c r="AD305" s="302" t="n">
        <f aca="false">IF(SUM(L305:AC305)=0,0,SUM(L305:AC305)/'Conformación JD'!$X$28)</f>
        <v>0</v>
      </c>
      <c r="AE305" s="301" t="n">
        <f aca="false">SUM(L305:AC305)</f>
        <v>0</v>
      </c>
      <c r="AF305" s="301" t="n">
        <f aca="false">+AC305+AA305+Y305+W305+U305+S305+Q305+O305+M305</f>
        <v>0</v>
      </c>
      <c r="AG305" s="357" t="n">
        <f aca="false">IF(AE305=0,0,AF305/AE305)</f>
        <v>0</v>
      </c>
      <c r="AH305" s="358"/>
    </row>
    <row r="306" customFormat="false" ht="13.8" hidden="false" customHeight="false" outlineLevel="0" collapsed="false">
      <c r="A306" s="353"/>
      <c r="B306" s="353"/>
      <c r="C306" s="353"/>
      <c r="D306" s="353"/>
      <c r="E306" s="299" t="n">
        <v>7</v>
      </c>
      <c r="F306" s="354"/>
      <c r="G306" s="355"/>
      <c r="H306" s="355"/>
      <c r="I306" s="299"/>
      <c r="J306" s="300" t="n">
        <f aca="false">IF(H306&lt;&gt;"OTROS",1,0)*IF(I306=1,1,0)</f>
        <v>0</v>
      </c>
      <c r="K306" s="356"/>
      <c r="L306" s="299"/>
      <c r="M306" s="299"/>
      <c r="N306" s="299"/>
      <c r="O306" s="299"/>
      <c r="P306" s="299"/>
      <c r="Q306" s="299"/>
      <c r="R306" s="299"/>
      <c r="S306" s="299"/>
      <c r="T306" s="299"/>
      <c r="U306" s="299"/>
      <c r="V306" s="299"/>
      <c r="W306" s="299"/>
      <c r="X306" s="299"/>
      <c r="Y306" s="299"/>
      <c r="Z306" s="299"/>
      <c r="AA306" s="299"/>
      <c r="AB306" s="299"/>
      <c r="AC306" s="300"/>
      <c r="AD306" s="302" t="n">
        <f aca="false">IF(SUM(L306:AC306)=0,0,SUM(L306:AC306)/'Conformación JD'!$X$28)</f>
        <v>0</v>
      </c>
      <c r="AE306" s="301" t="n">
        <f aca="false">SUM(L306:AC306)</f>
        <v>0</v>
      </c>
      <c r="AF306" s="301" t="n">
        <f aca="false">+AC306+AA306+Y306+W306+U306+S306+Q306+O306+M306</f>
        <v>0</v>
      </c>
      <c r="AG306" s="357" t="n">
        <f aca="false">IF(AE306=0,0,AF306/AE306)</f>
        <v>0</v>
      </c>
      <c r="AH306" s="358"/>
    </row>
    <row r="307" customFormat="false" ht="13.8" hidden="false" customHeight="false" outlineLevel="0" collapsed="false">
      <c r="A307" s="353"/>
      <c r="B307" s="353"/>
      <c r="C307" s="353"/>
      <c r="D307" s="353"/>
      <c r="E307" s="299" t="n">
        <v>8</v>
      </c>
      <c r="F307" s="354"/>
      <c r="G307" s="355"/>
      <c r="H307" s="355"/>
      <c r="I307" s="299"/>
      <c r="J307" s="300" t="n">
        <f aca="false">IF(H307&lt;&gt;"OTROS",1,0)*IF(I307=1,1,0)</f>
        <v>0</v>
      </c>
      <c r="K307" s="356"/>
      <c r="L307" s="299"/>
      <c r="M307" s="299"/>
      <c r="N307" s="299"/>
      <c r="O307" s="299"/>
      <c r="P307" s="299"/>
      <c r="Q307" s="299"/>
      <c r="R307" s="299"/>
      <c r="S307" s="299"/>
      <c r="T307" s="299"/>
      <c r="U307" s="299"/>
      <c r="V307" s="299"/>
      <c r="W307" s="299"/>
      <c r="X307" s="299"/>
      <c r="Y307" s="299"/>
      <c r="Z307" s="299"/>
      <c r="AA307" s="299"/>
      <c r="AB307" s="299"/>
      <c r="AC307" s="300"/>
      <c r="AD307" s="302" t="n">
        <f aca="false">IF(SUM(L307:AC307)=0,0,SUM(L307:AC307)/'Conformación JD'!$X$28)</f>
        <v>0</v>
      </c>
      <c r="AE307" s="301" t="n">
        <f aca="false">SUM(L307:AC307)</f>
        <v>0</v>
      </c>
      <c r="AF307" s="301" t="n">
        <f aca="false">+AC307+AA307+Y307+W307+U307+S307+Q307+O307+M307</f>
        <v>0</v>
      </c>
      <c r="AG307" s="357" t="n">
        <f aca="false">IF(AE307=0,0,AF307/AE307)</f>
        <v>0</v>
      </c>
      <c r="AH307" s="358"/>
    </row>
    <row r="308" customFormat="false" ht="13.8" hidden="false" customHeight="false" outlineLevel="0" collapsed="false">
      <c r="A308" s="353"/>
      <c r="B308" s="353"/>
      <c r="C308" s="353"/>
      <c r="D308" s="353"/>
      <c r="E308" s="299" t="n">
        <v>9</v>
      </c>
      <c r="F308" s="354"/>
      <c r="G308" s="355"/>
      <c r="H308" s="355"/>
      <c r="I308" s="299"/>
      <c r="J308" s="300" t="n">
        <f aca="false">IF(H308&lt;&gt;"OTROS",1,0)*IF(I308=1,1,0)</f>
        <v>0</v>
      </c>
      <c r="K308" s="356"/>
      <c r="L308" s="299"/>
      <c r="M308" s="299"/>
      <c r="N308" s="299"/>
      <c r="O308" s="299"/>
      <c r="P308" s="299"/>
      <c r="Q308" s="299"/>
      <c r="R308" s="299"/>
      <c r="S308" s="299"/>
      <c r="T308" s="299"/>
      <c r="U308" s="299"/>
      <c r="V308" s="299"/>
      <c r="W308" s="299"/>
      <c r="X308" s="299"/>
      <c r="Y308" s="299"/>
      <c r="Z308" s="299"/>
      <c r="AA308" s="299"/>
      <c r="AB308" s="299"/>
      <c r="AC308" s="300"/>
      <c r="AD308" s="302" t="n">
        <f aca="false">IF(SUM(L308:AC308)=0,0,SUM(L308:AC308)/'Conformación JD'!$X$28)</f>
        <v>0</v>
      </c>
      <c r="AE308" s="301" t="n">
        <f aca="false">SUM(L308:AC308)</f>
        <v>0</v>
      </c>
      <c r="AF308" s="301" t="n">
        <f aca="false">+AC308+AA308+Y308+W308+U308+S308+Q308+O308+M308</f>
        <v>0</v>
      </c>
      <c r="AG308" s="357" t="n">
        <f aca="false">IF(AE308=0,0,AF308/AE308)</f>
        <v>0</v>
      </c>
      <c r="AH308" s="358"/>
    </row>
    <row r="309" customFormat="false" ht="13.8" hidden="false" customHeight="false" outlineLevel="0" collapsed="false">
      <c r="A309" s="353"/>
      <c r="B309" s="353"/>
      <c r="C309" s="353"/>
      <c r="D309" s="353"/>
      <c r="E309" s="360" t="n">
        <v>10</v>
      </c>
      <c r="F309" s="361"/>
      <c r="G309" s="362"/>
      <c r="H309" s="362"/>
      <c r="I309" s="360"/>
      <c r="J309" s="300" t="n">
        <f aca="false">IF(H309&lt;&gt;"OTROS",1,0)*IF(I309=1,1,0)</f>
        <v>0</v>
      </c>
      <c r="K309" s="356"/>
      <c r="L309" s="360"/>
      <c r="M309" s="360"/>
      <c r="N309" s="360"/>
      <c r="O309" s="360"/>
      <c r="P309" s="360"/>
      <c r="Q309" s="360"/>
      <c r="R309" s="360"/>
      <c r="S309" s="360"/>
      <c r="T309" s="360"/>
      <c r="U309" s="360"/>
      <c r="V309" s="360"/>
      <c r="W309" s="360"/>
      <c r="X309" s="360"/>
      <c r="Y309" s="360"/>
      <c r="Z309" s="360"/>
      <c r="AA309" s="360"/>
      <c r="AB309" s="360"/>
      <c r="AC309" s="363"/>
      <c r="AD309" s="302" t="n">
        <f aca="false">IF(SUM(L309:AC309)=0,0,SUM(L309:AC309)/'Conformación JD'!$X$28)</f>
        <v>0</v>
      </c>
      <c r="AE309" s="301" t="n">
        <f aca="false">SUM(L309:AC309)</f>
        <v>0</v>
      </c>
      <c r="AF309" s="301" t="n">
        <f aca="false">+AC309+AA309+Y309+W309+U309+S309+Q309+O309+M309</f>
        <v>0</v>
      </c>
      <c r="AG309" s="357" t="n">
        <f aca="false">IF(AE309=0,0,AF309/AE309)</f>
        <v>0</v>
      </c>
      <c r="AH309" s="358"/>
    </row>
    <row r="310" customFormat="false" ht="13.8" hidden="false" customHeight="true" outlineLevel="0" collapsed="false">
      <c r="A310" s="305"/>
      <c r="B310" s="305"/>
      <c r="C310" s="305"/>
      <c r="D310" s="305"/>
      <c r="E310" s="364" t="s">
        <v>366</v>
      </c>
      <c r="F310" s="364"/>
      <c r="G310" s="364"/>
      <c r="H310" s="364"/>
      <c r="I310" s="365" t="n">
        <f aca="false">IF((COUNTIF(G300:G309,"&lt;&gt;"))&lt;&gt;0,SUM(I300:I309)/COUNTIF(G300:G309,"&lt;&gt;"),0)</f>
        <v>0</v>
      </c>
      <c r="J310" s="366" t="n">
        <f aca="false">IF((COUNTIF(H300:H309,"&lt;&gt;"))&lt;&gt;0,SUM(J300:J309)/COUNTIF(H300:H309,"&lt;&gt;"),0)</f>
        <v>0</v>
      </c>
      <c r="K310" s="310" t="n">
        <f aca="false">IF((COUNTIF(H300:H309,"&lt;&gt;"))&lt;&gt;0,SUM(K300:K309)/COUNTIF(H300:H309,"&lt;&gt;"),0)</f>
        <v>0</v>
      </c>
      <c r="L310" s="307" t="n">
        <f aca="false">SUM(L300:L309)</f>
        <v>0</v>
      </c>
      <c r="M310" s="307" t="n">
        <f aca="false">SUM(M300:M309)</f>
        <v>0</v>
      </c>
      <c r="N310" s="307" t="n">
        <f aca="false">SUM(N300:N309)</f>
        <v>0</v>
      </c>
      <c r="O310" s="307" t="n">
        <f aca="false">SUM(O300:O309)</f>
        <v>0</v>
      </c>
      <c r="P310" s="307" t="n">
        <f aca="false">SUM(P300:P309)</f>
        <v>0</v>
      </c>
      <c r="Q310" s="307" t="n">
        <f aca="false">SUM(Q300:Q309)</f>
        <v>0</v>
      </c>
      <c r="R310" s="307" t="n">
        <f aca="false">SUM(R300:R309)</f>
        <v>0</v>
      </c>
      <c r="S310" s="307" t="n">
        <f aca="false">SUM(S300:S309)</f>
        <v>0</v>
      </c>
      <c r="T310" s="307" t="n">
        <f aca="false">SUM(T300:T309)</f>
        <v>0</v>
      </c>
      <c r="U310" s="307" t="n">
        <f aca="false">SUM(U300:U309)</f>
        <v>0</v>
      </c>
      <c r="V310" s="307" t="n">
        <f aca="false">SUM(V300:V309)</f>
        <v>0</v>
      </c>
      <c r="W310" s="307" t="n">
        <f aca="false">SUM(W300:W309)</f>
        <v>0</v>
      </c>
      <c r="X310" s="307" t="n">
        <f aca="false">SUM(X300:X309)</f>
        <v>0</v>
      </c>
      <c r="Y310" s="307" t="n">
        <f aca="false">SUM(Y300:Y309)</f>
        <v>0</v>
      </c>
      <c r="Z310" s="307" t="n">
        <f aca="false">SUM(Z300:Z309)</f>
        <v>0</v>
      </c>
      <c r="AA310" s="307" t="n">
        <f aca="false">SUM(AA300:AA309)</f>
        <v>0</v>
      </c>
      <c r="AB310" s="307" t="n">
        <f aca="false">SUM(AB300:AB309)</f>
        <v>0</v>
      </c>
      <c r="AC310" s="307" t="n">
        <f aca="false">SUM(AC300:AC309)</f>
        <v>0</v>
      </c>
      <c r="AD310" s="310" t="n">
        <f aca="false">IF(SUM(AD300:AD309)=0,0,SUM(AD300:AD309)/COUNTIF(AD300:AD309,"&lt;&gt;0"))</f>
        <v>0</v>
      </c>
      <c r="AE310" s="365" t="n">
        <f aca="false">IF(SUM(AE300:AE309)=0,0,SUM(AE300:AE309)/COUNTIF(AE300:AE309,"&lt;&gt;0"))</f>
        <v>0</v>
      </c>
      <c r="AF310" s="365" t="n">
        <f aca="false">IF(SUM(AF300:AF309)=0,0,SUM(AF300:AF309)/COUNTIF(AF300:AF309,"&lt;&gt;0"))</f>
        <v>0</v>
      </c>
      <c r="AG310" s="310" t="n">
        <f aca="false">IF(SUM(AG300:AG309)=0,0,SUM(AG300:AG309)/COUNTIF(AD300:AD309,"&lt;&gt;0"))</f>
        <v>0</v>
      </c>
      <c r="AH310" s="367"/>
    </row>
    <row r="311" customFormat="false" ht="12.75" hidden="false" customHeight="true" outlineLevel="0" collapsed="false">
      <c r="A311" s="287" t="s">
        <v>315</v>
      </c>
      <c r="B311" s="287" t="s">
        <v>316</v>
      </c>
      <c r="C311" s="287" t="s">
        <v>317</v>
      </c>
      <c r="D311" s="288" t="s">
        <v>318</v>
      </c>
      <c r="E311" s="344" t="s">
        <v>349</v>
      </c>
      <c r="F311" s="345" t="s">
        <v>350</v>
      </c>
      <c r="G311" s="346" t="s">
        <v>351</v>
      </c>
      <c r="H311" s="347" t="s">
        <v>352</v>
      </c>
      <c r="I311" s="348" t="s">
        <v>353</v>
      </c>
      <c r="J311" s="348" t="s">
        <v>354</v>
      </c>
      <c r="K311" s="347" t="s">
        <v>355</v>
      </c>
      <c r="L311" s="346" t="s">
        <v>320</v>
      </c>
      <c r="M311" s="346"/>
      <c r="N311" s="346"/>
      <c r="O311" s="346"/>
      <c r="P311" s="346"/>
      <c r="Q311" s="346"/>
      <c r="R311" s="346"/>
      <c r="S311" s="346"/>
      <c r="T311" s="346"/>
      <c r="U311" s="346"/>
      <c r="V311" s="346"/>
      <c r="W311" s="346"/>
      <c r="X311" s="346"/>
      <c r="Y311" s="346"/>
      <c r="Z311" s="346"/>
      <c r="AA311" s="346"/>
      <c r="AB311" s="346"/>
      <c r="AC311" s="346"/>
      <c r="AD311" s="349"/>
      <c r="AE311" s="349"/>
      <c r="AF311" s="349"/>
      <c r="AG311" s="349"/>
      <c r="AH311" s="184"/>
    </row>
    <row r="312" customFormat="false" ht="12.75" hidden="false" customHeight="true" outlineLevel="0" collapsed="false">
      <c r="A312" s="287"/>
      <c r="B312" s="287"/>
      <c r="C312" s="287"/>
      <c r="D312" s="288"/>
      <c r="E312" s="344"/>
      <c r="F312" s="345"/>
      <c r="G312" s="346"/>
      <c r="H312" s="347"/>
      <c r="I312" s="348"/>
      <c r="J312" s="348"/>
      <c r="K312" s="347"/>
      <c r="L312" s="293" t="s">
        <v>321</v>
      </c>
      <c r="M312" s="293"/>
      <c r="N312" s="293" t="s">
        <v>356</v>
      </c>
      <c r="O312" s="293"/>
      <c r="P312" s="293" t="s">
        <v>357</v>
      </c>
      <c r="Q312" s="293"/>
      <c r="R312" s="293" t="s">
        <v>324</v>
      </c>
      <c r="S312" s="293"/>
      <c r="T312" s="293" t="s">
        <v>325</v>
      </c>
      <c r="U312" s="293"/>
      <c r="V312" s="293" t="s">
        <v>326</v>
      </c>
      <c r="W312" s="293"/>
      <c r="X312" s="293" t="s">
        <v>327</v>
      </c>
      <c r="Y312" s="293"/>
      <c r="Z312" s="293" t="s">
        <v>328</v>
      </c>
      <c r="AA312" s="293"/>
      <c r="AB312" s="293" t="s">
        <v>329</v>
      </c>
      <c r="AC312" s="293"/>
      <c r="AD312" s="350" t="s">
        <v>358</v>
      </c>
      <c r="AE312" s="350" t="s">
        <v>359</v>
      </c>
      <c r="AF312" s="350" t="s">
        <v>360</v>
      </c>
      <c r="AG312" s="350" t="s">
        <v>361</v>
      </c>
      <c r="AH312" s="351" t="s">
        <v>362</v>
      </c>
    </row>
    <row r="313" customFormat="false" ht="37.5" hidden="false" customHeight="true" outlineLevel="0" collapsed="false">
      <c r="A313" s="287"/>
      <c r="B313" s="287"/>
      <c r="C313" s="287"/>
      <c r="D313" s="288"/>
      <c r="E313" s="344"/>
      <c r="F313" s="345"/>
      <c r="G313" s="346"/>
      <c r="H313" s="347"/>
      <c r="I313" s="348"/>
      <c r="J313" s="348"/>
      <c r="K313" s="347"/>
      <c r="L313" s="295" t="s">
        <v>68</v>
      </c>
      <c r="M313" s="295" t="s">
        <v>298</v>
      </c>
      <c r="N313" s="295" t="s">
        <v>68</v>
      </c>
      <c r="O313" s="295" t="s">
        <v>298</v>
      </c>
      <c r="P313" s="295" t="s">
        <v>68</v>
      </c>
      <c r="Q313" s="295" t="s">
        <v>298</v>
      </c>
      <c r="R313" s="295" t="s">
        <v>68</v>
      </c>
      <c r="S313" s="295" t="s">
        <v>298</v>
      </c>
      <c r="T313" s="295" t="s">
        <v>68</v>
      </c>
      <c r="U313" s="295" t="s">
        <v>298</v>
      </c>
      <c r="V313" s="295" t="s">
        <v>68</v>
      </c>
      <c r="W313" s="295" t="s">
        <v>298</v>
      </c>
      <c r="X313" s="295" t="s">
        <v>68</v>
      </c>
      <c r="Y313" s="295" t="s">
        <v>298</v>
      </c>
      <c r="Z313" s="295" t="s">
        <v>68</v>
      </c>
      <c r="AA313" s="295" t="s">
        <v>298</v>
      </c>
      <c r="AB313" s="295" t="s">
        <v>68</v>
      </c>
      <c r="AC313" s="296" t="s">
        <v>298</v>
      </c>
      <c r="AD313" s="350"/>
      <c r="AE313" s="350"/>
      <c r="AF313" s="350"/>
      <c r="AG313" s="350"/>
      <c r="AH313" s="351"/>
    </row>
    <row r="314" customFormat="false" ht="13.8" hidden="false" customHeight="false" outlineLevel="0" collapsed="false">
      <c r="A314" s="353" t="n">
        <f aca="false">'Listado CAPS'!A311</f>
        <v>0</v>
      </c>
      <c r="B314" s="353" t="n">
        <f aca="false">'Listado CAPS'!B311</f>
        <v>0</v>
      </c>
      <c r="C314" s="353" t="n">
        <f aca="false">'Listado CAPS'!C311</f>
        <v>0</v>
      </c>
      <c r="D314" s="353" t="str">
        <f aca="false">'Listado CAPS'!D25</f>
        <v>V</v>
      </c>
      <c r="E314" s="299" t="n">
        <v>1</v>
      </c>
      <c r="F314" s="354"/>
      <c r="G314" s="304"/>
      <c r="H314" s="355"/>
      <c r="I314" s="299"/>
      <c r="J314" s="300" t="n">
        <f aca="false">IF(H314&lt;&gt;"OTROS",1,0)*IF(I314=1,1,0)</f>
        <v>0</v>
      </c>
      <c r="K314" s="356"/>
      <c r="L314" s="299"/>
      <c r="M314" s="299"/>
      <c r="N314" s="299"/>
      <c r="O314" s="299"/>
      <c r="P314" s="299"/>
      <c r="Q314" s="299"/>
      <c r="R314" s="299"/>
      <c r="S314" s="299"/>
      <c r="T314" s="299"/>
      <c r="U314" s="299"/>
      <c r="V314" s="299"/>
      <c r="W314" s="299"/>
      <c r="X314" s="299"/>
      <c r="Y314" s="299"/>
      <c r="Z314" s="299"/>
      <c r="AA314" s="299"/>
      <c r="AB314" s="299"/>
      <c r="AC314" s="300"/>
      <c r="AD314" s="302" t="n">
        <f aca="false">IF(SUM(L314:AC314)=0,0,SUM(L314:AC314)/'Conformación JD'!$X$29)</f>
        <v>0</v>
      </c>
      <c r="AE314" s="301" t="n">
        <f aca="false">SUM(L314:AC314)</f>
        <v>0</v>
      </c>
      <c r="AF314" s="301" t="n">
        <f aca="false">+AC314+AA314+Y314+W314+U314+S314+Q314+O314+M314</f>
        <v>0</v>
      </c>
      <c r="AG314" s="357" t="n">
        <f aca="false">IF(AE314=0,0,AF314/AE314)</f>
        <v>0</v>
      </c>
      <c r="AH314" s="299"/>
    </row>
    <row r="315" customFormat="false" ht="13.8" hidden="false" customHeight="false" outlineLevel="0" collapsed="false">
      <c r="A315" s="353"/>
      <c r="B315" s="353"/>
      <c r="C315" s="353"/>
      <c r="D315" s="353"/>
      <c r="E315" s="299" t="n">
        <v>2</v>
      </c>
      <c r="F315" s="354"/>
      <c r="G315" s="304"/>
      <c r="H315" s="355"/>
      <c r="I315" s="299"/>
      <c r="J315" s="300" t="n">
        <f aca="false">IF(H315&lt;&gt;"OTROS",1,0)*IF(I315=1,1,0)</f>
        <v>0</v>
      </c>
      <c r="K315" s="356"/>
      <c r="L315" s="299"/>
      <c r="M315" s="299"/>
      <c r="N315" s="299"/>
      <c r="O315" s="299"/>
      <c r="P315" s="299"/>
      <c r="Q315" s="299"/>
      <c r="R315" s="299"/>
      <c r="S315" s="299"/>
      <c r="T315" s="299"/>
      <c r="U315" s="299"/>
      <c r="V315" s="299"/>
      <c r="W315" s="299"/>
      <c r="X315" s="299"/>
      <c r="Y315" s="299"/>
      <c r="Z315" s="299"/>
      <c r="AA315" s="299"/>
      <c r="AB315" s="299"/>
      <c r="AC315" s="300"/>
      <c r="AD315" s="302" t="n">
        <f aca="false">IF(SUM(L315:AC315)=0,0,SUM(L315:AC315)/'Conformación JD'!$X$29)</f>
        <v>0</v>
      </c>
      <c r="AE315" s="301" t="n">
        <f aca="false">SUM(L315:AC315)</f>
        <v>0</v>
      </c>
      <c r="AF315" s="301" t="n">
        <f aca="false">+AC315+AA315+Y315+W315+U315+S315+Q315+O315+M315</f>
        <v>0</v>
      </c>
      <c r="AG315" s="357" t="n">
        <f aca="false">IF(AE315=0,0,AF315/AE315)</f>
        <v>0</v>
      </c>
      <c r="AH315" s="358"/>
    </row>
    <row r="316" customFormat="false" ht="13.8" hidden="false" customHeight="false" outlineLevel="0" collapsed="false">
      <c r="A316" s="353"/>
      <c r="B316" s="353"/>
      <c r="C316" s="353"/>
      <c r="D316" s="353"/>
      <c r="E316" s="299" t="n">
        <v>3</v>
      </c>
      <c r="F316" s="354"/>
      <c r="G316" s="304"/>
      <c r="H316" s="355"/>
      <c r="I316" s="299"/>
      <c r="J316" s="300" t="n">
        <f aca="false">IF(H316&lt;&gt;"OTROS",1,0)*IF(I316=1,1,0)</f>
        <v>0</v>
      </c>
      <c r="K316" s="356"/>
      <c r="L316" s="299"/>
      <c r="M316" s="299"/>
      <c r="N316" s="299"/>
      <c r="O316" s="299"/>
      <c r="P316" s="299"/>
      <c r="Q316" s="299"/>
      <c r="R316" s="299"/>
      <c r="S316" s="299"/>
      <c r="T316" s="299"/>
      <c r="U316" s="299"/>
      <c r="V316" s="299"/>
      <c r="W316" s="299"/>
      <c r="X316" s="299"/>
      <c r="Y316" s="299"/>
      <c r="Z316" s="299"/>
      <c r="AA316" s="299"/>
      <c r="AB316" s="299"/>
      <c r="AC316" s="300"/>
      <c r="AD316" s="302" t="n">
        <f aca="false">IF(SUM(L316:AC316)=0,0,SUM(L316:AC316)/'Conformación JD'!$X$29)</f>
        <v>0</v>
      </c>
      <c r="AE316" s="301" t="n">
        <f aca="false">SUM(L316:AC316)</f>
        <v>0</v>
      </c>
      <c r="AF316" s="301" t="n">
        <f aca="false">+AC316+AA316+Y316+W316+U316+S316+Q316+O316+M316</f>
        <v>0</v>
      </c>
      <c r="AG316" s="357" t="n">
        <f aca="false">IF(AE316=0,0,AF316/AE316)</f>
        <v>0</v>
      </c>
      <c r="AH316" s="359"/>
    </row>
    <row r="317" customFormat="false" ht="13.8" hidden="false" customHeight="false" outlineLevel="0" collapsed="false">
      <c r="A317" s="353"/>
      <c r="B317" s="353"/>
      <c r="C317" s="353"/>
      <c r="D317" s="353"/>
      <c r="E317" s="299" t="n">
        <v>4</v>
      </c>
      <c r="F317" s="354"/>
      <c r="G317" s="355"/>
      <c r="H317" s="355"/>
      <c r="I317" s="299"/>
      <c r="J317" s="300" t="n">
        <f aca="false">IF(H317&lt;&gt;"OTROS",1,0)*IF(I317=1,1,0)</f>
        <v>0</v>
      </c>
      <c r="K317" s="356"/>
      <c r="L317" s="299"/>
      <c r="M317" s="299"/>
      <c r="N317" s="299"/>
      <c r="O317" s="299"/>
      <c r="P317" s="299"/>
      <c r="Q317" s="299"/>
      <c r="R317" s="299"/>
      <c r="S317" s="299"/>
      <c r="T317" s="299"/>
      <c r="U317" s="299"/>
      <c r="V317" s="299"/>
      <c r="W317" s="299"/>
      <c r="X317" s="299"/>
      <c r="Y317" s="299"/>
      <c r="Z317" s="299"/>
      <c r="AA317" s="299"/>
      <c r="AB317" s="299"/>
      <c r="AC317" s="300"/>
      <c r="AD317" s="302" t="n">
        <f aca="false">IF(SUM(L317:AC317)=0,0,SUM(L317:AC317)/'Conformación JD'!$X$29)</f>
        <v>0</v>
      </c>
      <c r="AE317" s="301" t="n">
        <f aca="false">SUM(L317:AC317)</f>
        <v>0</v>
      </c>
      <c r="AF317" s="301" t="n">
        <f aca="false">+AC317+AA317+Y317+W317+U317+S317+Q317+O317+M317</f>
        <v>0</v>
      </c>
      <c r="AG317" s="357" t="n">
        <f aca="false">IF(AE317=0,0,AF317/AE317)</f>
        <v>0</v>
      </c>
      <c r="AH317" s="358"/>
    </row>
    <row r="318" customFormat="false" ht="13.8" hidden="false" customHeight="false" outlineLevel="0" collapsed="false">
      <c r="A318" s="353"/>
      <c r="B318" s="353"/>
      <c r="C318" s="353"/>
      <c r="D318" s="353"/>
      <c r="E318" s="299" t="n">
        <v>5</v>
      </c>
      <c r="F318" s="354"/>
      <c r="G318" s="355"/>
      <c r="H318" s="355"/>
      <c r="I318" s="299"/>
      <c r="J318" s="300" t="n">
        <f aca="false">IF(H318&lt;&gt;"OTROS",1,0)*IF(I318=1,1,0)</f>
        <v>0</v>
      </c>
      <c r="K318" s="356"/>
      <c r="L318" s="299"/>
      <c r="M318" s="299"/>
      <c r="N318" s="299"/>
      <c r="O318" s="299"/>
      <c r="P318" s="299"/>
      <c r="Q318" s="299"/>
      <c r="R318" s="299"/>
      <c r="S318" s="299"/>
      <c r="T318" s="299"/>
      <c r="U318" s="299"/>
      <c r="V318" s="299"/>
      <c r="W318" s="299"/>
      <c r="X318" s="299"/>
      <c r="Y318" s="299"/>
      <c r="Z318" s="299"/>
      <c r="AA318" s="299"/>
      <c r="AB318" s="299"/>
      <c r="AC318" s="300"/>
      <c r="AD318" s="302" t="n">
        <f aca="false">IF(SUM(L318:AC318)=0,0,SUM(L318:AC318)/'Conformación JD'!$X$29)</f>
        <v>0</v>
      </c>
      <c r="AE318" s="301" t="n">
        <f aca="false">SUM(L318:AC318)</f>
        <v>0</v>
      </c>
      <c r="AF318" s="301" t="n">
        <f aca="false">+AC318+AA318+Y318+W318+U318+S318+Q318+O318+M318</f>
        <v>0</v>
      </c>
      <c r="AG318" s="357" t="n">
        <f aca="false">IF(AE318=0,0,AF318/AE318)</f>
        <v>0</v>
      </c>
      <c r="AH318" s="358"/>
    </row>
    <row r="319" customFormat="false" ht="13.8" hidden="false" customHeight="false" outlineLevel="0" collapsed="false">
      <c r="A319" s="353"/>
      <c r="B319" s="353"/>
      <c r="C319" s="353"/>
      <c r="D319" s="353"/>
      <c r="E319" s="299" t="n">
        <v>6</v>
      </c>
      <c r="F319" s="354"/>
      <c r="G319" s="355"/>
      <c r="H319" s="355"/>
      <c r="I319" s="299"/>
      <c r="J319" s="300" t="n">
        <f aca="false">IF(H319&lt;&gt;"OTROS",1,0)*IF(I319=1,1,0)</f>
        <v>0</v>
      </c>
      <c r="K319" s="356"/>
      <c r="L319" s="299"/>
      <c r="M319" s="299"/>
      <c r="N319" s="299"/>
      <c r="O319" s="299"/>
      <c r="P319" s="299"/>
      <c r="Q319" s="299"/>
      <c r="R319" s="299"/>
      <c r="S319" s="299"/>
      <c r="T319" s="299"/>
      <c r="U319" s="299"/>
      <c r="V319" s="299"/>
      <c r="W319" s="299"/>
      <c r="X319" s="299"/>
      <c r="Y319" s="299"/>
      <c r="Z319" s="299"/>
      <c r="AA319" s="299"/>
      <c r="AB319" s="299"/>
      <c r="AC319" s="300"/>
      <c r="AD319" s="302" t="n">
        <f aca="false">IF(SUM(L319:AC319)=0,0,SUM(L319:AC319)/'Conformación JD'!$X$29)</f>
        <v>0</v>
      </c>
      <c r="AE319" s="301" t="n">
        <f aca="false">SUM(L319:AC319)</f>
        <v>0</v>
      </c>
      <c r="AF319" s="301" t="n">
        <f aca="false">+AC319+AA319+Y319+W319+U319+S319+Q319+O319+M319</f>
        <v>0</v>
      </c>
      <c r="AG319" s="357" t="n">
        <f aca="false">IF(AE319=0,0,AF319/AE319)</f>
        <v>0</v>
      </c>
      <c r="AH319" s="358"/>
    </row>
    <row r="320" customFormat="false" ht="13.8" hidden="false" customHeight="false" outlineLevel="0" collapsed="false">
      <c r="A320" s="353"/>
      <c r="B320" s="353"/>
      <c r="C320" s="353"/>
      <c r="D320" s="353"/>
      <c r="E320" s="299" t="n">
        <v>7</v>
      </c>
      <c r="F320" s="354"/>
      <c r="G320" s="355"/>
      <c r="H320" s="355"/>
      <c r="I320" s="299"/>
      <c r="J320" s="300" t="n">
        <f aca="false">IF(H320&lt;&gt;"OTROS",1,0)*IF(I320=1,1,0)</f>
        <v>0</v>
      </c>
      <c r="K320" s="356"/>
      <c r="L320" s="299"/>
      <c r="M320" s="299"/>
      <c r="N320" s="299"/>
      <c r="O320" s="299"/>
      <c r="P320" s="299"/>
      <c r="Q320" s="299"/>
      <c r="R320" s="299"/>
      <c r="S320" s="299"/>
      <c r="T320" s="299"/>
      <c r="U320" s="299"/>
      <c r="V320" s="299"/>
      <c r="W320" s="299"/>
      <c r="X320" s="299"/>
      <c r="Y320" s="299"/>
      <c r="Z320" s="299"/>
      <c r="AA320" s="299"/>
      <c r="AB320" s="299"/>
      <c r="AC320" s="300"/>
      <c r="AD320" s="302" t="n">
        <f aca="false">IF(SUM(L320:AC320)=0,0,SUM(L320:AC320)/'Conformación JD'!$X$29)</f>
        <v>0</v>
      </c>
      <c r="AE320" s="301" t="n">
        <f aca="false">SUM(L320:AC320)</f>
        <v>0</v>
      </c>
      <c r="AF320" s="301" t="n">
        <f aca="false">+AC320+AA320+Y320+W320+U320+S320+Q320+O320+M320</f>
        <v>0</v>
      </c>
      <c r="AG320" s="357" t="n">
        <f aca="false">IF(AE320=0,0,AF320/AE320)</f>
        <v>0</v>
      </c>
      <c r="AH320" s="358"/>
    </row>
    <row r="321" customFormat="false" ht="13.8" hidden="false" customHeight="false" outlineLevel="0" collapsed="false">
      <c r="A321" s="353"/>
      <c r="B321" s="353"/>
      <c r="C321" s="353"/>
      <c r="D321" s="353"/>
      <c r="E321" s="299" t="n">
        <v>8</v>
      </c>
      <c r="F321" s="354"/>
      <c r="G321" s="355"/>
      <c r="H321" s="355"/>
      <c r="I321" s="299"/>
      <c r="J321" s="300" t="n">
        <f aca="false">IF(H321&lt;&gt;"OTROS",1,0)*IF(I321=1,1,0)</f>
        <v>0</v>
      </c>
      <c r="K321" s="356"/>
      <c r="L321" s="299"/>
      <c r="M321" s="299"/>
      <c r="N321" s="299"/>
      <c r="O321" s="299"/>
      <c r="P321" s="299"/>
      <c r="Q321" s="299"/>
      <c r="R321" s="299"/>
      <c r="S321" s="299"/>
      <c r="T321" s="299"/>
      <c r="U321" s="299"/>
      <c r="V321" s="299"/>
      <c r="W321" s="299"/>
      <c r="X321" s="299"/>
      <c r="Y321" s="299"/>
      <c r="Z321" s="299"/>
      <c r="AA321" s="299"/>
      <c r="AB321" s="299"/>
      <c r="AC321" s="300"/>
      <c r="AD321" s="302" t="n">
        <f aca="false">IF(SUM(L321:AC321)=0,0,SUM(L321:AC321)/'Conformación JD'!$X$29)</f>
        <v>0</v>
      </c>
      <c r="AE321" s="301" t="n">
        <f aca="false">SUM(L321:AC321)</f>
        <v>0</v>
      </c>
      <c r="AF321" s="301" t="n">
        <f aca="false">+AC321+AA321+Y321+W321+U321+S321+Q321+O321+M321</f>
        <v>0</v>
      </c>
      <c r="AG321" s="357" t="n">
        <f aca="false">IF(AE321=0,0,AF321/AE321)</f>
        <v>0</v>
      </c>
      <c r="AH321" s="358"/>
    </row>
    <row r="322" customFormat="false" ht="13.8" hidden="false" customHeight="false" outlineLevel="0" collapsed="false">
      <c r="A322" s="353"/>
      <c r="B322" s="353"/>
      <c r="C322" s="353"/>
      <c r="D322" s="353"/>
      <c r="E322" s="299" t="n">
        <v>9</v>
      </c>
      <c r="F322" s="354"/>
      <c r="G322" s="355"/>
      <c r="H322" s="355"/>
      <c r="I322" s="299"/>
      <c r="J322" s="300" t="n">
        <f aca="false">IF(H322&lt;&gt;"OTROS",1,0)*IF(I322=1,1,0)</f>
        <v>0</v>
      </c>
      <c r="K322" s="356"/>
      <c r="L322" s="299"/>
      <c r="M322" s="299"/>
      <c r="N322" s="299"/>
      <c r="O322" s="299"/>
      <c r="P322" s="299"/>
      <c r="Q322" s="299"/>
      <c r="R322" s="299"/>
      <c r="S322" s="299"/>
      <c r="T322" s="299"/>
      <c r="U322" s="299"/>
      <c r="V322" s="299"/>
      <c r="W322" s="299"/>
      <c r="X322" s="299"/>
      <c r="Y322" s="299"/>
      <c r="Z322" s="299"/>
      <c r="AA322" s="299"/>
      <c r="AB322" s="299"/>
      <c r="AC322" s="300"/>
      <c r="AD322" s="302" t="n">
        <f aca="false">IF(SUM(L322:AC322)=0,0,SUM(L322:AC322)/'Conformación JD'!$X$29)</f>
        <v>0</v>
      </c>
      <c r="AE322" s="301" t="n">
        <f aca="false">SUM(L322:AC322)</f>
        <v>0</v>
      </c>
      <c r="AF322" s="301" t="n">
        <f aca="false">+AC322+AA322+Y322+W322+U322+S322+Q322+O322+M322</f>
        <v>0</v>
      </c>
      <c r="AG322" s="357" t="n">
        <f aca="false">IF(AE322=0,0,AF322/AE322)</f>
        <v>0</v>
      </c>
      <c r="AH322" s="358"/>
    </row>
    <row r="323" customFormat="false" ht="13.8" hidden="false" customHeight="false" outlineLevel="0" collapsed="false">
      <c r="A323" s="353"/>
      <c r="B323" s="353"/>
      <c r="C323" s="353"/>
      <c r="D323" s="353"/>
      <c r="E323" s="360" t="n">
        <v>10</v>
      </c>
      <c r="F323" s="361"/>
      <c r="G323" s="362"/>
      <c r="H323" s="362"/>
      <c r="I323" s="360"/>
      <c r="J323" s="300" t="n">
        <f aca="false">IF(H323&lt;&gt;"OTROS",1,0)*IF(I323=1,1,0)</f>
        <v>0</v>
      </c>
      <c r="K323" s="356"/>
      <c r="L323" s="360"/>
      <c r="M323" s="360"/>
      <c r="N323" s="360"/>
      <c r="O323" s="360"/>
      <c r="P323" s="360"/>
      <c r="Q323" s="360"/>
      <c r="R323" s="360"/>
      <c r="S323" s="360"/>
      <c r="T323" s="360"/>
      <c r="U323" s="360"/>
      <c r="V323" s="360"/>
      <c r="W323" s="360"/>
      <c r="X323" s="360"/>
      <c r="Y323" s="360"/>
      <c r="Z323" s="360"/>
      <c r="AA323" s="360"/>
      <c r="AB323" s="360"/>
      <c r="AC323" s="363"/>
      <c r="AD323" s="302" t="n">
        <f aca="false">IF(SUM(L323:AC323)=0,0,SUM(L323:AC323)/'Conformación JD'!$X$29)</f>
        <v>0</v>
      </c>
      <c r="AE323" s="301" t="n">
        <f aca="false">SUM(L323:AC323)</f>
        <v>0</v>
      </c>
      <c r="AF323" s="301" t="n">
        <f aca="false">+AC323+AA323+Y323+W323+U323+S323+Q323+O323+M323</f>
        <v>0</v>
      </c>
      <c r="AG323" s="357" t="n">
        <f aca="false">IF(AE323=0,0,AF323/AE323)</f>
        <v>0</v>
      </c>
      <c r="AH323" s="358"/>
    </row>
    <row r="324" customFormat="false" ht="13.8" hidden="false" customHeight="true" outlineLevel="0" collapsed="false">
      <c r="A324" s="305"/>
      <c r="B324" s="305"/>
      <c r="C324" s="305"/>
      <c r="D324" s="305"/>
      <c r="E324" s="364" t="s">
        <v>366</v>
      </c>
      <c r="F324" s="364"/>
      <c r="G324" s="364"/>
      <c r="H324" s="364"/>
      <c r="I324" s="365" t="n">
        <f aca="false">IF((COUNTIF(G314:G323,"&lt;&gt;"))&lt;&gt;0,SUM(I314:I323)/COUNTIF(G314:G323,"&lt;&gt;"),0)</f>
        <v>0</v>
      </c>
      <c r="J324" s="366" t="n">
        <f aca="false">IF((COUNTIF(H314:H323,"&lt;&gt;"))&lt;&gt;0,SUM(J314:J323)/COUNTIF(H314:H323,"&lt;&gt;"),0)</f>
        <v>0</v>
      </c>
      <c r="K324" s="310" t="n">
        <f aca="false">IF((COUNTIF(H314:H323,"&lt;&gt;"))&lt;&gt;0,SUM(K314:K323)/COUNTIF(H314:H323,"&lt;&gt;"),0)</f>
        <v>0</v>
      </c>
      <c r="L324" s="307" t="n">
        <f aca="false">SUM(L314:L323)</f>
        <v>0</v>
      </c>
      <c r="M324" s="307" t="n">
        <f aca="false">SUM(M314:M323)</f>
        <v>0</v>
      </c>
      <c r="N324" s="307" t="n">
        <f aca="false">SUM(N314:N323)</f>
        <v>0</v>
      </c>
      <c r="O324" s="307" t="n">
        <f aca="false">SUM(O314:O323)</f>
        <v>0</v>
      </c>
      <c r="P324" s="307" t="n">
        <f aca="false">SUM(P314:P323)</f>
        <v>0</v>
      </c>
      <c r="Q324" s="307" t="n">
        <f aca="false">SUM(Q314:Q323)</f>
        <v>0</v>
      </c>
      <c r="R324" s="307" t="n">
        <f aca="false">SUM(R314:R323)</f>
        <v>0</v>
      </c>
      <c r="S324" s="307" t="n">
        <f aca="false">SUM(S314:S323)</f>
        <v>0</v>
      </c>
      <c r="T324" s="307" t="n">
        <f aca="false">SUM(T314:T323)</f>
        <v>0</v>
      </c>
      <c r="U324" s="307" t="n">
        <f aca="false">SUM(U314:U323)</f>
        <v>0</v>
      </c>
      <c r="V324" s="307" t="n">
        <f aca="false">SUM(V314:V323)</f>
        <v>0</v>
      </c>
      <c r="W324" s="307" t="n">
        <f aca="false">SUM(W314:W323)</f>
        <v>0</v>
      </c>
      <c r="X324" s="307" t="n">
        <f aca="false">SUM(X314:X323)</f>
        <v>0</v>
      </c>
      <c r="Y324" s="307" t="n">
        <f aca="false">SUM(Y314:Y323)</f>
        <v>0</v>
      </c>
      <c r="Z324" s="307" t="n">
        <f aca="false">SUM(Z314:Z323)</f>
        <v>0</v>
      </c>
      <c r="AA324" s="307" t="n">
        <f aca="false">SUM(AA314:AA323)</f>
        <v>0</v>
      </c>
      <c r="AB324" s="307" t="n">
        <f aca="false">SUM(AB314:AB323)</f>
        <v>0</v>
      </c>
      <c r="AC324" s="307" t="n">
        <f aca="false">SUM(AC314:AC323)</f>
        <v>0</v>
      </c>
      <c r="AD324" s="310" t="n">
        <f aca="false">IF(SUM(AD314:AD323)=0,0,SUM(AD314:AD323)/COUNTIF(AD314:AD323,"&lt;&gt;0"))</f>
        <v>0</v>
      </c>
      <c r="AE324" s="365" t="n">
        <f aca="false">IF(SUM(AE314:AE323)=0,0,SUM(AE314:AE323)/COUNTIF(AE314:AE323,"&lt;&gt;0"))</f>
        <v>0</v>
      </c>
      <c r="AF324" s="365" t="n">
        <f aca="false">IF(SUM(AF314:AF323)=0,0,SUM(AF314:AF323)/COUNTIF(AF314:AF323,"&lt;&gt;0"))</f>
        <v>0</v>
      </c>
      <c r="AG324" s="310" t="n">
        <f aca="false">IF(SUM(AG314:AG323)=0,0,SUM(AG314:AG323)/COUNTIF(AD314:AD323,"&lt;&gt;0"))</f>
        <v>0</v>
      </c>
      <c r="AH324" s="367"/>
    </row>
    <row r="325" customFormat="false" ht="12.75" hidden="false" customHeight="true" outlineLevel="0" collapsed="false">
      <c r="A325" s="287" t="s">
        <v>315</v>
      </c>
      <c r="B325" s="287" t="s">
        <v>316</v>
      </c>
      <c r="C325" s="287" t="s">
        <v>317</v>
      </c>
      <c r="D325" s="288" t="s">
        <v>318</v>
      </c>
      <c r="E325" s="344" t="s">
        <v>349</v>
      </c>
      <c r="F325" s="345" t="s">
        <v>350</v>
      </c>
      <c r="G325" s="346" t="s">
        <v>351</v>
      </c>
      <c r="H325" s="347" t="s">
        <v>352</v>
      </c>
      <c r="I325" s="348" t="s">
        <v>353</v>
      </c>
      <c r="J325" s="348" t="s">
        <v>354</v>
      </c>
      <c r="K325" s="347" t="s">
        <v>355</v>
      </c>
      <c r="L325" s="346" t="s">
        <v>320</v>
      </c>
      <c r="M325" s="346"/>
      <c r="N325" s="346"/>
      <c r="O325" s="346"/>
      <c r="P325" s="346"/>
      <c r="Q325" s="346"/>
      <c r="R325" s="346"/>
      <c r="S325" s="346"/>
      <c r="T325" s="346"/>
      <c r="U325" s="346"/>
      <c r="V325" s="346"/>
      <c r="W325" s="346"/>
      <c r="X325" s="346"/>
      <c r="Y325" s="346"/>
      <c r="Z325" s="346"/>
      <c r="AA325" s="346"/>
      <c r="AB325" s="346"/>
      <c r="AC325" s="346"/>
      <c r="AD325" s="349"/>
      <c r="AE325" s="349"/>
      <c r="AF325" s="349"/>
      <c r="AG325" s="349"/>
      <c r="AH325" s="184"/>
    </row>
    <row r="326" customFormat="false" ht="12" hidden="false" customHeight="true" outlineLevel="0" collapsed="false">
      <c r="A326" s="287"/>
      <c r="B326" s="287"/>
      <c r="C326" s="287"/>
      <c r="D326" s="288"/>
      <c r="E326" s="344"/>
      <c r="F326" s="345"/>
      <c r="G326" s="346"/>
      <c r="H326" s="347"/>
      <c r="I326" s="348"/>
      <c r="J326" s="348"/>
      <c r="K326" s="347"/>
      <c r="L326" s="293" t="s">
        <v>321</v>
      </c>
      <c r="M326" s="293"/>
      <c r="N326" s="293" t="s">
        <v>356</v>
      </c>
      <c r="O326" s="293"/>
      <c r="P326" s="293" t="s">
        <v>357</v>
      </c>
      <c r="Q326" s="293"/>
      <c r="R326" s="293" t="s">
        <v>324</v>
      </c>
      <c r="S326" s="293"/>
      <c r="T326" s="293" t="s">
        <v>325</v>
      </c>
      <c r="U326" s="293"/>
      <c r="V326" s="293" t="s">
        <v>326</v>
      </c>
      <c r="W326" s="293"/>
      <c r="X326" s="293" t="s">
        <v>327</v>
      </c>
      <c r="Y326" s="293"/>
      <c r="Z326" s="293" t="s">
        <v>328</v>
      </c>
      <c r="AA326" s="293"/>
      <c r="AB326" s="293" t="s">
        <v>329</v>
      </c>
      <c r="AC326" s="293"/>
      <c r="AD326" s="350" t="s">
        <v>358</v>
      </c>
      <c r="AE326" s="350" t="s">
        <v>359</v>
      </c>
      <c r="AF326" s="350" t="s">
        <v>360</v>
      </c>
      <c r="AG326" s="350" t="s">
        <v>361</v>
      </c>
      <c r="AH326" s="351" t="s">
        <v>362</v>
      </c>
    </row>
    <row r="327" customFormat="false" ht="46.5" hidden="false" customHeight="true" outlineLevel="0" collapsed="false">
      <c r="A327" s="287"/>
      <c r="B327" s="287"/>
      <c r="C327" s="287"/>
      <c r="D327" s="288"/>
      <c r="E327" s="344"/>
      <c r="F327" s="345"/>
      <c r="G327" s="346"/>
      <c r="H327" s="347"/>
      <c r="I327" s="348"/>
      <c r="J327" s="348"/>
      <c r="K327" s="347"/>
      <c r="L327" s="295" t="s">
        <v>68</v>
      </c>
      <c r="M327" s="295" t="s">
        <v>298</v>
      </c>
      <c r="N327" s="295" t="s">
        <v>68</v>
      </c>
      <c r="O327" s="295" t="s">
        <v>298</v>
      </c>
      <c r="P327" s="295" t="s">
        <v>68</v>
      </c>
      <c r="Q327" s="295" t="s">
        <v>298</v>
      </c>
      <c r="R327" s="295" t="s">
        <v>68</v>
      </c>
      <c r="S327" s="295" t="s">
        <v>298</v>
      </c>
      <c r="T327" s="295" t="s">
        <v>68</v>
      </c>
      <c r="U327" s="295" t="s">
        <v>298</v>
      </c>
      <c r="V327" s="295" t="s">
        <v>68</v>
      </c>
      <c r="W327" s="295" t="s">
        <v>298</v>
      </c>
      <c r="X327" s="295" t="s">
        <v>68</v>
      </c>
      <c r="Y327" s="295" t="s">
        <v>298</v>
      </c>
      <c r="Z327" s="295" t="s">
        <v>68</v>
      </c>
      <c r="AA327" s="295" t="s">
        <v>298</v>
      </c>
      <c r="AB327" s="295" t="s">
        <v>68</v>
      </c>
      <c r="AC327" s="296" t="s">
        <v>298</v>
      </c>
      <c r="AD327" s="350"/>
      <c r="AE327" s="350"/>
      <c r="AF327" s="350"/>
      <c r="AG327" s="350"/>
      <c r="AH327" s="351"/>
    </row>
    <row r="328" customFormat="false" ht="13.8" hidden="false" customHeight="false" outlineLevel="0" collapsed="false">
      <c r="A328" s="353" t="n">
        <f aca="false">'Listado CAPS'!A26</f>
        <v>0</v>
      </c>
      <c r="B328" s="353" t="n">
        <f aca="false">'Listado CAPS'!B26</f>
        <v>0</v>
      </c>
      <c r="C328" s="353" t="n">
        <f aca="false">'Listado CAPS'!C26</f>
        <v>0</v>
      </c>
      <c r="D328" s="353" t="str">
        <f aca="false">'Listado CAPS'!D26</f>
        <v>W</v>
      </c>
      <c r="E328" s="299" t="n">
        <v>1</v>
      </c>
      <c r="F328" s="354"/>
      <c r="G328" s="304"/>
      <c r="H328" s="355"/>
      <c r="I328" s="299"/>
      <c r="J328" s="300" t="n">
        <f aca="false">IF(H328&lt;&gt;"OTROS",1,0)*IF(I328=1,1,0)</f>
        <v>0</v>
      </c>
      <c r="K328" s="356"/>
      <c r="L328" s="299"/>
      <c r="M328" s="299"/>
      <c r="N328" s="299"/>
      <c r="O328" s="299"/>
      <c r="P328" s="299"/>
      <c r="Q328" s="299"/>
      <c r="R328" s="299"/>
      <c r="S328" s="299"/>
      <c r="T328" s="299"/>
      <c r="U328" s="299"/>
      <c r="V328" s="299"/>
      <c r="W328" s="299"/>
      <c r="X328" s="299"/>
      <c r="Y328" s="299"/>
      <c r="Z328" s="299"/>
      <c r="AA328" s="299"/>
      <c r="AB328" s="299"/>
      <c r="AC328" s="300"/>
      <c r="AD328" s="302" t="n">
        <f aca="false">IF(SUM(L328:AC328)=0,0,SUM(L328:AC328)/'Conformación JD'!$X$30)</f>
        <v>0</v>
      </c>
      <c r="AE328" s="301" t="n">
        <f aca="false">SUM(L328:AC328)</f>
        <v>0</v>
      </c>
      <c r="AF328" s="301" t="n">
        <f aca="false">+AC328+AA328+Y328+W328+U328+S328+Q328+O328+M328</f>
        <v>0</v>
      </c>
      <c r="AG328" s="357" t="n">
        <f aca="false">IF(AE328=0,0,AF328/AE328)</f>
        <v>0</v>
      </c>
      <c r="AH328" s="299"/>
    </row>
    <row r="329" customFormat="false" ht="13.8" hidden="false" customHeight="false" outlineLevel="0" collapsed="false">
      <c r="A329" s="353"/>
      <c r="B329" s="353"/>
      <c r="C329" s="353"/>
      <c r="D329" s="353"/>
      <c r="E329" s="299" t="n">
        <v>2</v>
      </c>
      <c r="F329" s="354"/>
      <c r="G329" s="304"/>
      <c r="H329" s="355"/>
      <c r="I329" s="299"/>
      <c r="J329" s="300" t="n">
        <f aca="false">IF(H329&lt;&gt;"OTROS",1,0)*IF(I329=1,1,0)</f>
        <v>0</v>
      </c>
      <c r="K329" s="356"/>
      <c r="L329" s="299"/>
      <c r="M329" s="299"/>
      <c r="N329" s="299"/>
      <c r="O329" s="299"/>
      <c r="P329" s="299"/>
      <c r="Q329" s="299"/>
      <c r="R329" s="299"/>
      <c r="S329" s="299"/>
      <c r="T329" s="299"/>
      <c r="U329" s="299"/>
      <c r="V329" s="299"/>
      <c r="W329" s="299"/>
      <c r="X329" s="299"/>
      <c r="Y329" s="299"/>
      <c r="Z329" s="299"/>
      <c r="AA329" s="299"/>
      <c r="AB329" s="299"/>
      <c r="AC329" s="300"/>
      <c r="AD329" s="302" t="n">
        <f aca="false">IF(SUM(L329:AC329)=0,0,SUM(L329:AC329)/'Conformación JD'!$X$30)</f>
        <v>0</v>
      </c>
      <c r="AE329" s="301" t="n">
        <f aca="false">SUM(L329:AC329)</f>
        <v>0</v>
      </c>
      <c r="AF329" s="301" t="n">
        <f aca="false">+AC329+AA329+Y329+W329+U329+S329+Q329+O329+M329</f>
        <v>0</v>
      </c>
      <c r="AG329" s="357" t="n">
        <f aca="false">IF(AE329=0,0,AF329/AE329)</f>
        <v>0</v>
      </c>
      <c r="AH329" s="358"/>
    </row>
    <row r="330" customFormat="false" ht="13.8" hidden="false" customHeight="false" outlineLevel="0" collapsed="false">
      <c r="A330" s="353"/>
      <c r="B330" s="353"/>
      <c r="C330" s="353"/>
      <c r="D330" s="353"/>
      <c r="E330" s="299" t="n">
        <v>3</v>
      </c>
      <c r="F330" s="354"/>
      <c r="G330" s="304"/>
      <c r="H330" s="355"/>
      <c r="I330" s="299"/>
      <c r="J330" s="300" t="n">
        <f aca="false">IF(H330&lt;&gt;"OTROS",1,0)*IF(I330=1,1,0)</f>
        <v>0</v>
      </c>
      <c r="K330" s="356"/>
      <c r="L330" s="299"/>
      <c r="M330" s="299"/>
      <c r="N330" s="299"/>
      <c r="O330" s="299"/>
      <c r="P330" s="299"/>
      <c r="Q330" s="299"/>
      <c r="R330" s="299"/>
      <c r="S330" s="299"/>
      <c r="T330" s="299"/>
      <c r="U330" s="299"/>
      <c r="V330" s="299"/>
      <c r="W330" s="299"/>
      <c r="X330" s="299"/>
      <c r="Y330" s="299"/>
      <c r="Z330" s="299"/>
      <c r="AA330" s="299"/>
      <c r="AB330" s="299"/>
      <c r="AC330" s="300"/>
      <c r="AD330" s="302" t="n">
        <f aca="false">IF(SUM(L330:AC330)=0,0,SUM(L330:AC330)/'Conformación JD'!$X$30)</f>
        <v>0</v>
      </c>
      <c r="AE330" s="301" t="n">
        <f aca="false">SUM(L330:AC330)</f>
        <v>0</v>
      </c>
      <c r="AF330" s="301" t="n">
        <f aca="false">+AC330+AA330+Y330+W330+U330+S330+Q330+O330+M330</f>
        <v>0</v>
      </c>
      <c r="AG330" s="357" t="n">
        <f aca="false">IF(AE330=0,0,AF330/AE330)</f>
        <v>0</v>
      </c>
      <c r="AH330" s="359"/>
    </row>
    <row r="331" customFormat="false" ht="13.8" hidden="false" customHeight="false" outlineLevel="0" collapsed="false">
      <c r="A331" s="353"/>
      <c r="B331" s="353"/>
      <c r="C331" s="353"/>
      <c r="D331" s="353"/>
      <c r="E331" s="299" t="n">
        <v>4</v>
      </c>
      <c r="F331" s="354"/>
      <c r="G331" s="355"/>
      <c r="H331" s="355"/>
      <c r="I331" s="299"/>
      <c r="J331" s="300" t="n">
        <f aca="false">IF(H331&lt;&gt;"OTROS",1,0)*IF(I331=1,1,0)</f>
        <v>0</v>
      </c>
      <c r="K331" s="356"/>
      <c r="L331" s="299"/>
      <c r="M331" s="299"/>
      <c r="N331" s="299"/>
      <c r="O331" s="299"/>
      <c r="P331" s="299"/>
      <c r="Q331" s="299"/>
      <c r="R331" s="299"/>
      <c r="S331" s="299"/>
      <c r="T331" s="299"/>
      <c r="U331" s="299"/>
      <c r="V331" s="299"/>
      <c r="W331" s="299"/>
      <c r="X331" s="299"/>
      <c r="Y331" s="299"/>
      <c r="Z331" s="299"/>
      <c r="AA331" s="299"/>
      <c r="AB331" s="299"/>
      <c r="AC331" s="300"/>
      <c r="AD331" s="302" t="n">
        <f aca="false">IF(SUM(L331:AC331)=0,0,SUM(L331:AC331)/'Conformación JD'!$X$30)</f>
        <v>0</v>
      </c>
      <c r="AE331" s="301" t="n">
        <f aca="false">SUM(L331:AC331)</f>
        <v>0</v>
      </c>
      <c r="AF331" s="301" t="n">
        <f aca="false">+AC331+AA331+Y331+W331+U331+S331+Q331+O331+M331</f>
        <v>0</v>
      </c>
      <c r="AG331" s="357" t="n">
        <f aca="false">IF(AE331=0,0,AF331/AE331)</f>
        <v>0</v>
      </c>
      <c r="AH331" s="358"/>
    </row>
    <row r="332" customFormat="false" ht="13.8" hidden="false" customHeight="false" outlineLevel="0" collapsed="false">
      <c r="A332" s="353"/>
      <c r="B332" s="353"/>
      <c r="C332" s="353"/>
      <c r="D332" s="353"/>
      <c r="E332" s="299" t="n">
        <v>5</v>
      </c>
      <c r="F332" s="354"/>
      <c r="G332" s="355"/>
      <c r="H332" s="355"/>
      <c r="I332" s="299"/>
      <c r="J332" s="300" t="n">
        <f aca="false">IF(H332&lt;&gt;"OTROS",1,0)*IF(I332=1,1,0)</f>
        <v>0</v>
      </c>
      <c r="K332" s="356"/>
      <c r="L332" s="299"/>
      <c r="M332" s="299"/>
      <c r="N332" s="299"/>
      <c r="O332" s="299"/>
      <c r="P332" s="299"/>
      <c r="Q332" s="299"/>
      <c r="R332" s="299"/>
      <c r="S332" s="299"/>
      <c r="T332" s="299"/>
      <c r="U332" s="299"/>
      <c r="V332" s="299"/>
      <c r="W332" s="299"/>
      <c r="X332" s="299"/>
      <c r="Y332" s="299"/>
      <c r="Z332" s="299"/>
      <c r="AA332" s="299"/>
      <c r="AB332" s="299"/>
      <c r="AC332" s="300"/>
      <c r="AD332" s="302" t="n">
        <f aca="false">IF(SUM(L332:AC332)=0,0,SUM(L332:AC332)/'Conformación JD'!$X$30)</f>
        <v>0</v>
      </c>
      <c r="AE332" s="301" t="n">
        <f aca="false">SUM(L332:AC332)</f>
        <v>0</v>
      </c>
      <c r="AF332" s="301" t="n">
        <f aca="false">+AC332+AA332+Y332+W332+U332+S332+Q332+O332+M332</f>
        <v>0</v>
      </c>
      <c r="AG332" s="357" t="n">
        <f aca="false">IF(AE332=0,0,AF332/AE332)</f>
        <v>0</v>
      </c>
      <c r="AH332" s="358"/>
    </row>
    <row r="333" customFormat="false" ht="13.8" hidden="false" customHeight="false" outlineLevel="0" collapsed="false">
      <c r="A333" s="353"/>
      <c r="B333" s="353"/>
      <c r="C333" s="353"/>
      <c r="D333" s="353"/>
      <c r="E333" s="299" t="n">
        <v>6</v>
      </c>
      <c r="F333" s="354"/>
      <c r="G333" s="355"/>
      <c r="H333" s="355"/>
      <c r="I333" s="299"/>
      <c r="J333" s="300" t="n">
        <f aca="false">IF(H333&lt;&gt;"OTROS",1,0)*IF(I333=1,1,0)</f>
        <v>0</v>
      </c>
      <c r="K333" s="356"/>
      <c r="L333" s="299"/>
      <c r="M333" s="299"/>
      <c r="N333" s="299"/>
      <c r="O333" s="299"/>
      <c r="P333" s="299"/>
      <c r="Q333" s="299"/>
      <c r="R333" s="299"/>
      <c r="S333" s="299"/>
      <c r="T333" s="299"/>
      <c r="U333" s="299"/>
      <c r="V333" s="299"/>
      <c r="W333" s="299"/>
      <c r="X333" s="299"/>
      <c r="Y333" s="299"/>
      <c r="Z333" s="299"/>
      <c r="AA333" s="299"/>
      <c r="AB333" s="299"/>
      <c r="AC333" s="300"/>
      <c r="AD333" s="302" t="n">
        <f aca="false">IF(SUM(L333:AC333)=0,0,SUM(L333:AC333)/'Conformación JD'!$X$30)</f>
        <v>0</v>
      </c>
      <c r="AE333" s="301" t="n">
        <f aca="false">SUM(L333:AC333)</f>
        <v>0</v>
      </c>
      <c r="AF333" s="301" t="n">
        <f aca="false">+AC333+AA333+Y333+W333+U333+S333+Q333+O333+M333</f>
        <v>0</v>
      </c>
      <c r="AG333" s="357" t="n">
        <f aca="false">IF(AE333=0,0,AF333/AE333)</f>
        <v>0</v>
      </c>
      <c r="AH333" s="358"/>
    </row>
    <row r="334" customFormat="false" ht="13.8" hidden="false" customHeight="false" outlineLevel="0" collapsed="false">
      <c r="A334" s="353"/>
      <c r="B334" s="353"/>
      <c r="C334" s="353"/>
      <c r="D334" s="353"/>
      <c r="E334" s="299" t="n">
        <v>7</v>
      </c>
      <c r="F334" s="354"/>
      <c r="G334" s="355"/>
      <c r="H334" s="355"/>
      <c r="I334" s="299"/>
      <c r="J334" s="300" t="n">
        <f aca="false">IF(H334&lt;&gt;"OTROS",1,0)*IF(I334=1,1,0)</f>
        <v>0</v>
      </c>
      <c r="K334" s="356"/>
      <c r="L334" s="299"/>
      <c r="M334" s="299"/>
      <c r="N334" s="299"/>
      <c r="O334" s="299"/>
      <c r="P334" s="299"/>
      <c r="Q334" s="299"/>
      <c r="R334" s="299"/>
      <c r="S334" s="299"/>
      <c r="T334" s="299"/>
      <c r="U334" s="299"/>
      <c r="V334" s="299"/>
      <c r="W334" s="299"/>
      <c r="X334" s="299"/>
      <c r="Y334" s="299"/>
      <c r="Z334" s="299"/>
      <c r="AA334" s="299"/>
      <c r="AB334" s="299"/>
      <c r="AC334" s="300"/>
      <c r="AD334" s="302" t="n">
        <f aca="false">IF(SUM(L334:AC334)=0,0,SUM(L334:AC334)/'Conformación JD'!$X$30)</f>
        <v>0</v>
      </c>
      <c r="AE334" s="301" t="n">
        <f aca="false">SUM(L334:AC334)</f>
        <v>0</v>
      </c>
      <c r="AF334" s="301" t="n">
        <f aca="false">+AC334+AA334+Y334+W334+U334+S334+Q334+O334+M334</f>
        <v>0</v>
      </c>
      <c r="AG334" s="357" t="n">
        <f aca="false">IF(AE334=0,0,AF334/AE334)</f>
        <v>0</v>
      </c>
      <c r="AH334" s="358"/>
    </row>
    <row r="335" customFormat="false" ht="13.8" hidden="false" customHeight="false" outlineLevel="0" collapsed="false">
      <c r="A335" s="353"/>
      <c r="B335" s="353"/>
      <c r="C335" s="353"/>
      <c r="D335" s="353"/>
      <c r="E335" s="299" t="n">
        <v>8</v>
      </c>
      <c r="F335" s="354"/>
      <c r="G335" s="355"/>
      <c r="H335" s="355"/>
      <c r="I335" s="299"/>
      <c r="J335" s="300" t="n">
        <f aca="false">IF(H335&lt;&gt;"OTROS",1,0)*IF(I335=1,1,0)</f>
        <v>0</v>
      </c>
      <c r="K335" s="356"/>
      <c r="L335" s="299"/>
      <c r="M335" s="299"/>
      <c r="N335" s="299"/>
      <c r="O335" s="299"/>
      <c r="P335" s="299"/>
      <c r="Q335" s="299"/>
      <c r="R335" s="299"/>
      <c r="S335" s="299"/>
      <c r="T335" s="299"/>
      <c r="U335" s="299"/>
      <c r="V335" s="299"/>
      <c r="W335" s="299"/>
      <c r="X335" s="299"/>
      <c r="Y335" s="299"/>
      <c r="Z335" s="299"/>
      <c r="AA335" s="299"/>
      <c r="AB335" s="299"/>
      <c r="AC335" s="300"/>
      <c r="AD335" s="302" t="n">
        <f aca="false">IF(SUM(L335:AC335)=0,0,SUM(L335:AC335)/'Conformación JD'!$X$30)</f>
        <v>0</v>
      </c>
      <c r="AE335" s="301" t="n">
        <f aca="false">SUM(L335:AC335)</f>
        <v>0</v>
      </c>
      <c r="AF335" s="301" t="n">
        <f aca="false">+AC335+AA335+Y335+W335+U335+S335+Q335+O335+M335</f>
        <v>0</v>
      </c>
      <c r="AG335" s="357" t="n">
        <f aca="false">IF(AE335=0,0,AF335/AE335)</f>
        <v>0</v>
      </c>
      <c r="AH335" s="358"/>
    </row>
    <row r="336" customFormat="false" ht="13.8" hidden="false" customHeight="false" outlineLevel="0" collapsed="false">
      <c r="A336" s="353"/>
      <c r="B336" s="353"/>
      <c r="C336" s="353"/>
      <c r="D336" s="353"/>
      <c r="E336" s="299" t="n">
        <v>9</v>
      </c>
      <c r="F336" s="354"/>
      <c r="G336" s="355"/>
      <c r="H336" s="355"/>
      <c r="I336" s="299"/>
      <c r="J336" s="300" t="n">
        <f aca="false">IF(H336&lt;&gt;"OTROS",1,0)*IF(I336=1,1,0)</f>
        <v>0</v>
      </c>
      <c r="K336" s="356"/>
      <c r="L336" s="299"/>
      <c r="M336" s="299"/>
      <c r="N336" s="299"/>
      <c r="O336" s="299"/>
      <c r="P336" s="299"/>
      <c r="Q336" s="299"/>
      <c r="R336" s="299"/>
      <c r="S336" s="299"/>
      <c r="T336" s="299"/>
      <c r="U336" s="299"/>
      <c r="V336" s="299"/>
      <c r="W336" s="299"/>
      <c r="X336" s="299"/>
      <c r="Y336" s="299"/>
      <c r="Z336" s="299"/>
      <c r="AA336" s="299"/>
      <c r="AB336" s="299"/>
      <c r="AC336" s="300"/>
      <c r="AD336" s="302" t="n">
        <f aca="false">IF(SUM(L336:AC336)=0,0,SUM(L336:AC336)/'Conformación JD'!$X$30)</f>
        <v>0</v>
      </c>
      <c r="AE336" s="301" t="n">
        <f aca="false">SUM(L336:AC336)</f>
        <v>0</v>
      </c>
      <c r="AF336" s="301" t="n">
        <f aca="false">+AC336+AA336+Y336+W336+U336+S336+Q336+O336+M336</f>
        <v>0</v>
      </c>
      <c r="AG336" s="357" t="n">
        <f aca="false">IF(AE336=0,0,AF336/AE336)</f>
        <v>0</v>
      </c>
      <c r="AH336" s="358"/>
    </row>
    <row r="337" customFormat="false" ht="13.8" hidden="false" customHeight="false" outlineLevel="0" collapsed="false">
      <c r="A337" s="353"/>
      <c r="B337" s="353"/>
      <c r="C337" s="353"/>
      <c r="D337" s="353"/>
      <c r="E337" s="360" t="n">
        <v>10</v>
      </c>
      <c r="F337" s="361"/>
      <c r="G337" s="362"/>
      <c r="H337" s="362"/>
      <c r="I337" s="360"/>
      <c r="J337" s="300" t="n">
        <f aca="false">IF(H337&lt;&gt;"OTROS",1,0)*IF(I337=1,1,0)</f>
        <v>0</v>
      </c>
      <c r="K337" s="356"/>
      <c r="L337" s="360"/>
      <c r="M337" s="360"/>
      <c r="N337" s="360"/>
      <c r="O337" s="360"/>
      <c r="P337" s="360"/>
      <c r="Q337" s="360"/>
      <c r="R337" s="360"/>
      <c r="S337" s="360"/>
      <c r="T337" s="360"/>
      <c r="U337" s="360"/>
      <c r="V337" s="360"/>
      <c r="W337" s="360"/>
      <c r="X337" s="360"/>
      <c r="Y337" s="360"/>
      <c r="Z337" s="360"/>
      <c r="AA337" s="360"/>
      <c r="AB337" s="360"/>
      <c r="AC337" s="363"/>
      <c r="AD337" s="302" t="n">
        <f aca="false">IF(SUM(L337:AC337)=0,0,SUM(L337:AC337)/'Conformación JD'!$X$30)</f>
        <v>0</v>
      </c>
      <c r="AE337" s="301" t="n">
        <f aca="false">SUM(L337:AC337)</f>
        <v>0</v>
      </c>
      <c r="AF337" s="301" t="n">
        <f aca="false">+AC337+AA337+Y337+W337+U337+S337+Q337+O337+M337</f>
        <v>0</v>
      </c>
      <c r="AG337" s="357" t="n">
        <f aca="false">IF(AE337=0,0,AF337/AE337)</f>
        <v>0</v>
      </c>
      <c r="AH337" s="358"/>
    </row>
    <row r="338" customFormat="false" ht="13.8" hidden="false" customHeight="true" outlineLevel="0" collapsed="false">
      <c r="A338" s="305"/>
      <c r="B338" s="305"/>
      <c r="C338" s="305"/>
      <c r="D338" s="305"/>
      <c r="E338" s="364" t="s">
        <v>366</v>
      </c>
      <c r="F338" s="364"/>
      <c r="G338" s="364"/>
      <c r="H338" s="364"/>
      <c r="I338" s="365" t="n">
        <f aca="false">IF((COUNTIF(G328:G337,"&lt;&gt;"))&lt;&gt;0,SUM(I328:I337)/COUNTIF(G328:G337,"&lt;&gt;"),0)</f>
        <v>0</v>
      </c>
      <c r="J338" s="366" t="n">
        <f aca="false">IF((COUNTIF(H328:H337,"&lt;&gt;"))&lt;&gt;0,SUM(J328:J337)/COUNTIF(H328:H337,"&lt;&gt;"),0)</f>
        <v>0</v>
      </c>
      <c r="K338" s="310" t="n">
        <f aca="false">IF((COUNTIF(H328:H337,"&lt;&gt;"))&lt;&gt;0,SUM(K328:K337)/COUNTIF(H328:H337,"&lt;&gt;"),0)</f>
        <v>0</v>
      </c>
      <c r="L338" s="307" t="n">
        <f aca="false">SUM(L328:L337)</f>
        <v>0</v>
      </c>
      <c r="M338" s="307" t="n">
        <f aca="false">SUM(M328:M337)</f>
        <v>0</v>
      </c>
      <c r="N338" s="307" t="n">
        <f aca="false">SUM(N328:N337)</f>
        <v>0</v>
      </c>
      <c r="O338" s="307" t="n">
        <f aca="false">SUM(O328:O337)</f>
        <v>0</v>
      </c>
      <c r="P338" s="307" t="n">
        <f aca="false">SUM(P328:P337)</f>
        <v>0</v>
      </c>
      <c r="Q338" s="307" t="n">
        <f aca="false">SUM(Q328:Q337)</f>
        <v>0</v>
      </c>
      <c r="R338" s="307" t="n">
        <f aca="false">SUM(R328:R337)</f>
        <v>0</v>
      </c>
      <c r="S338" s="307" t="n">
        <f aca="false">SUM(S328:S337)</f>
        <v>0</v>
      </c>
      <c r="T338" s="307" t="n">
        <f aca="false">SUM(T328:T337)</f>
        <v>0</v>
      </c>
      <c r="U338" s="307" t="n">
        <f aca="false">SUM(U328:U337)</f>
        <v>0</v>
      </c>
      <c r="V338" s="307" t="n">
        <f aca="false">SUM(V328:V337)</f>
        <v>0</v>
      </c>
      <c r="W338" s="307" t="n">
        <f aca="false">SUM(W328:W337)</f>
        <v>0</v>
      </c>
      <c r="X338" s="307" t="n">
        <f aca="false">SUM(X328:X337)</f>
        <v>0</v>
      </c>
      <c r="Y338" s="307" t="n">
        <f aca="false">SUM(Y328:Y337)</f>
        <v>0</v>
      </c>
      <c r="Z338" s="307" t="n">
        <f aca="false">SUM(Z328:Z337)</f>
        <v>0</v>
      </c>
      <c r="AA338" s="307" t="n">
        <f aca="false">SUM(AA328:AA337)</f>
        <v>0</v>
      </c>
      <c r="AB338" s="307" t="n">
        <f aca="false">SUM(AB328:AB337)</f>
        <v>0</v>
      </c>
      <c r="AC338" s="307" t="n">
        <f aca="false">SUM(AC328:AC337)</f>
        <v>0</v>
      </c>
      <c r="AD338" s="310" t="n">
        <f aca="false">IF(SUM(AD328:AD337)=0,0,SUM(AD328:AD337)/COUNTIF(AD328:AD337,"&lt;&gt;0"))</f>
        <v>0</v>
      </c>
      <c r="AE338" s="365" t="n">
        <f aca="false">IF(SUM(AE328:AE337)=0,0,SUM(AE328:AE337)/COUNTIF(AE328:AE337,"&lt;&gt;0"))</f>
        <v>0</v>
      </c>
      <c r="AF338" s="365" t="n">
        <f aca="false">IF(SUM(AF328:AF337)=0,0,SUM(AF328:AF337)/COUNTIF(AF328:AF337,"&lt;&gt;0"))</f>
        <v>0</v>
      </c>
      <c r="AG338" s="310" t="n">
        <f aca="false">IF(SUM(AG328:AG337)=0,0,SUM(AG328:AG337)/COUNTIF(AD328:AD337,"&lt;&gt;0"))</f>
        <v>0</v>
      </c>
      <c r="AH338" s="367"/>
    </row>
    <row r="339" customFormat="false" ht="12.75" hidden="false" customHeight="true" outlineLevel="0" collapsed="false">
      <c r="A339" s="287" t="s">
        <v>315</v>
      </c>
      <c r="B339" s="287" t="s">
        <v>316</v>
      </c>
      <c r="C339" s="287" t="s">
        <v>317</v>
      </c>
      <c r="D339" s="288" t="s">
        <v>318</v>
      </c>
      <c r="E339" s="344" t="s">
        <v>349</v>
      </c>
      <c r="F339" s="345" t="s">
        <v>350</v>
      </c>
      <c r="G339" s="346" t="s">
        <v>351</v>
      </c>
      <c r="H339" s="347" t="s">
        <v>352</v>
      </c>
      <c r="I339" s="348" t="s">
        <v>353</v>
      </c>
      <c r="J339" s="348" t="s">
        <v>354</v>
      </c>
      <c r="K339" s="347" t="s">
        <v>355</v>
      </c>
      <c r="L339" s="346" t="s">
        <v>320</v>
      </c>
      <c r="M339" s="346"/>
      <c r="N339" s="346"/>
      <c r="O339" s="346"/>
      <c r="P339" s="346"/>
      <c r="Q339" s="346"/>
      <c r="R339" s="346"/>
      <c r="S339" s="346"/>
      <c r="T339" s="346"/>
      <c r="U339" s="346"/>
      <c r="V339" s="346"/>
      <c r="W339" s="346"/>
      <c r="X339" s="346"/>
      <c r="Y339" s="346"/>
      <c r="Z339" s="346"/>
      <c r="AA339" s="346"/>
      <c r="AB339" s="346"/>
      <c r="AC339" s="346"/>
      <c r="AD339" s="349"/>
      <c r="AE339" s="349"/>
      <c r="AF339" s="349"/>
      <c r="AG339" s="349"/>
      <c r="AH339" s="184"/>
    </row>
    <row r="340" customFormat="false" ht="12.75" hidden="false" customHeight="true" outlineLevel="0" collapsed="false">
      <c r="A340" s="287"/>
      <c r="B340" s="287"/>
      <c r="C340" s="287"/>
      <c r="D340" s="288"/>
      <c r="E340" s="344"/>
      <c r="F340" s="345"/>
      <c r="G340" s="346"/>
      <c r="H340" s="347"/>
      <c r="I340" s="348"/>
      <c r="J340" s="348"/>
      <c r="K340" s="347"/>
      <c r="L340" s="293" t="s">
        <v>321</v>
      </c>
      <c r="M340" s="293"/>
      <c r="N340" s="293" t="s">
        <v>356</v>
      </c>
      <c r="O340" s="293"/>
      <c r="P340" s="293" t="s">
        <v>357</v>
      </c>
      <c r="Q340" s="293"/>
      <c r="R340" s="293" t="s">
        <v>324</v>
      </c>
      <c r="S340" s="293"/>
      <c r="T340" s="293" t="s">
        <v>325</v>
      </c>
      <c r="U340" s="293"/>
      <c r="V340" s="293" t="s">
        <v>326</v>
      </c>
      <c r="W340" s="293"/>
      <c r="X340" s="293" t="s">
        <v>327</v>
      </c>
      <c r="Y340" s="293"/>
      <c r="Z340" s="293" t="s">
        <v>328</v>
      </c>
      <c r="AA340" s="293"/>
      <c r="AB340" s="293" t="s">
        <v>329</v>
      </c>
      <c r="AC340" s="293"/>
      <c r="AD340" s="350" t="s">
        <v>358</v>
      </c>
      <c r="AE340" s="350" t="s">
        <v>359</v>
      </c>
      <c r="AF340" s="350" t="s">
        <v>360</v>
      </c>
      <c r="AG340" s="350" t="s">
        <v>361</v>
      </c>
      <c r="AH340" s="351" t="s">
        <v>362</v>
      </c>
    </row>
    <row r="341" customFormat="false" ht="48" hidden="false" customHeight="true" outlineLevel="0" collapsed="false">
      <c r="A341" s="287"/>
      <c r="B341" s="287"/>
      <c r="C341" s="287"/>
      <c r="D341" s="288"/>
      <c r="E341" s="344"/>
      <c r="F341" s="345"/>
      <c r="G341" s="346"/>
      <c r="H341" s="347"/>
      <c r="I341" s="348"/>
      <c r="J341" s="348"/>
      <c r="K341" s="347"/>
      <c r="L341" s="295" t="s">
        <v>68</v>
      </c>
      <c r="M341" s="295" t="s">
        <v>298</v>
      </c>
      <c r="N341" s="295" t="s">
        <v>68</v>
      </c>
      <c r="O341" s="295" t="s">
        <v>298</v>
      </c>
      <c r="P341" s="295" t="s">
        <v>68</v>
      </c>
      <c r="Q341" s="295" t="s">
        <v>298</v>
      </c>
      <c r="R341" s="295" t="s">
        <v>68</v>
      </c>
      <c r="S341" s="295" t="s">
        <v>298</v>
      </c>
      <c r="T341" s="295" t="s">
        <v>68</v>
      </c>
      <c r="U341" s="295" t="s">
        <v>298</v>
      </c>
      <c r="V341" s="295" t="s">
        <v>68</v>
      </c>
      <c r="W341" s="295" t="s">
        <v>298</v>
      </c>
      <c r="X341" s="295" t="s">
        <v>68</v>
      </c>
      <c r="Y341" s="295" t="s">
        <v>298</v>
      </c>
      <c r="Z341" s="295" t="s">
        <v>68</v>
      </c>
      <c r="AA341" s="295" t="s">
        <v>298</v>
      </c>
      <c r="AB341" s="295" t="s">
        <v>68</v>
      </c>
      <c r="AC341" s="296" t="s">
        <v>298</v>
      </c>
      <c r="AD341" s="350"/>
      <c r="AE341" s="350"/>
      <c r="AF341" s="350"/>
      <c r="AG341" s="350"/>
      <c r="AH341" s="351"/>
    </row>
    <row r="342" customFormat="false" ht="13.8" hidden="false" customHeight="false" outlineLevel="0" collapsed="false">
      <c r="A342" s="353" t="n">
        <f aca="false">'Listado CAPS'!A27</f>
        <v>0</v>
      </c>
      <c r="B342" s="353" t="n">
        <f aca="false">'Listado CAPS'!B27</f>
        <v>0</v>
      </c>
      <c r="C342" s="353" t="n">
        <f aca="false">'Listado CAPS'!C27</f>
        <v>0</v>
      </c>
      <c r="D342" s="353" t="str">
        <f aca="false">'Listado CAPS'!D27</f>
        <v>X</v>
      </c>
      <c r="E342" s="299" t="n">
        <v>1</v>
      </c>
      <c r="F342" s="354"/>
      <c r="G342" s="304"/>
      <c r="H342" s="355"/>
      <c r="I342" s="299"/>
      <c r="J342" s="300" t="n">
        <f aca="false">IF(H342&lt;&gt;"OTROS",1,0)*IF(I342=1,1,0)</f>
        <v>0</v>
      </c>
      <c r="K342" s="356"/>
      <c r="L342" s="299"/>
      <c r="M342" s="299"/>
      <c r="N342" s="299"/>
      <c r="O342" s="299"/>
      <c r="P342" s="299"/>
      <c r="Q342" s="299"/>
      <c r="R342" s="299"/>
      <c r="S342" s="299"/>
      <c r="T342" s="299"/>
      <c r="U342" s="299"/>
      <c r="V342" s="299"/>
      <c r="W342" s="299"/>
      <c r="X342" s="299"/>
      <c r="Y342" s="299"/>
      <c r="Z342" s="299"/>
      <c r="AA342" s="299"/>
      <c r="AB342" s="299"/>
      <c r="AC342" s="300"/>
      <c r="AD342" s="302" t="n">
        <f aca="false">IF(SUM(L342:AC342)=0,0,SUM(L342:AC342)/'Conformación JD'!$X$31)</f>
        <v>0</v>
      </c>
      <c r="AE342" s="301" t="n">
        <f aca="false">SUM(L342:AC342)</f>
        <v>0</v>
      </c>
      <c r="AF342" s="301" t="n">
        <f aca="false">+AC342+AA342+Y342+W342+U342+S342+Q342+O342+M342</f>
        <v>0</v>
      </c>
      <c r="AG342" s="357" t="n">
        <f aca="false">IF(AE342=0,0,AF342/AE342)</f>
        <v>0</v>
      </c>
      <c r="AH342" s="299"/>
    </row>
    <row r="343" customFormat="false" ht="13.8" hidden="false" customHeight="false" outlineLevel="0" collapsed="false">
      <c r="A343" s="353"/>
      <c r="B343" s="353"/>
      <c r="C343" s="353"/>
      <c r="D343" s="353"/>
      <c r="E343" s="299" t="n">
        <v>2</v>
      </c>
      <c r="F343" s="354"/>
      <c r="G343" s="304"/>
      <c r="H343" s="355"/>
      <c r="I343" s="299"/>
      <c r="J343" s="300" t="n">
        <f aca="false">IF(H343&lt;&gt;"OTROS",1,0)*IF(I343=1,1,0)</f>
        <v>0</v>
      </c>
      <c r="K343" s="356"/>
      <c r="L343" s="299"/>
      <c r="M343" s="299"/>
      <c r="N343" s="299"/>
      <c r="O343" s="299"/>
      <c r="P343" s="299"/>
      <c r="Q343" s="299"/>
      <c r="R343" s="299"/>
      <c r="S343" s="299"/>
      <c r="T343" s="299"/>
      <c r="U343" s="299"/>
      <c r="V343" s="299"/>
      <c r="W343" s="299"/>
      <c r="X343" s="299"/>
      <c r="Y343" s="299"/>
      <c r="Z343" s="299"/>
      <c r="AA343" s="299"/>
      <c r="AB343" s="299"/>
      <c r="AC343" s="300"/>
      <c r="AD343" s="302" t="n">
        <f aca="false">IF(SUM(L343:AC343)=0,0,SUM(L343:AC343)/'Conformación JD'!$X$31)</f>
        <v>0</v>
      </c>
      <c r="AE343" s="301" t="n">
        <f aca="false">SUM(L343:AC343)</f>
        <v>0</v>
      </c>
      <c r="AF343" s="301" t="n">
        <f aca="false">+AC343+AA343+Y343+W343+U343+S343+Q343+O343+M343</f>
        <v>0</v>
      </c>
      <c r="AG343" s="357" t="n">
        <f aca="false">IF(AE343=0,0,AF343/AE343)</f>
        <v>0</v>
      </c>
      <c r="AH343" s="358"/>
    </row>
    <row r="344" customFormat="false" ht="13.8" hidden="false" customHeight="false" outlineLevel="0" collapsed="false">
      <c r="A344" s="353"/>
      <c r="B344" s="353"/>
      <c r="C344" s="353"/>
      <c r="D344" s="353"/>
      <c r="E344" s="299" t="n">
        <v>3</v>
      </c>
      <c r="F344" s="354"/>
      <c r="G344" s="304"/>
      <c r="H344" s="355"/>
      <c r="I344" s="299"/>
      <c r="J344" s="300" t="n">
        <f aca="false">IF(H344&lt;&gt;"OTROS",1,0)*IF(I344=1,1,0)</f>
        <v>0</v>
      </c>
      <c r="K344" s="356"/>
      <c r="L344" s="299"/>
      <c r="M344" s="299"/>
      <c r="N344" s="299"/>
      <c r="O344" s="299"/>
      <c r="P344" s="299"/>
      <c r="Q344" s="299"/>
      <c r="R344" s="299"/>
      <c r="S344" s="299"/>
      <c r="T344" s="299"/>
      <c r="U344" s="299"/>
      <c r="V344" s="299"/>
      <c r="W344" s="299"/>
      <c r="X344" s="299"/>
      <c r="Y344" s="299"/>
      <c r="Z344" s="299"/>
      <c r="AA344" s="299"/>
      <c r="AB344" s="299"/>
      <c r="AC344" s="300"/>
      <c r="AD344" s="302" t="n">
        <f aca="false">IF(SUM(L344:AC344)=0,0,SUM(L344:AC344)/'Conformación JD'!$X$31)</f>
        <v>0</v>
      </c>
      <c r="AE344" s="301" t="n">
        <f aca="false">SUM(L344:AC344)</f>
        <v>0</v>
      </c>
      <c r="AF344" s="301" t="n">
        <f aca="false">+AC344+AA344+Y344+W344+U344+S344+Q344+O344+M344</f>
        <v>0</v>
      </c>
      <c r="AG344" s="357" t="n">
        <f aca="false">IF(AE344=0,0,AF344/AE344)</f>
        <v>0</v>
      </c>
      <c r="AH344" s="359"/>
    </row>
    <row r="345" customFormat="false" ht="13.8" hidden="false" customHeight="false" outlineLevel="0" collapsed="false">
      <c r="A345" s="353"/>
      <c r="B345" s="353"/>
      <c r="C345" s="353"/>
      <c r="D345" s="353"/>
      <c r="E345" s="299" t="n">
        <v>4</v>
      </c>
      <c r="F345" s="354"/>
      <c r="G345" s="355"/>
      <c r="H345" s="355"/>
      <c r="I345" s="299"/>
      <c r="J345" s="300" t="n">
        <f aca="false">IF(H345&lt;&gt;"OTROS",1,0)*IF(I345=1,1,0)</f>
        <v>0</v>
      </c>
      <c r="K345" s="356"/>
      <c r="L345" s="299"/>
      <c r="M345" s="299"/>
      <c r="N345" s="299"/>
      <c r="O345" s="299"/>
      <c r="P345" s="299"/>
      <c r="Q345" s="299"/>
      <c r="R345" s="299"/>
      <c r="S345" s="299"/>
      <c r="T345" s="299"/>
      <c r="U345" s="299"/>
      <c r="V345" s="299"/>
      <c r="W345" s="299"/>
      <c r="X345" s="299"/>
      <c r="Y345" s="299"/>
      <c r="Z345" s="299"/>
      <c r="AA345" s="299"/>
      <c r="AB345" s="299"/>
      <c r="AC345" s="300"/>
      <c r="AD345" s="302" t="n">
        <f aca="false">IF(SUM(L345:AC345)=0,0,SUM(L345:AC345)/'Conformación JD'!$X$31)</f>
        <v>0</v>
      </c>
      <c r="AE345" s="301" t="n">
        <f aca="false">SUM(L345:AC345)</f>
        <v>0</v>
      </c>
      <c r="AF345" s="301" t="n">
        <f aca="false">+AC345+AA345+Y345+W345+U345+S345+Q345+O345+M345</f>
        <v>0</v>
      </c>
      <c r="AG345" s="357" t="n">
        <f aca="false">IF(AE345=0,0,AF345/AE345)</f>
        <v>0</v>
      </c>
      <c r="AH345" s="358"/>
    </row>
    <row r="346" customFormat="false" ht="13.8" hidden="false" customHeight="false" outlineLevel="0" collapsed="false">
      <c r="A346" s="353"/>
      <c r="B346" s="353"/>
      <c r="C346" s="353"/>
      <c r="D346" s="353"/>
      <c r="E346" s="299" t="n">
        <v>5</v>
      </c>
      <c r="F346" s="354"/>
      <c r="G346" s="355"/>
      <c r="H346" s="355"/>
      <c r="I346" s="299"/>
      <c r="J346" s="300" t="n">
        <f aca="false">IF(H346&lt;&gt;"OTROS",1,0)*IF(I346=1,1,0)</f>
        <v>0</v>
      </c>
      <c r="K346" s="356"/>
      <c r="L346" s="299"/>
      <c r="M346" s="299"/>
      <c r="N346" s="299"/>
      <c r="O346" s="299"/>
      <c r="P346" s="299"/>
      <c r="Q346" s="299"/>
      <c r="R346" s="299"/>
      <c r="S346" s="299"/>
      <c r="T346" s="299"/>
      <c r="U346" s="299"/>
      <c r="V346" s="299"/>
      <c r="W346" s="299"/>
      <c r="X346" s="299"/>
      <c r="Y346" s="299"/>
      <c r="Z346" s="299"/>
      <c r="AA346" s="299"/>
      <c r="AB346" s="299"/>
      <c r="AC346" s="300"/>
      <c r="AD346" s="302" t="n">
        <f aca="false">IF(SUM(L346:AC346)=0,0,SUM(L346:AC346)/'Conformación JD'!$X$31)</f>
        <v>0</v>
      </c>
      <c r="AE346" s="301" t="n">
        <f aca="false">SUM(L346:AC346)</f>
        <v>0</v>
      </c>
      <c r="AF346" s="301" t="n">
        <f aca="false">+AC346+AA346+Y346+W346+U346+S346+Q346+O346+M346</f>
        <v>0</v>
      </c>
      <c r="AG346" s="357" t="n">
        <f aca="false">IF(AE346=0,0,AF346/AE346)</f>
        <v>0</v>
      </c>
      <c r="AH346" s="358"/>
    </row>
    <row r="347" customFormat="false" ht="13.8" hidden="false" customHeight="false" outlineLevel="0" collapsed="false">
      <c r="A347" s="353"/>
      <c r="B347" s="353"/>
      <c r="C347" s="353"/>
      <c r="D347" s="353"/>
      <c r="E347" s="299" t="n">
        <v>6</v>
      </c>
      <c r="F347" s="354"/>
      <c r="G347" s="355"/>
      <c r="H347" s="355"/>
      <c r="I347" s="299"/>
      <c r="J347" s="300" t="n">
        <f aca="false">IF(H347&lt;&gt;"OTROS",1,0)*IF(I347=1,1,0)</f>
        <v>0</v>
      </c>
      <c r="K347" s="356"/>
      <c r="L347" s="299"/>
      <c r="M347" s="299"/>
      <c r="N347" s="299"/>
      <c r="O347" s="299"/>
      <c r="P347" s="299"/>
      <c r="Q347" s="299"/>
      <c r="R347" s="299"/>
      <c r="S347" s="299"/>
      <c r="T347" s="299"/>
      <c r="U347" s="299"/>
      <c r="V347" s="299"/>
      <c r="W347" s="299"/>
      <c r="X347" s="299"/>
      <c r="Y347" s="299"/>
      <c r="Z347" s="299"/>
      <c r="AA347" s="299"/>
      <c r="AB347" s="299"/>
      <c r="AC347" s="300"/>
      <c r="AD347" s="302" t="n">
        <f aca="false">IF(SUM(L347:AC347)=0,0,SUM(L347:AC347)/'Conformación JD'!$X$31)</f>
        <v>0</v>
      </c>
      <c r="AE347" s="301" t="n">
        <f aca="false">SUM(L347:AC347)</f>
        <v>0</v>
      </c>
      <c r="AF347" s="301" t="n">
        <f aca="false">+AC347+AA347+Y347+W347+U347+S347+Q347+O347+M347</f>
        <v>0</v>
      </c>
      <c r="AG347" s="357" t="n">
        <f aca="false">IF(AE347=0,0,AF347/AE347)</f>
        <v>0</v>
      </c>
      <c r="AH347" s="358"/>
    </row>
    <row r="348" customFormat="false" ht="13.8" hidden="false" customHeight="false" outlineLevel="0" collapsed="false">
      <c r="A348" s="353"/>
      <c r="B348" s="353"/>
      <c r="C348" s="353"/>
      <c r="D348" s="353"/>
      <c r="E348" s="299" t="n">
        <v>7</v>
      </c>
      <c r="F348" s="354"/>
      <c r="G348" s="355"/>
      <c r="H348" s="355"/>
      <c r="I348" s="299"/>
      <c r="J348" s="300" t="n">
        <f aca="false">IF(H348&lt;&gt;"OTROS",1,0)*IF(I348=1,1,0)</f>
        <v>0</v>
      </c>
      <c r="K348" s="356"/>
      <c r="L348" s="299"/>
      <c r="M348" s="299"/>
      <c r="N348" s="299"/>
      <c r="O348" s="299"/>
      <c r="P348" s="299"/>
      <c r="Q348" s="299"/>
      <c r="R348" s="299"/>
      <c r="S348" s="299"/>
      <c r="T348" s="299"/>
      <c r="U348" s="299"/>
      <c r="V348" s="299"/>
      <c r="W348" s="299"/>
      <c r="X348" s="299"/>
      <c r="Y348" s="299"/>
      <c r="Z348" s="299"/>
      <c r="AA348" s="299"/>
      <c r="AB348" s="299"/>
      <c r="AC348" s="300"/>
      <c r="AD348" s="302" t="n">
        <f aca="false">IF(SUM(L348:AC348)=0,0,SUM(L348:AC348)/'Conformación JD'!$X$31)</f>
        <v>0</v>
      </c>
      <c r="AE348" s="301" t="n">
        <f aca="false">SUM(L348:AC348)</f>
        <v>0</v>
      </c>
      <c r="AF348" s="301" t="n">
        <f aca="false">+AC348+AA348+Y348+W348+U348+S348+Q348+O348+M348</f>
        <v>0</v>
      </c>
      <c r="AG348" s="357" t="n">
        <f aca="false">IF(AE348=0,0,AF348/AE348)</f>
        <v>0</v>
      </c>
      <c r="AH348" s="358"/>
    </row>
    <row r="349" customFormat="false" ht="13.8" hidden="false" customHeight="false" outlineLevel="0" collapsed="false">
      <c r="A349" s="353"/>
      <c r="B349" s="353"/>
      <c r="C349" s="353"/>
      <c r="D349" s="353"/>
      <c r="E349" s="299" t="n">
        <v>8</v>
      </c>
      <c r="F349" s="354"/>
      <c r="G349" s="355"/>
      <c r="H349" s="355"/>
      <c r="I349" s="299"/>
      <c r="J349" s="300" t="n">
        <f aca="false">IF(H349&lt;&gt;"OTROS",1,0)*IF(I349=1,1,0)</f>
        <v>0</v>
      </c>
      <c r="K349" s="356"/>
      <c r="L349" s="299"/>
      <c r="M349" s="299"/>
      <c r="N349" s="299"/>
      <c r="O349" s="299"/>
      <c r="P349" s="299"/>
      <c r="Q349" s="299"/>
      <c r="R349" s="299"/>
      <c r="S349" s="299"/>
      <c r="T349" s="299"/>
      <c r="U349" s="299"/>
      <c r="V349" s="299"/>
      <c r="W349" s="299"/>
      <c r="X349" s="299"/>
      <c r="Y349" s="299"/>
      <c r="Z349" s="299"/>
      <c r="AA349" s="299"/>
      <c r="AB349" s="299"/>
      <c r="AC349" s="300"/>
      <c r="AD349" s="302" t="n">
        <f aca="false">IF(SUM(L349:AC349)=0,0,SUM(L349:AC349)/'Conformación JD'!$X$31)</f>
        <v>0</v>
      </c>
      <c r="AE349" s="301" t="n">
        <f aca="false">SUM(L349:AC349)</f>
        <v>0</v>
      </c>
      <c r="AF349" s="301" t="n">
        <f aca="false">+AC349+AA349+Y349+W349+U349+S349+Q349+O349+M349</f>
        <v>0</v>
      </c>
      <c r="AG349" s="357" t="n">
        <f aca="false">IF(AE349=0,0,AF349/AE349)</f>
        <v>0</v>
      </c>
      <c r="AH349" s="358"/>
    </row>
    <row r="350" customFormat="false" ht="13.8" hidden="false" customHeight="false" outlineLevel="0" collapsed="false">
      <c r="A350" s="353"/>
      <c r="B350" s="353"/>
      <c r="C350" s="353"/>
      <c r="D350" s="353"/>
      <c r="E350" s="299" t="n">
        <v>9</v>
      </c>
      <c r="F350" s="354"/>
      <c r="G350" s="355"/>
      <c r="H350" s="355"/>
      <c r="I350" s="299"/>
      <c r="J350" s="300" t="n">
        <f aca="false">IF(H350&lt;&gt;"OTROS",1,0)*IF(I350=1,1,0)</f>
        <v>0</v>
      </c>
      <c r="K350" s="356"/>
      <c r="L350" s="299"/>
      <c r="M350" s="299"/>
      <c r="N350" s="299"/>
      <c r="O350" s="299"/>
      <c r="P350" s="299"/>
      <c r="Q350" s="299"/>
      <c r="R350" s="299"/>
      <c r="S350" s="299"/>
      <c r="T350" s="299"/>
      <c r="U350" s="299"/>
      <c r="V350" s="299"/>
      <c r="W350" s="299"/>
      <c r="X350" s="299"/>
      <c r="Y350" s="299"/>
      <c r="Z350" s="299"/>
      <c r="AA350" s="299"/>
      <c r="AB350" s="299"/>
      <c r="AC350" s="300"/>
      <c r="AD350" s="302" t="n">
        <f aca="false">IF(SUM(L350:AC350)=0,0,SUM(L350:AC350)/'Conformación JD'!$X$31)</f>
        <v>0</v>
      </c>
      <c r="AE350" s="301" t="n">
        <f aca="false">SUM(L350:AC350)</f>
        <v>0</v>
      </c>
      <c r="AF350" s="301" t="n">
        <f aca="false">+AC350+AA350+Y350+W350+U350+S350+Q350+O350+M350</f>
        <v>0</v>
      </c>
      <c r="AG350" s="357" t="n">
        <f aca="false">IF(AE350=0,0,AF350/AE350)</f>
        <v>0</v>
      </c>
      <c r="AH350" s="358"/>
    </row>
    <row r="351" customFormat="false" ht="13.8" hidden="false" customHeight="false" outlineLevel="0" collapsed="false">
      <c r="A351" s="353"/>
      <c r="B351" s="353"/>
      <c r="C351" s="353"/>
      <c r="D351" s="353"/>
      <c r="E351" s="360" t="n">
        <v>10</v>
      </c>
      <c r="F351" s="361"/>
      <c r="G351" s="362"/>
      <c r="H351" s="362"/>
      <c r="I351" s="360"/>
      <c r="J351" s="300" t="n">
        <f aca="false">IF(H351&lt;&gt;"OTROS",1,0)*IF(I351=1,1,0)</f>
        <v>0</v>
      </c>
      <c r="K351" s="356"/>
      <c r="L351" s="360"/>
      <c r="M351" s="360"/>
      <c r="N351" s="360"/>
      <c r="O351" s="360"/>
      <c r="P351" s="360"/>
      <c r="Q351" s="360"/>
      <c r="R351" s="360"/>
      <c r="S351" s="360"/>
      <c r="T351" s="360"/>
      <c r="U351" s="360"/>
      <c r="V351" s="360"/>
      <c r="W351" s="360"/>
      <c r="X351" s="360"/>
      <c r="Y351" s="360"/>
      <c r="Z351" s="360"/>
      <c r="AA351" s="360"/>
      <c r="AB351" s="360"/>
      <c r="AC351" s="363"/>
      <c r="AD351" s="302" t="n">
        <f aca="false">IF(SUM(L351:AC351)=0,0,SUM(L351:AC351)/'Conformación JD'!$X$31)</f>
        <v>0</v>
      </c>
      <c r="AE351" s="301" t="n">
        <f aca="false">SUM(L351:AC351)</f>
        <v>0</v>
      </c>
      <c r="AF351" s="301" t="n">
        <f aca="false">+AC351+AA351+Y351+W351+U351+S351+Q351+O351+M351</f>
        <v>0</v>
      </c>
      <c r="AG351" s="357" t="n">
        <f aca="false">IF(AE351=0,0,AF351/AE351)</f>
        <v>0</v>
      </c>
      <c r="AH351" s="358"/>
    </row>
    <row r="352" customFormat="false" ht="13.8" hidden="false" customHeight="true" outlineLevel="0" collapsed="false">
      <c r="A352" s="305"/>
      <c r="B352" s="305"/>
      <c r="C352" s="305"/>
      <c r="D352" s="305"/>
      <c r="E352" s="364" t="s">
        <v>366</v>
      </c>
      <c r="F352" s="364"/>
      <c r="G352" s="364"/>
      <c r="H352" s="364"/>
      <c r="I352" s="365" t="n">
        <f aca="false">IF((COUNTIF(G342:G351,"&lt;&gt;"))&lt;&gt;0,SUM(I342:I351)/COUNTIF(G342:G351,"&lt;&gt;"),0)</f>
        <v>0</v>
      </c>
      <c r="J352" s="366" t="n">
        <f aca="false">IF((COUNTIF(H342:H351,"&lt;&gt;"))&lt;&gt;0,SUM(J342:J351)/COUNTIF(H342:H351,"&lt;&gt;"),0)</f>
        <v>0</v>
      </c>
      <c r="K352" s="310" t="n">
        <f aca="false">IF((COUNTIF(H342:H351,"&lt;&gt;"))&lt;&gt;0,SUM(K342:K351)/COUNTIF(H342:H351,"&lt;&gt;"),0)</f>
        <v>0</v>
      </c>
      <c r="L352" s="307" t="n">
        <f aca="false">SUM(L342:L351)</f>
        <v>0</v>
      </c>
      <c r="M352" s="307" t="n">
        <f aca="false">SUM(M342:M351)</f>
        <v>0</v>
      </c>
      <c r="N352" s="307" t="n">
        <f aca="false">SUM(N342:N351)</f>
        <v>0</v>
      </c>
      <c r="O352" s="307" t="n">
        <f aca="false">SUM(O342:O351)</f>
        <v>0</v>
      </c>
      <c r="P352" s="307" t="n">
        <f aca="false">SUM(P342:P351)</f>
        <v>0</v>
      </c>
      <c r="Q352" s="307" t="n">
        <f aca="false">SUM(Q342:Q351)</f>
        <v>0</v>
      </c>
      <c r="R352" s="307" t="n">
        <f aca="false">SUM(R342:R351)</f>
        <v>0</v>
      </c>
      <c r="S352" s="307" t="n">
        <f aca="false">SUM(S342:S351)</f>
        <v>0</v>
      </c>
      <c r="T352" s="307" t="n">
        <f aca="false">SUM(T342:T351)</f>
        <v>0</v>
      </c>
      <c r="U352" s="307" t="n">
        <f aca="false">SUM(U342:U351)</f>
        <v>0</v>
      </c>
      <c r="V352" s="307" t="n">
        <f aca="false">SUM(V342:V351)</f>
        <v>0</v>
      </c>
      <c r="W352" s="307" t="n">
        <f aca="false">SUM(W342:W351)</f>
        <v>0</v>
      </c>
      <c r="X352" s="307" t="n">
        <f aca="false">SUM(X342:X351)</f>
        <v>0</v>
      </c>
      <c r="Y352" s="307" t="n">
        <f aca="false">SUM(Y342:Y351)</f>
        <v>0</v>
      </c>
      <c r="Z352" s="307" t="n">
        <f aca="false">SUM(Z342:Z351)</f>
        <v>0</v>
      </c>
      <c r="AA352" s="307" t="n">
        <f aca="false">SUM(AA342:AA351)</f>
        <v>0</v>
      </c>
      <c r="AB352" s="307" t="n">
        <f aca="false">SUM(AB342:AB351)</f>
        <v>0</v>
      </c>
      <c r="AC352" s="307" t="n">
        <f aca="false">SUM(AC342:AC351)</f>
        <v>0</v>
      </c>
      <c r="AD352" s="310" t="n">
        <f aca="false">IF(SUM(AD342:AD351)=0,0,SUM(AD342:AD351)/COUNTIF(AD342:AD351,"&lt;&gt;0"))</f>
        <v>0</v>
      </c>
      <c r="AE352" s="365" t="n">
        <f aca="false">IF(SUM(AE342:AE351)=0,0,SUM(AE342:AE351)/COUNTIF(AE342:AE351,"&lt;&gt;0"))</f>
        <v>0</v>
      </c>
      <c r="AF352" s="365" t="n">
        <f aca="false">IF(SUM(AF342:AF351)=0,0,SUM(AF342:AF351)/COUNTIF(AF342:AF351,"&lt;&gt;0"))</f>
        <v>0</v>
      </c>
      <c r="AG352" s="310" t="n">
        <f aca="false">IF(SUM(AG342:AG351)=0,0,SUM(AG342:AG351)/COUNTIF(AD342:AD351,"&lt;&gt;0"))</f>
        <v>0</v>
      </c>
      <c r="AH352" s="367"/>
    </row>
    <row r="353" customFormat="false" ht="12.75" hidden="false" customHeight="true" outlineLevel="0" collapsed="false">
      <c r="A353" s="287" t="s">
        <v>315</v>
      </c>
      <c r="B353" s="287" t="s">
        <v>316</v>
      </c>
      <c r="C353" s="287" t="s">
        <v>317</v>
      </c>
      <c r="D353" s="288" t="s">
        <v>318</v>
      </c>
      <c r="E353" s="344" t="s">
        <v>349</v>
      </c>
      <c r="F353" s="345" t="s">
        <v>350</v>
      </c>
      <c r="G353" s="346" t="s">
        <v>351</v>
      </c>
      <c r="H353" s="347" t="s">
        <v>352</v>
      </c>
      <c r="I353" s="348" t="s">
        <v>353</v>
      </c>
      <c r="J353" s="348" t="s">
        <v>354</v>
      </c>
      <c r="K353" s="347" t="s">
        <v>355</v>
      </c>
      <c r="L353" s="346" t="s">
        <v>320</v>
      </c>
      <c r="M353" s="346"/>
      <c r="N353" s="346"/>
      <c r="O353" s="346"/>
      <c r="P353" s="346"/>
      <c r="Q353" s="346"/>
      <c r="R353" s="346"/>
      <c r="S353" s="346"/>
      <c r="T353" s="346"/>
      <c r="U353" s="346"/>
      <c r="V353" s="346"/>
      <c r="W353" s="346"/>
      <c r="X353" s="346"/>
      <c r="Y353" s="346"/>
      <c r="Z353" s="346"/>
      <c r="AA353" s="346"/>
      <c r="AB353" s="346"/>
      <c r="AC353" s="346"/>
      <c r="AD353" s="349"/>
      <c r="AE353" s="349"/>
      <c r="AF353" s="349"/>
      <c r="AG353" s="349"/>
      <c r="AH353" s="184"/>
    </row>
    <row r="354" customFormat="false" ht="12.75" hidden="false" customHeight="true" outlineLevel="0" collapsed="false">
      <c r="A354" s="287"/>
      <c r="B354" s="287"/>
      <c r="C354" s="287"/>
      <c r="D354" s="288"/>
      <c r="E354" s="344"/>
      <c r="F354" s="345"/>
      <c r="G354" s="346"/>
      <c r="H354" s="347"/>
      <c r="I354" s="348"/>
      <c r="J354" s="348"/>
      <c r="K354" s="347"/>
      <c r="L354" s="293" t="s">
        <v>321</v>
      </c>
      <c r="M354" s="293"/>
      <c r="N354" s="293" t="s">
        <v>356</v>
      </c>
      <c r="O354" s="293"/>
      <c r="P354" s="293" t="s">
        <v>357</v>
      </c>
      <c r="Q354" s="293"/>
      <c r="R354" s="293" t="s">
        <v>324</v>
      </c>
      <c r="S354" s="293"/>
      <c r="T354" s="293" t="s">
        <v>325</v>
      </c>
      <c r="U354" s="293"/>
      <c r="V354" s="293" t="s">
        <v>326</v>
      </c>
      <c r="W354" s="293"/>
      <c r="X354" s="293" t="s">
        <v>327</v>
      </c>
      <c r="Y354" s="293"/>
      <c r="Z354" s="293" t="s">
        <v>328</v>
      </c>
      <c r="AA354" s="293"/>
      <c r="AB354" s="293" t="s">
        <v>329</v>
      </c>
      <c r="AC354" s="293"/>
      <c r="AD354" s="350" t="s">
        <v>358</v>
      </c>
      <c r="AE354" s="350" t="s">
        <v>359</v>
      </c>
      <c r="AF354" s="350" t="s">
        <v>360</v>
      </c>
      <c r="AG354" s="350" t="s">
        <v>361</v>
      </c>
      <c r="AH354" s="351" t="s">
        <v>362</v>
      </c>
    </row>
    <row r="355" customFormat="false" ht="39" hidden="false" customHeight="true" outlineLevel="0" collapsed="false">
      <c r="A355" s="287"/>
      <c r="B355" s="287"/>
      <c r="C355" s="287"/>
      <c r="D355" s="288"/>
      <c r="E355" s="344"/>
      <c r="F355" s="345"/>
      <c r="G355" s="346"/>
      <c r="H355" s="347"/>
      <c r="I355" s="348"/>
      <c r="J355" s="348"/>
      <c r="K355" s="347"/>
      <c r="L355" s="295" t="s">
        <v>68</v>
      </c>
      <c r="M355" s="295" t="s">
        <v>298</v>
      </c>
      <c r="N355" s="295" t="s">
        <v>68</v>
      </c>
      <c r="O355" s="295" t="s">
        <v>298</v>
      </c>
      <c r="P355" s="295" t="s">
        <v>68</v>
      </c>
      <c r="Q355" s="295" t="s">
        <v>298</v>
      </c>
      <c r="R355" s="295" t="s">
        <v>68</v>
      </c>
      <c r="S355" s="295" t="s">
        <v>298</v>
      </c>
      <c r="T355" s="295" t="s">
        <v>68</v>
      </c>
      <c r="U355" s="295" t="s">
        <v>298</v>
      </c>
      <c r="V355" s="295" t="s">
        <v>68</v>
      </c>
      <c r="W355" s="295" t="s">
        <v>298</v>
      </c>
      <c r="X355" s="295" t="s">
        <v>68</v>
      </c>
      <c r="Y355" s="295" t="s">
        <v>298</v>
      </c>
      <c r="Z355" s="295" t="s">
        <v>68</v>
      </c>
      <c r="AA355" s="295" t="s">
        <v>298</v>
      </c>
      <c r="AB355" s="295" t="s">
        <v>68</v>
      </c>
      <c r="AC355" s="296" t="s">
        <v>298</v>
      </c>
      <c r="AD355" s="350"/>
      <c r="AE355" s="350"/>
      <c r="AF355" s="350"/>
      <c r="AG355" s="350"/>
      <c r="AH355" s="351"/>
    </row>
    <row r="356" customFormat="false" ht="13.8" hidden="false" customHeight="false" outlineLevel="0" collapsed="false">
      <c r="A356" s="353" t="n">
        <f aca="false">'Listado CAPS'!A28</f>
        <v>0</v>
      </c>
      <c r="B356" s="353" t="n">
        <f aca="false">'Listado CAPS'!B28</f>
        <v>0</v>
      </c>
      <c r="C356" s="353" t="n">
        <f aca="false">'Listado CAPS'!C28</f>
        <v>0</v>
      </c>
      <c r="D356" s="353" t="str">
        <f aca="false">'Listado CAPS'!D28</f>
        <v>Y</v>
      </c>
      <c r="E356" s="299" t="n">
        <v>1</v>
      </c>
      <c r="F356" s="354"/>
      <c r="G356" s="304"/>
      <c r="H356" s="355"/>
      <c r="I356" s="299"/>
      <c r="J356" s="300" t="n">
        <f aca="false">IF(H356&lt;&gt;"OTROS",1,0)*IF(I356=1,1,0)</f>
        <v>0</v>
      </c>
      <c r="K356" s="356"/>
      <c r="L356" s="299"/>
      <c r="M356" s="299"/>
      <c r="N356" s="299"/>
      <c r="O356" s="299"/>
      <c r="P356" s="299"/>
      <c r="Q356" s="299"/>
      <c r="R356" s="299"/>
      <c r="S356" s="299"/>
      <c r="T356" s="299"/>
      <c r="U356" s="299"/>
      <c r="V356" s="299"/>
      <c r="W356" s="299"/>
      <c r="X356" s="299"/>
      <c r="Y356" s="299"/>
      <c r="Z356" s="299"/>
      <c r="AA356" s="299"/>
      <c r="AB356" s="299"/>
      <c r="AC356" s="300"/>
      <c r="AD356" s="302" t="n">
        <f aca="false">IF(SUM(L356:AC356)=0,0,SUM(L356:AC356)/'Conformación JD'!$X$32)</f>
        <v>0</v>
      </c>
      <c r="AE356" s="301" t="n">
        <f aca="false">SUM(L356:AC356)</f>
        <v>0</v>
      </c>
      <c r="AF356" s="301" t="n">
        <f aca="false">+AC356+AA356+Y356+W356+U356+S356+Q356+O356+M356</f>
        <v>0</v>
      </c>
      <c r="AG356" s="357" t="n">
        <f aca="false">IF(AE356=0,0,AF356/AE356)</f>
        <v>0</v>
      </c>
      <c r="AH356" s="299"/>
    </row>
    <row r="357" customFormat="false" ht="13.8" hidden="false" customHeight="false" outlineLevel="0" collapsed="false">
      <c r="A357" s="353"/>
      <c r="B357" s="353"/>
      <c r="C357" s="353"/>
      <c r="D357" s="353"/>
      <c r="E357" s="299" t="n">
        <v>2</v>
      </c>
      <c r="F357" s="354"/>
      <c r="G357" s="304"/>
      <c r="H357" s="355"/>
      <c r="I357" s="299"/>
      <c r="J357" s="300" t="n">
        <f aca="false">IF(H357&lt;&gt;"OTROS",1,0)*IF(I357=1,1,0)</f>
        <v>0</v>
      </c>
      <c r="K357" s="356"/>
      <c r="L357" s="299"/>
      <c r="M357" s="299"/>
      <c r="N357" s="299"/>
      <c r="O357" s="299"/>
      <c r="P357" s="299"/>
      <c r="Q357" s="299"/>
      <c r="R357" s="299"/>
      <c r="S357" s="299"/>
      <c r="T357" s="299"/>
      <c r="U357" s="299"/>
      <c r="V357" s="299"/>
      <c r="W357" s="299"/>
      <c r="X357" s="299"/>
      <c r="Y357" s="299"/>
      <c r="Z357" s="299"/>
      <c r="AA357" s="299"/>
      <c r="AB357" s="299"/>
      <c r="AC357" s="300"/>
      <c r="AD357" s="302" t="n">
        <f aca="false">IF(SUM(L357:AC357)=0,0,SUM(L357:AC357)/'Conformación JD'!$X$32)</f>
        <v>0</v>
      </c>
      <c r="AE357" s="301" t="n">
        <f aca="false">SUM(L357:AC357)</f>
        <v>0</v>
      </c>
      <c r="AF357" s="301" t="n">
        <f aca="false">+AC357+AA357+Y357+W357+U357+S357+Q357+O357+M357</f>
        <v>0</v>
      </c>
      <c r="AG357" s="357" t="n">
        <f aca="false">IF(AE357=0,0,AF357/AE357)</f>
        <v>0</v>
      </c>
      <c r="AH357" s="358"/>
    </row>
    <row r="358" customFormat="false" ht="13.8" hidden="false" customHeight="false" outlineLevel="0" collapsed="false">
      <c r="A358" s="353"/>
      <c r="B358" s="353"/>
      <c r="C358" s="353"/>
      <c r="D358" s="353"/>
      <c r="E358" s="299" t="n">
        <v>3</v>
      </c>
      <c r="F358" s="354"/>
      <c r="G358" s="304"/>
      <c r="H358" s="355"/>
      <c r="I358" s="299"/>
      <c r="J358" s="300" t="n">
        <f aca="false">IF(H358&lt;&gt;"OTROS",1,0)*IF(I358=1,1,0)</f>
        <v>0</v>
      </c>
      <c r="K358" s="356"/>
      <c r="L358" s="299"/>
      <c r="M358" s="299"/>
      <c r="N358" s="299"/>
      <c r="O358" s="299"/>
      <c r="P358" s="299"/>
      <c r="Q358" s="299"/>
      <c r="R358" s="299"/>
      <c r="S358" s="299"/>
      <c r="T358" s="299"/>
      <c r="U358" s="299"/>
      <c r="V358" s="299"/>
      <c r="W358" s="299"/>
      <c r="X358" s="299"/>
      <c r="Y358" s="299"/>
      <c r="Z358" s="299"/>
      <c r="AA358" s="299"/>
      <c r="AB358" s="299"/>
      <c r="AC358" s="300"/>
      <c r="AD358" s="302" t="n">
        <f aca="false">IF(SUM(L358:AC358)=0,0,SUM(L358:AC358)/'Conformación JD'!$X$32)</f>
        <v>0</v>
      </c>
      <c r="AE358" s="301" t="n">
        <f aca="false">SUM(L358:AC358)</f>
        <v>0</v>
      </c>
      <c r="AF358" s="301" t="n">
        <f aca="false">+AC358+AA358+Y358+W358+U358+S358+Q358+O358+M358</f>
        <v>0</v>
      </c>
      <c r="AG358" s="357" t="n">
        <f aca="false">IF(AE358=0,0,AF358/AE358)</f>
        <v>0</v>
      </c>
      <c r="AH358" s="359"/>
    </row>
    <row r="359" customFormat="false" ht="13.8" hidden="false" customHeight="false" outlineLevel="0" collapsed="false">
      <c r="A359" s="353"/>
      <c r="B359" s="353"/>
      <c r="C359" s="353"/>
      <c r="D359" s="353"/>
      <c r="E359" s="299" t="n">
        <v>4</v>
      </c>
      <c r="F359" s="354"/>
      <c r="G359" s="355"/>
      <c r="H359" s="355"/>
      <c r="I359" s="299"/>
      <c r="J359" s="300" t="n">
        <f aca="false">IF(H359&lt;&gt;"OTROS",1,0)*IF(I359=1,1,0)</f>
        <v>0</v>
      </c>
      <c r="K359" s="356"/>
      <c r="L359" s="299"/>
      <c r="M359" s="299"/>
      <c r="N359" s="299"/>
      <c r="O359" s="299"/>
      <c r="P359" s="299"/>
      <c r="Q359" s="299"/>
      <c r="R359" s="299"/>
      <c r="S359" s="299"/>
      <c r="T359" s="299"/>
      <c r="U359" s="299"/>
      <c r="V359" s="299"/>
      <c r="W359" s="299"/>
      <c r="X359" s="299"/>
      <c r="Y359" s="299"/>
      <c r="Z359" s="299"/>
      <c r="AA359" s="299"/>
      <c r="AB359" s="299"/>
      <c r="AC359" s="300"/>
      <c r="AD359" s="302" t="n">
        <f aca="false">IF(SUM(L359:AC359)=0,0,SUM(L359:AC359)/'Conformación JD'!$X$32)</f>
        <v>0</v>
      </c>
      <c r="AE359" s="301" t="n">
        <f aca="false">SUM(L359:AC359)</f>
        <v>0</v>
      </c>
      <c r="AF359" s="301" t="n">
        <f aca="false">+AC359+AA359+Y359+W359+U359+S359+Q359+O359+M359</f>
        <v>0</v>
      </c>
      <c r="AG359" s="357" t="n">
        <f aca="false">IF(AE359=0,0,AF359/AE359)</f>
        <v>0</v>
      </c>
      <c r="AH359" s="358"/>
    </row>
    <row r="360" customFormat="false" ht="13.8" hidden="false" customHeight="false" outlineLevel="0" collapsed="false">
      <c r="A360" s="353"/>
      <c r="B360" s="353"/>
      <c r="C360" s="353"/>
      <c r="D360" s="353"/>
      <c r="E360" s="299" t="n">
        <v>5</v>
      </c>
      <c r="F360" s="354"/>
      <c r="G360" s="355"/>
      <c r="H360" s="355"/>
      <c r="I360" s="299"/>
      <c r="J360" s="300" t="n">
        <f aca="false">IF(H360&lt;&gt;"OTROS",1,0)*IF(I360=1,1,0)</f>
        <v>0</v>
      </c>
      <c r="K360" s="356"/>
      <c r="L360" s="299"/>
      <c r="M360" s="299"/>
      <c r="N360" s="299"/>
      <c r="O360" s="299"/>
      <c r="P360" s="299"/>
      <c r="Q360" s="299"/>
      <c r="R360" s="299"/>
      <c r="S360" s="299"/>
      <c r="T360" s="299"/>
      <c r="U360" s="299"/>
      <c r="V360" s="299"/>
      <c r="W360" s="299"/>
      <c r="X360" s="299"/>
      <c r="Y360" s="299"/>
      <c r="Z360" s="299"/>
      <c r="AA360" s="299"/>
      <c r="AB360" s="299"/>
      <c r="AC360" s="300"/>
      <c r="AD360" s="302" t="n">
        <f aca="false">IF(SUM(L360:AC360)=0,0,SUM(L360:AC360)/'Conformación JD'!$X$32)</f>
        <v>0</v>
      </c>
      <c r="AE360" s="301" t="n">
        <f aca="false">SUM(L360:AC360)</f>
        <v>0</v>
      </c>
      <c r="AF360" s="301" t="n">
        <f aca="false">+AC360+AA360+Y360+W360+U360+S360+Q360+O360+M360</f>
        <v>0</v>
      </c>
      <c r="AG360" s="357" t="n">
        <f aca="false">IF(AE360=0,0,AF360/AE360)</f>
        <v>0</v>
      </c>
      <c r="AH360" s="358"/>
    </row>
    <row r="361" customFormat="false" ht="13.8" hidden="false" customHeight="false" outlineLevel="0" collapsed="false">
      <c r="A361" s="353"/>
      <c r="B361" s="353"/>
      <c r="C361" s="353"/>
      <c r="D361" s="353"/>
      <c r="E361" s="299" t="n">
        <v>6</v>
      </c>
      <c r="F361" s="354"/>
      <c r="G361" s="355"/>
      <c r="H361" s="355"/>
      <c r="I361" s="299"/>
      <c r="J361" s="300" t="n">
        <f aca="false">IF(H361&lt;&gt;"OTROS",1,0)*IF(I361=1,1,0)</f>
        <v>0</v>
      </c>
      <c r="K361" s="356"/>
      <c r="L361" s="299"/>
      <c r="M361" s="299"/>
      <c r="N361" s="299"/>
      <c r="O361" s="299"/>
      <c r="P361" s="299"/>
      <c r="Q361" s="299"/>
      <c r="R361" s="299"/>
      <c r="S361" s="299"/>
      <c r="T361" s="299"/>
      <c r="U361" s="299"/>
      <c r="V361" s="299"/>
      <c r="W361" s="299"/>
      <c r="X361" s="299"/>
      <c r="Y361" s="299"/>
      <c r="Z361" s="299"/>
      <c r="AA361" s="299"/>
      <c r="AB361" s="299"/>
      <c r="AC361" s="300"/>
      <c r="AD361" s="302" t="n">
        <f aca="false">IF(SUM(L361:AC361)=0,0,SUM(L361:AC361)/'Conformación JD'!$X$32)</f>
        <v>0</v>
      </c>
      <c r="AE361" s="301" t="n">
        <f aca="false">SUM(L361:AC361)</f>
        <v>0</v>
      </c>
      <c r="AF361" s="301" t="n">
        <f aca="false">+AC361+AA361+Y361+W361+U361+S361+Q361+O361+M361</f>
        <v>0</v>
      </c>
      <c r="AG361" s="357" t="n">
        <f aca="false">IF(AE361=0,0,AF361/AE361)</f>
        <v>0</v>
      </c>
      <c r="AH361" s="358"/>
    </row>
    <row r="362" customFormat="false" ht="13.8" hidden="false" customHeight="false" outlineLevel="0" collapsed="false">
      <c r="A362" s="353"/>
      <c r="B362" s="353"/>
      <c r="C362" s="353"/>
      <c r="D362" s="353"/>
      <c r="E362" s="299" t="n">
        <v>7</v>
      </c>
      <c r="F362" s="354"/>
      <c r="G362" s="355"/>
      <c r="H362" s="355"/>
      <c r="I362" s="299"/>
      <c r="J362" s="300" t="n">
        <f aca="false">IF(H362&lt;&gt;"OTROS",1,0)*IF(I362=1,1,0)</f>
        <v>0</v>
      </c>
      <c r="K362" s="356"/>
      <c r="L362" s="299"/>
      <c r="M362" s="299"/>
      <c r="N362" s="299"/>
      <c r="O362" s="299"/>
      <c r="P362" s="299"/>
      <c r="Q362" s="299"/>
      <c r="R362" s="299"/>
      <c r="S362" s="299"/>
      <c r="T362" s="299"/>
      <c r="U362" s="299"/>
      <c r="V362" s="299"/>
      <c r="W362" s="299"/>
      <c r="X362" s="299"/>
      <c r="Y362" s="299"/>
      <c r="Z362" s="299"/>
      <c r="AA362" s="299"/>
      <c r="AB362" s="299"/>
      <c r="AC362" s="300"/>
      <c r="AD362" s="302" t="n">
        <f aca="false">IF(SUM(L362:AC362)=0,0,SUM(L362:AC362)/'Conformación JD'!$X$32)</f>
        <v>0</v>
      </c>
      <c r="AE362" s="301" t="n">
        <f aca="false">SUM(L362:AC362)</f>
        <v>0</v>
      </c>
      <c r="AF362" s="301" t="n">
        <f aca="false">+AC362+AA362+Y362+W362+U362+S362+Q362+O362+M362</f>
        <v>0</v>
      </c>
      <c r="AG362" s="357" t="n">
        <f aca="false">IF(AE362=0,0,AF362/AE362)</f>
        <v>0</v>
      </c>
      <c r="AH362" s="358"/>
    </row>
    <row r="363" customFormat="false" ht="13.8" hidden="false" customHeight="false" outlineLevel="0" collapsed="false">
      <c r="A363" s="353"/>
      <c r="B363" s="353"/>
      <c r="C363" s="353"/>
      <c r="D363" s="353"/>
      <c r="E363" s="299" t="n">
        <v>8</v>
      </c>
      <c r="F363" s="354"/>
      <c r="G363" s="355"/>
      <c r="H363" s="355"/>
      <c r="I363" s="299"/>
      <c r="J363" s="300" t="n">
        <f aca="false">IF(H363&lt;&gt;"OTROS",1,0)*IF(I363=1,1,0)</f>
        <v>0</v>
      </c>
      <c r="K363" s="356"/>
      <c r="L363" s="299"/>
      <c r="M363" s="299"/>
      <c r="N363" s="299"/>
      <c r="O363" s="299"/>
      <c r="P363" s="299"/>
      <c r="Q363" s="299"/>
      <c r="R363" s="299"/>
      <c r="S363" s="299"/>
      <c r="T363" s="299"/>
      <c r="U363" s="299"/>
      <c r="V363" s="299"/>
      <c r="W363" s="299"/>
      <c r="X363" s="299"/>
      <c r="Y363" s="299"/>
      <c r="Z363" s="299"/>
      <c r="AA363" s="299"/>
      <c r="AB363" s="299"/>
      <c r="AC363" s="300"/>
      <c r="AD363" s="302" t="n">
        <f aca="false">IF(SUM(L363:AC363)=0,0,SUM(L363:AC363)/'Conformación JD'!$X$32)</f>
        <v>0</v>
      </c>
      <c r="AE363" s="301" t="n">
        <f aca="false">SUM(L363:AC363)</f>
        <v>0</v>
      </c>
      <c r="AF363" s="301" t="n">
        <f aca="false">+AC363+AA363+Y363+W363+U363+S363+Q363+O363+M363</f>
        <v>0</v>
      </c>
      <c r="AG363" s="357" t="n">
        <f aca="false">IF(AE363=0,0,AF363/AE363)</f>
        <v>0</v>
      </c>
      <c r="AH363" s="358"/>
    </row>
    <row r="364" customFormat="false" ht="13.8" hidden="false" customHeight="false" outlineLevel="0" collapsed="false">
      <c r="A364" s="353"/>
      <c r="B364" s="353"/>
      <c r="C364" s="353"/>
      <c r="D364" s="353"/>
      <c r="E364" s="299" t="n">
        <v>9</v>
      </c>
      <c r="F364" s="354"/>
      <c r="G364" s="355"/>
      <c r="H364" s="355"/>
      <c r="I364" s="299"/>
      <c r="J364" s="300" t="n">
        <f aca="false">IF(H364&lt;&gt;"OTROS",1,0)*IF(I364=1,1,0)</f>
        <v>0</v>
      </c>
      <c r="K364" s="356"/>
      <c r="L364" s="299"/>
      <c r="M364" s="299"/>
      <c r="N364" s="299"/>
      <c r="O364" s="299"/>
      <c r="P364" s="299"/>
      <c r="Q364" s="299"/>
      <c r="R364" s="299"/>
      <c r="S364" s="299"/>
      <c r="T364" s="299"/>
      <c r="U364" s="299"/>
      <c r="V364" s="299"/>
      <c r="W364" s="299"/>
      <c r="X364" s="299"/>
      <c r="Y364" s="299"/>
      <c r="Z364" s="299"/>
      <c r="AA364" s="299"/>
      <c r="AB364" s="299"/>
      <c r="AC364" s="300"/>
      <c r="AD364" s="302" t="n">
        <f aca="false">IF(SUM(L364:AC364)=0,0,SUM(L364:AC364)/'Conformación JD'!$X$32)</f>
        <v>0</v>
      </c>
      <c r="AE364" s="301" t="n">
        <f aca="false">SUM(L364:AC364)</f>
        <v>0</v>
      </c>
      <c r="AF364" s="301" t="n">
        <f aca="false">+AC364+AA364+Y364+W364+U364+S364+Q364+O364+M364</f>
        <v>0</v>
      </c>
      <c r="AG364" s="357" t="n">
        <f aca="false">IF(AE364=0,0,AF364/AE364)</f>
        <v>0</v>
      </c>
      <c r="AH364" s="358"/>
    </row>
    <row r="365" customFormat="false" ht="13.8" hidden="false" customHeight="false" outlineLevel="0" collapsed="false">
      <c r="A365" s="353"/>
      <c r="B365" s="353"/>
      <c r="C365" s="353"/>
      <c r="D365" s="353"/>
      <c r="E365" s="360" t="n">
        <v>10</v>
      </c>
      <c r="F365" s="361"/>
      <c r="G365" s="362"/>
      <c r="H365" s="362"/>
      <c r="I365" s="360"/>
      <c r="J365" s="300" t="n">
        <f aca="false">IF(H365&lt;&gt;"OTROS",1,0)*IF(I365=1,1,0)</f>
        <v>0</v>
      </c>
      <c r="K365" s="356"/>
      <c r="L365" s="360"/>
      <c r="M365" s="360"/>
      <c r="N365" s="360"/>
      <c r="O365" s="360"/>
      <c r="P365" s="360"/>
      <c r="Q365" s="360"/>
      <c r="R365" s="360"/>
      <c r="S365" s="360"/>
      <c r="T365" s="360"/>
      <c r="U365" s="360"/>
      <c r="V365" s="360"/>
      <c r="W365" s="360"/>
      <c r="X365" s="360"/>
      <c r="Y365" s="360"/>
      <c r="Z365" s="360"/>
      <c r="AA365" s="360"/>
      <c r="AB365" s="360"/>
      <c r="AC365" s="363"/>
      <c r="AD365" s="302" t="n">
        <f aca="false">IF(SUM(L365:AC365)=0,0,SUM(L365:AC365)/'Conformación JD'!$X$32)</f>
        <v>0</v>
      </c>
      <c r="AE365" s="301" t="n">
        <f aca="false">SUM(L365:AC365)</f>
        <v>0</v>
      </c>
      <c r="AF365" s="301" t="n">
        <f aca="false">+AC365+AA365+Y365+W365+U365+S365+Q365+O365+M365</f>
        <v>0</v>
      </c>
      <c r="AG365" s="357" t="n">
        <f aca="false">IF(AE365=0,0,AF365/AE365)</f>
        <v>0</v>
      </c>
      <c r="AH365" s="358"/>
    </row>
    <row r="366" customFormat="false" ht="13.8" hidden="false" customHeight="true" outlineLevel="0" collapsed="false">
      <c r="A366" s="305"/>
      <c r="B366" s="305"/>
      <c r="C366" s="305"/>
      <c r="D366" s="305"/>
      <c r="E366" s="364" t="s">
        <v>366</v>
      </c>
      <c r="F366" s="364"/>
      <c r="G366" s="364"/>
      <c r="H366" s="364"/>
      <c r="I366" s="365" t="n">
        <f aca="false">IF((COUNTIF(G356:G365,"&lt;&gt;"))&lt;&gt;0,SUM(I356:I365)/COUNTIF(G356:G365,"&lt;&gt;"),0)</f>
        <v>0</v>
      </c>
      <c r="J366" s="366" t="n">
        <f aca="false">IF((COUNTIF(H356:H365,"&lt;&gt;"))&lt;&gt;0,SUM(J356:J365)/COUNTIF(H356:H365,"&lt;&gt;"),0)</f>
        <v>0</v>
      </c>
      <c r="K366" s="310" t="n">
        <f aca="false">IF((COUNTIF(H356:H365,"&lt;&gt;"))&lt;&gt;0,SUM(K356:K365)/COUNTIF(H356:H365,"&lt;&gt;"),0)</f>
        <v>0</v>
      </c>
      <c r="L366" s="307" t="n">
        <f aca="false">SUM(L356:L365)</f>
        <v>0</v>
      </c>
      <c r="M366" s="307" t="n">
        <f aca="false">SUM(M356:M365)</f>
        <v>0</v>
      </c>
      <c r="N366" s="307" t="n">
        <f aca="false">SUM(N356:N365)</f>
        <v>0</v>
      </c>
      <c r="O366" s="307" t="n">
        <f aca="false">SUM(O356:O365)</f>
        <v>0</v>
      </c>
      <c r="P366" s="307" t="n">
        <f aca="false">SUM(P356:P365)</f>
        <v>0</v>
      </c>
      <c r="Q366" s="307" t="n">
        <f aca="false">SUM(Q356:Q365)</f>
        <v>0</v>
      </c>
      <c r="R366" s="307" t="n">
        <f aca="false">SUM(R356:R365)</f>
        <v>0</v>
      </c>
      <c r="S366" s="307" t="n">
        <f aca="false">SUM(S356:S365)</f>
        <v>0</v>
      </c>
      <c r="T366" s="307" t="n">
        <f aca="false">SUM(T356:T365)</f>
        <v>0</v>
      </c>
      <c r="U366" s="307" t="n">
        <f aca="false">SUM(U356:U365)</f>
        <v>0</v>
      </c>
      <c r="V366" s="307" t="n">
        <f aca="false">SUM(V356:V365)</f>
        <v>0</v>
      </c>
      <c r="W366" s="307" t="n">
        <f aca="false">SUM(W356:W365)</f>
        <v>0</v>
      </c>
      <c r="X366" s="307" t="n">
        <f aca="false">SUM(X356:X365)</f>
        <v>0</v>
      </c>
      <c r="Y366" s="307" t="n">
        <f aca="false">SUM(Y356:Y365)</f>
        <v>0</v>
      </c>
      <c r="Z366" s="307" t="n">
        <f aca="false">SUM(Z356:Z365)</f>
        <v>0</v>
      </c>
      <c r="AA366" s="307" t="n">
        <f aca="false">SUM(AA356:AA365)</f>
        <v>0</v>
      </c>
      <c r="AB366" s="307" t="n">
        <f aca="false">SUM(AB356:AB365)</f>
        <v>0</v>
      </c>
      <c r="AC366" s="307" t="n">
        <f aca="false">SUM(AC356:AC365)</f>
        <v>0</v>
      </c>
      <c r="AD366" s="310" t="n">
        <f aca="false">IF(SUM(AD356:AD365)=0,0,SUM(AD356:AD365)/COUNTIF(AD356:AD365,"&lt;&gt;0"))</f>
        <v>0</v>
      </c>
      <c r="AE366" s="365" t="n">
        <f aca="false">IF(SUM(AE356:AE365)=0,0,SUM(AE356:AE365)/COUNTIF(AE356:AE365,"&lt;&gt;0"))</f>
        <v>0</v>
      </c>
      <c r="AF366" s="365" t="n">
        <f aca="false">IF(SUM(AF356:AF365)=0,0,SUM(AF356:AF365)/COUNTIF(AF356:AF365,"&lt;&gt;0"))</f>
        <v>0</v>
      </c>
      <c r="AG366" s="310" t="n">
        <f aca="false">IF(SUM(AG356:AG365)=0,0,SUM(AG356:AG365)/COUNTIF(AD356:AD365,"&lt;&gt;0"))</f>
        <v>0</v>
      </c>
      <c r="AH366" s="367"/>
    </row>
  </sheetData>
  <mergeCells count="835">
    <mergeCell ref="D1:AD1"/>
    <mergeCell ref="D2:Q2"/>
    <mergeCell ref="R2:AC2"/>
    <mergeCell ref="A3:A5"/>
    <mergeCell ref="B3:B5"/>
    <mergeCell ref="C3:C5"/>
    <mergeCell ref="D3:D5"/>
    <mergeCell ref="E3:E5"/>
    <mergeCell ref="F3:F5"/>
    <mergeCell ref="G3:G5"/>
    <mergeCell ref="H3:H5"/>
    <mergeCell ref="I3:I5"/>
    <mergeCell ref="J3:J5"/>
    <mergeCell ref="K3:K5"/>
    <mergeCell ref="L3:AC3"/>
    <mergeCell ref="AD3:AG3"/>
    <mergeCell ref="L4:M4"/>
    <mergeCell ref="N4:O4"/>
    <mergeCell ref="P4:Q4"/>
    <mergeCell ref="R4:S4"/>
    <mergeCell ref="T4:U4"/>
    <mergeCell ref="V4:W4"/>
    <mergeCell ref="X4:Y4"/>
    <mergeCell ref="Z4:AA4"/>
    <mergeCell ref="AB4:AC4"/>
    <mergeCell ref="AD4:AD5"/>
    <mergeCell ref="AE4:AE5"/>
    <mergeCell ref="AF4:AF5"/>
    <mergeCell ref="AG4:AG5"/>
    <mergeCell ref="AH4:AH5"/>
    <mergeCell ref="A6:A15"/>
    <mergeCell ref="B6:B15"/>
    <mergeCell ref="C6:C15"/>
    <mergeCell ref="D6:D15"/>
    <mergeCell ref="E16:H16"/>
    <mergeCell ref="A17:A19"/>
    <mergeCell ref="B17:B19"/>
    <mergeCell ref="C17:C19"/>
    <mergeCell ref="D17:D19"/>
    <mergeCell ref="E17:E19"/>
    <mergeCell ref="F17:F19"/>
    <mergeCell ref="G17:G19"/>
    <mergeCell ref="H17:H19"/>
    <mergeCell ref="I17:I19"/>
    <mergeCell ref="J17:J19"/>
    <mergeCell ref="K17:K19"/>
    <mergeCell ref="L17:AC17"/>
    <mergeCell ref="AD17:AG17"/>
    <mergeCell ref="L18:M18"/>
    <mergeCell ref="N18:O18"/>
    <mergeCell ref="P18:Q18"/>
    <mergeCell ref="R18:S18"/>
    <mergeCell ref="T18:U18"/>
    <mergeCell ref="V18:W18"/>
    <mergeCell ref="X18:Y18"/>
    <mergeCell ref="Z18:AA18"/>
    <mergeCell ref="AB18:AC18"/>
    <mergeCell ref="AD18:AD19"/>
    <mergeCell ref="AE18:AE19"/>
    <mergeCell ref="AF18:AF19"/>
    <mergeCell ref="AG18:AG19"/>
    <mergeCell ref="AH18:AH19"/>
    <mergeCell ref="A20:A29"/>
    <mergeCell ref="B20:B29"/>
    <mergeCell ref="C20:C29"/>
    <mergeCell ref="D20:D29"/>
    <mergeCell ref="E30:H30"/>
    <mergeCell ref="A31:A33"/>
    <mergeCell ref="B31:B33"/>
    <mergeCell ref="C31:C33"/>
    <mergeCell ref="D31:D33"/>
    <mergeCell ref="E31:E33"/>
    <mergeCell ref="F31:F33"/>
    <mergeCell ref="G31:G33"/>
    <mergeCell ref="H31:H33"/>
    <mergeCell ref="I31:I33"/>
    <mergeCell ref="J31:J33"/>
    <mergeCell ref="K31:K33"/>
    <mergeCell ref="L31:AC31"/>
    <mergeCell ref="AD31:AG31"/>
    <mergeCell ref="L32:M32"/>
    <mergeCell ref="N32:O32"/>
    <mergeCell ref="P32:Q32"/>
    <mergeCell ref="R32:S32"/>
    <mergeCell ref="T32:U32"/>
    <mergeCell ref="V32:W32"/>
    <mergeCell ref="X32:Y32"/>
    <mergeCell ref="Z32:AA32"/>
    <mergeCell ref="AB32:AC32"/>
    <mergeCell ref="AD32:AD33"/>
    <mergeCell ref="AE32:AE33"/>
    <mergeCell ref="AF32:AF33"/>
    <mergeCell ref="AG32:AG33"/>
    <mergeCell ref="AH32:AH33"/>
    <mergeCell ref="A34:A43"/>
    <mergeCell ref="B34:B43"/>
    <mergeCell ref="C34:C43"/>
    <mergeCell ref="D34:D43"/>
    <mergeCell ref="E44:H44"/>
    <mergeCell ref="A45:A47"/>
    <mergeCell ref="B45:B47"/>
    <mergeCell ref="C45:C47"/>
    <mergeCell ref="D45:D47"/>
    <mergeCell ref="E45:E47"/>
    <mergeCell ref="F45:F47"/>
    <mergeCell ref="G45:G47"/>
    <mergeCell ref="H45:H47"/>
    <mergeCell ref="I45:I47"/>
    <mergeCell ref="J45:J47"/>
    <mergeCell ref="K45:K47"/>
    <mergeCell ref="L45:AC45"/>
    <mergeCell ref="AD45:AG45"/>
    <mergeCell ref="L46:M46"/>
    <mergeCell ref="N46:O46"/>
    <mergeCell ref="P46:Q46"/>
    <mergeCell ref="R46:S46"/>
    <mergeCell ref="T46:U46"/>
    <mergeCell ref="V46:W46"/>
    <mergeCell ref="X46:Y46"/>
    <mergeCell ref="Z46:AA46"/>
    <mergeCell ref="AB46:AC46"/>
    <mergeCell ref="AD46:AD47"/>
    <mergeCell ref="AE46:AE47"/>
    <mergeCell ref="AF46:AF47"/>
    <mergeCell ref="AG46:AG47"/>
    <mergeCell ref="AH46:AH47"/>
    <mergeCell ref="A48:A57"/>
    <mergeCell ref="B48:B57"/>
    <mergeCell ref="C48:C57"/>
    <mergeCell ref="D48:D57"/>
    <mergeCell ref="E58:H58"/>
    <mergeCell ref="A59:A61"/>
    <mergeCell ref="B59:B61"/>
    <mergeCell ref="C59:C61"/>
    <mergeCell ref="D59:D61"/>
    <mergeCell ref="E59:E61"/>
    <mergeCell ref="F59:F61"/>
    <mergeCell ref="G59:G61"/>
    <mergeCell ref="H59:H61"/>
    <mergeCell ref="I59:I61"/>
    <mergeCell ref="J59:J61"/>
    <mergeCell ref="K59:K61"/>
    <mergeCell ref="L59:AC59"/>
    <mergeCell ref="AD59:AG59"/>
    <mergeCell ref="L60:M60"/>
    <mergeCell ref="N60:O60"/>
    <mergeCell ref="P60:Q60"/>
    <mergeCell ref="R60:S60"/>
    <mergeCell ref="T60:U60"/>
    <mergeCell ref="V60:W60"/>
    <mergeCell ref="X60:Y60"/>
    <mergeCell ref="Z60:AA60"/>
    <mergeCell ref="AB60:AC60"/>
    <mergeCell ref="AD60:AD61"/>
    <mergeCell ref="AE60:AE61"/>
    <mergeCell ref="AF60:AF61"/>
    <mergeCell ref="AG60:AG61"/>
    <mergeCell ref="AH60:AH61"/>
    <mergeCell ref="A62:A71"/>
    <mergeCell ref="B62:B71"/>
    <mergeCell ref="C62:C71"/>
    <mergeCell ref="D62:D71"/>
    <mergeCell ref="E72:H72"/>
    <mergeCell ref="A73:A75"/>
    <mergeCell ref="B73:B75"/>
    <mergeCell ref="C73:C75"/>
    <mergeCell ref="D73:D75"/>
    <mergeCell ref="E73:E75"/>
    <mergeCell ref="F73:F75"/>
    <mergeCell ref="G73:G75"/>
    <mergeCell ref="H73:H75"/>
    <mergeCell ref="I73:I75"/>
    <mergeCell ref="J73:J75"/>
    <mergeCell ref="K73:K75"/>
    <mergeCell ref="L73:AC73"/>
    <mergeCell ref="AD73:AG73"/>
    <mergeCell ref="L74:M74"/>
    <mergeCell ref="N74:O74"/>
    <mergeCell ref="P74:Q74"/>
    <mergeCell ref="R74:S74"/>
    <mergeCell ref="T74:U74"/>
    <mergeCell ref="V74:W74"/>
    <mergeCell ref="X74:Y74"/>
    <mergeCell ref="Z74:AA74"/>
    <mergeCell ref="AB74:AC74"/>
    <mergeCell ref="AD74:AD75"/>
    <mergeCell ref="AE74:AE75"/>
    <mergeCell ref="AF74:AF75"/>
    <mergeCell ref="AG74:AG75"/>
    <mergeCell ref="AH74:AH75"/>
    <mergeCell ref="A76:A85"/>
    <mergeCell ref="B76:B85"/>
    <mergeCell ref="C76:C85"/>
    <mergeCell ref="D76:D85"/>
    <mergeCell ref="E86:H86"/>
    <mergeCell ref="A87:A89"/>
    <mergeCell ref="B87:B89"/>
    <mergeCell ref="C87:C89"/>
    <mergeCell ref="D87:D89"/>
    <mergeCell ref="E87:E89"/>
    <mergeCell ref="F87:F89"/>
    <mergeCell ref="G87:G89"/>
    <mergeCell ref="H87:H89"/>
    <mergeCell ref="I87:I89"/>
    <mergeCell ref="J87:J89"/>
    <mergeCell ref="K87:K89"/>
    <mergeCell ref="L87:AC87"/>
    <mergeCell ref="AD87:AG87"/>
    <mergeCell ref="L88:M88"/>
    <mergeCell ref="N88:O88"/>
    <mergeCell ref="P88:Q88"/>
    <mergeCell ref="R88:S88"/>
    <mergeCell ref="T88:U88"/>
    <mergeCell ref="V88:W88"/>
    <mergeCell ref="X88:Y88"/>
    <mergeCell ref="Z88:AA88"/>
    <mergeCell ref="AB88:AC88"/>
    <mergeCell ref="AD88:AD89"/>
    <mergeCell ref="AE88:AE89"/>
    <mergeCell ref="AF88:AF89"/>
    <mergeCell ref="AG88:AG89"/>
    <mergeCell ref="AH88:AH89"/>
    <mergeCell ref="A90:A99"/>
    <mergeCell ref="B90:B99"/>
    <mergeCell ref="C90:C99"/>
    <mergeCell ref="D90:D99"/>
    <mergeCell ref="E100:H100"/>
    <mergeCell ref="A101:A103"/>
    <mergeCell ref="B101:B103"/>
    <mergeCell ref="C101:C103"/>
    <mergeCell ref="D101:D103"/>
    <mergeCell ref="E101:E103"/>
    <mergeCell ref="F101:F103"/>
    <mergeCell ref="G101:G103"/>
    <mergeCell ref="H101:H103"/>
    <mergeCell ref="I101:I103"/>
    <mergeCell ref="J101:J103"/>
    <mergeCell ref="K101:K103"/>
    <mergeCell ref="L101:AC101"/>
    <mergeCell ref="AD101:AG101"/>
    <mergeCell ref="L102:M102"/>
    <mergeCell ref="N102:O102"/>
    <mergeCell ref="P102:Q102"/>
    <mergeCell ref="R102:S102"/>
    <mergeCell ref="T102:U102"/>
    <mergeCell ref="V102:W102"/>
    <mergeCell ref="X102:Y102"/>
    <mergeCell ref="Z102:AA102"/>
    <mergeCell ref="AB102:AC102"/>
    <mergeCell ref="AD102:AD103"/>
    <mergeCell ref="AE102:AE103"/>
    <mergeCell ref="AF102:AF103"/>
    <mergeCell ref="AG102:AG103"/>
    <mergeCell ref="AH102:AH103"/>
    <mergeCell ref="A104:A113"/>
    <mergeCell ref="B104:B113"/>
    <mergeCell ref="C104:C113"/>
    <mergeCell ref="D104:D113"/>
    <mergeCell ref="E114:H114"/>
    <mergeCell ref="A115:A117"/>
    <mergeCell ref="B115:B117"/>
    <mergeCell ref="C115:C117"/>
    <mergeCell ref="D115:D117"/>
    <mergeCell ref="E115:E117"/>
    <mergeCell ref="F115:F117"/>
    <mergeCell ref="G115:G117"/>
    <mergeCell ref="H115:H117"/>
    <mergeCell ref="I115:I117"/>
    <mergeCell ref="J115:J117"/>
    <mergeCell ref="K115:K117"/>
    <mergeCell ref="L115:AC115"/>
    <mergeCell ref="AD115:AG115"/>
    <mergeCell ref="L116:M116"/>
    <mergeCell ref="N116:O116"/>
    <mergeCell ref="P116:Q116"/>
    <mergeCell ref="R116:S116"/>
    <mergeCell ref="T116:U116"/>
    <mergeCell ref="V116:W116"/>
    <mergeCell ref="X116:Y116"/>
    <mergeCell ref="Z116:AA116"/>
    <mergeCell ref="AB116:AC116"/>
    <mergeCell ref="AD116:AD117"/>
    <mergeCell ref="AE116:AE117"/>
    <mergeCell ref="AF116:AF117"/>
    <mergeCell ref="AG116:AG117"/>
    <mergeCell ref="AH116:AH117"/>
    <mergeCell ref="A118:A127"/>
    <mergeCell ref="B118:B127"/>
    <mergeCell ref="C118:C127"/>
    <mergeCell ref="D118:D127"/>
    <mergeCell ref="E128:H128"/>
    <mergeCell ref="A129:A131"/>
    <mergeCell ref="B129:B131"/>
    <mergeCell ref="C129:C131"/>
    <mergeCell ref="D129:D131"/>
    <mergeCell ref="E129:E131"/>
    <mergeCell ref="F129:F131"/>
    <mergeCell ref="G129:G131"/>
    <mergeCell ref="H129:H131"/>
    <mergeCell ref="I129:I131"/>
    <mergeCell ref="J129:J131"/>
    <mergeCell ref="K129:K131"/>
    <mergeCell ref="L129:AC129"/>
    <mergeCell ref="AD129:AG129"/>
    <mergeCell ref="L130:M130"/>
    <mergeCell ref="N130:O130"/>
    <mergeCell ref="P130:Q130"/>
    <mergeCell ref="R130:S130"/>
    <mergeCell ref="T130:U130"/>
    <mergeCell ref="V130:W130"/>
    <mergeCell ref="X130:Y130"/>
    <mergeCell ref="Z130:AA130"/>
    <mergeCell ref="AB130:AC130"/>
    <mergeCell ref="AD130:AD131"/>
    <mergeCell ref="AE130:AE131"/>
    <mergeCell ref="AF130:AF131"/>
    <mergeCell ref="AG130:AG131"/>
    <mergeCell ref="AH130:AH131"/>
    <mergeCell ref="A132:A141"/>
    <mergeCell ref="B132:B141"/>
    <mergeCell ref="C132:C141"/>
    <mergeCell ref="D132:D141"/>
    <mergeCell ref="E142:H142"/>
    <mergeCell ref="A143:A145"/>
    <mergeCell ref="B143:B145"/>
    <mergeCell ref="C143:C145"/>
    <mergeCell ref="D143:D145"/>
    <mergeCell ref="E143:E145"/>
    <mergeCell ref="F143:F145"/>
    <mergeCell ref="G143:G145"/>
    <mergeCell ref="H143:H145"/>
    <mergeCell ref="I143:I145"/>
    <mergeCell ref="J143:J145"/>
    <mergeCell ref="K143:K145"/>
    <mergeCell ref="L143:AC143"/>
    <mergeCell ref="AD143:AG143"/>
    <mergeCell ref="L144:M144"/>
    <mergeCell ref="N144:O144"/>
    <mergeCell ref="P144:Q144"/>
    <mergeCell ref="R144:S144"/>
    <mergeCell ref="T144:U144"/>
    <mergeCell ref="V144:W144"/>
    <mergeCell ref="X144:Y144"/>
    <mergeCell ref="Z144:AA144"/>
    <mergeCell ref="AB144:AC144"/>
    <mergeCell ref="AD144:AD145"/>
    <mergeCell ref="AE144:AE145"/>
    <mergeCell ref="AF144:AF145"/>
    <mergeCell ref="AG144:AG145"/>
    <mergeCell ref="AH144:AH145"/>
    <mergeCell ref="A146:A155"/>
    <mergeCell ref="B146:B155"/>
    <mergeCell ref="C146:C155"/>
    <mergeCell ref="D146:D155"/>
    <mergeCell ref="E156:H156"/>
    <mergeCell ref="A157:A159"/>
    <mergeCell ref="B157:B159"/>
    <mergeCell ref="C157:C159"/>
    <mergeCell ref="D157:D159"/>
    <mergeCell ref="E157:E159"/>
    <mergeCell ref="F157:F159"/>
    <mergeCell ref="G157:G159"/>
    <mergeCell ref="H157:H159"/>
    <mergeCell ref="I157:I159"/>
    <mergeCell ref="J157:J159"/>
    <mergeCell ref="K157:K159"/>
    <mergeCell ref="L157:AC157"/>
    <mergeCell ref="AD157:AG157"/>
    <mergeCell ref="L158:M158"/>
    <mergeCell ref="N158:O158"/>
    <mergeCell ref="P158:Q158"/>
    <mergeCell ref="R158:S158"/>
    <mergeCell ref="T158:U158"/>
    <mergeCell ref="V158:W158"/>
    <mergeCell ref="X158:Y158"/>
    <mergeCell ref="Z158:AA158"/>
    <mergeCell ref="AB158:AC158"/>
    <mergeCell ref="AD158:AD159"/>
    <mergeCell ref="AE158:AE159"/>
    <mergeCell ref="AF158:AF159"/>
    <mergeCell ref="AG158:AG159"/>
    <mergeCell ref="AH158:AH159"/>
    <mergeCell ref="A160:A169"/>
    <mergeCell ref="B160:B169"/>
    <mergeCell ref="C160:C169"/>
    <mergeCell ref="D160:D169"/>
    <mergeCell ref="E170:H170"/>
    <mergeCell ref="A171:A173"/>
    <mergeCell ref="B171:B173"/>
    <mergeCell ref="C171:C173"/>
    <mergeCell ref="D171:D173"/>
    <mergeCell ref="E171:E173"/>
    <mergeCell ref="F171:F173"/>
    <mergeCell ref="G171:G173"/>
    <mergeCell ref="H171:H173"/>
    <mergeCell ref="I171:I173"/>
    <mergeCell ref="J171:J173"/>
    <mergeCell ref="K171:K173"/>
    <mergeCell ref="L171:AC171"/>
    <mergeCell ref="AD171:AG171"/>
    <mergeCell ref="L172:M172"/>
    <mergeCell ref="N172:O172"/>
    <mergeCell ref="P172:Q172"/>
    <mergeCell ref="R172:S172"/>
    <mergeCell ref="T172:U172"/>
    <mergeCell ref="V172:W172"/>
    <mergeCell ref="X172:Y172"/>
    <mergeCell ref="Z172:AA172"/>
    <mergeCell ref="AB172:AC172"/>
    <mergeCell ref="AD172:AD173"/>
    <mergeCell ref="AE172:AE173"/>
    <mergeCell ref="AF172:AF173"/>
    <mergeCell ref="AG172:AG173"/>
    <mergeCell ref="AH172:AH173"/>
    <mergeCell ref="A174:A183"/>
    <mergeCell ref="B174:B183"/>
    <mergeCell ref="C174:C183"/>
    <mergeCell ref="D174:D183"/>
    <mergeCell ref="E184:H184"/>
    <mergeCell ref="A185:A187"/>
    <mergeCell ref="B185:B187"/>
    <mergeCell ref="C185:C187"/>
    <mergeCell ref="D185:D187"/>
    <mergeCell ref="E185:E187"/>
    <mergeCell ref="F185:F187"/>
    <mergeCell ref="G185:G187"/>
    <mergeCell ref="H185:H187"/>
    <mergeCell ref="I185:I187"/>
    <mergeCell ref="J185:J187"/>
    <mergeCell ref="K185:K187"/>
    <mergeCell ref="L185:AC185"/>
    <mergeCell ref="AD185:AG185"/>
    <mergeCell ref="L186:M186"/>
    <mergeCell ref="N186:O186"/>
    <mergeCell ref="P186:Q186"/>
    <mergeCell ref="R186:S186"/>
    <mergeCell ref="T186:U186"/>
    <mergeCell ref="V186:W186"/>
    <mergeCell ref="X186:Y186"/>
    <mergeCell ref="Z186:AA186"/>
    <mergeCell ref="AB186:AC186"/>
    <mergeCell ref="AD186:AD187"/>
    <mergeCell ref="AE186:AE187"/>
    <mergeCell ref="AF186:AF187"/>
    <mergeCell ref="AG186:AG187"/>
    <mergeCell ref="AH186:AH187"/>
    <mergeCell ref="A188:A197"/>
    <mergeCell ref="B188:B197"/>
    <mergeCell ref="C188:C197"/>
    <mergeCell ref="D188:D197"/>
    <mergeCell ref="E198:H198"/>
    <mergeCell ref="A199:A201"/>
    <mergeCell ref="B199:B201"/>
    <mergeCell ref="C199:C201"/>
    <mergeCell ref="D199:D201"/>
    <mergeCell ref="E199:E201"/>
    <mergeCell ref="F199:F201"/>
    <mergeCell ref="G199:G201"/>
    <mergeCell ref="H199:H201"/>
    <mergeCell ref="I199:I201"/>
    <mergeCell ref="J199:J201"/>
    <mergeCell ref="K199:K201"/>
    <mergeCell ref="L199:AC199"/>
    <mergeCell ref="AD199:AG199"/>
    <mergeCell ref="L200:M200"/>
    <mergeCell ref="N200:O200"/>
    <mergeCell ref="P200:Q200"/>
    <mergeCell ref="R200:S200"/>
    <mergeCell ref="T200:U200"/>
    <mergeCell ref="V200:W200"/>
    <mergeCell ref="X200:Y200"/>
    <mergeCell ref="Z200:AA200"/>
    <mergeCell ref="AB200:AC200"/>
    <mergeCell ref="AD200:AD201"/>
    <mergeCell ref="AE200:AE201"/>
    <mergeCell ref="AF200:AF201"/>
    <mergeCell ref="AG200:AG201"/>
    <mergeCell ref="AH200:AH201"/>
    <mergeCell ref="A202:A211"/>
    <mergeCell ref="B202:B211"/>
    <mergeCell ref="C202:C211"/>
    <mergeCell ref="D202:D211"/>
    <mergeCell ref="E212:H212"/>
    <mergeCell ref="A213:A215"/>
    <mergeCell ref="B213:B215"/>
    <mergeCell ref="C213:C215"/>
    <mergeCell ref="D213:D215"/>
    <mergeCell ref="E213:E215"/>
    <mergeCell ref="F213:F215"/>
    <mergeCell ref="G213:G215"/>
    <mergeCell ref="H213:H215"/>
    <mergeCell ref="I213:I215"/>
    <mergeCell ref="J213:J215"/>
    <mergeCell ref="K213:K215"/>
    <mergeCell ref="L213:AC213"/>
    <mergeCell ref="AD213:AG213"/>
    <mergeCell ref="L214:M214"/>
    <mergeCell ref="N214:O214"/>
    <mergeCell ref="P214:Q214"/>
    <mergeCell ref="R214:S214"/>
    <mergeCell ref="T214:U214"/>
    <mergeCell ref="V214:W214"/>
    <mergeCell ref="X214:Y214"/>
    <mergeCell ref="Z214:AA214"/>
    <mergeCell ref="AB214:AC214"/>
    <mergeCell ref="AD214:AD215"/>
    <mergeCell ref="AE214:AE215"/>
    <mergeCell ref="AF214:AF215"/>
    <mergeCell ref="AG214:AG215"/>
    <mergeCell ref="AH214:AH215"/>
    <mergeCell ref="A216:A225"/>
    <mergeCell ref="B216:B225"/>
    <mergeCell ref="C216:C225"/>
    <mergeCell ref="D216:D225"/>
    <mergeCell ref="E226:H226"/>
    <mergeCell ref="A227:A229"/>
    <mergeCell ref="B227:B229"/>
    <mergeCell ref="C227:C229"/>
    <mergeCell ref="D227:D229"/>
    <mergeCell ref="E227:E229"/>
    <mergeCell ref="F227:F229"/>
    <mergeCell ref="G227:G229"/>
    <mergeCell ref="H227:H229"/>
    <mergeCell ref="I227:I229"/>
    <mergeCell ref="J227:J229"/>
    <mergeCell ref="K227:K229"/>
    <mergeCell ref="L227:AC227"/>
    <mergeCell ref="AD227:AG227"/>
    <mergeCell ref="L228:M228"/>
    <mergeCell ref="N228:O228"/>
    <mergeCell ref="P228:Q228"/>
    <mergeCell ref="R228:S228"/>
    <mergeCell ref="T228:U228"/>
    <mergeCell ref="V228:W228"/>
    <mergeCell ref="X228:Y228"/>
    <mergeCell ref="Z228:AA228"/>
    <mergeCell ref="AB228:AC228"/>
    <mergeCell ref="AD228:AD229"/>
    <mergeCell ref="AE228:AE229"/>
    <mergeCell ref="AF228:AF229"/>
    <mergeCell ref="AG228:AG229"/>
    <mergeCell ref="AH228:AH229"/>
    <mergeCell ref="A230:A239"/>
    <mergeCell ref="B230:B239"/>
    <mergeCell ref="C230:C239"/>
    <mergeCell ref="D230:D239"/>
    <mergeCell ref="E240:H240"/>
    <mergeCell ref="A241:A243"/>
    <mergeCell ref="B241:B243"/>
    <mergeCell ref="C241:C243"/>
    <mergeCell ref="D241:D243"/>
    <mergeCell ref="E241:E243"/>
    <mergeCell ref="F241:F243"/>
    <mergeCell ref="G241:G243"/>
    <mergeCell ref="H241:H243"/>
    <mergeCell ref="I241:I243"/>
    <mergeCell ref="J241:J243"/>
    <mergeCell ref="K241:K243"/>
    <mergeCell ref="L241:AC241"/>
    <mergeCell ref="AD241:AG241"/>
    <mergeCell ref="L242:M242"/>
    <mergeCell ref="N242:O242"/>
    <mergeCell ref="P242:Q242"/>
    <mergeCell ref="R242:S242"/>
    <mergeCell ref="T242:U242"/>
    <mergeCell ref="V242:W242"/>
    <mergeCell ref="X242:Y242"/>
    <mergeCell ref="Z242:AA242"/>
    <mergeCell ref="AB242:AC242"/>
    <mergeCell ref="AD242:AD243"/>
    <mergeCell ref="AE242:AE243"/>
    <mergeCell ref="AF242:AF243"/>
    <mergeCell ref="AG242:AG243"/>
    <mergeCell ref="AH242:AH243"/>
    <mergeCell ref="A244:A253"/>
    <mergeCell ref="B244:B253"/>
    <mergeCell ref="C244:C253"/>
    <mergeCell ref="D244:D253"/>
    <mergeCell ref="E254:H254"/>
    <mergeCell ref="A255:A257"/>
    <mergeCell ref="B255:B257"/>
    <mergeCell ref="C255:C257"/>
    <mergeCell ref="D255:D257"/>
    <mergeCell ref="E255:E257"/>
    <mergeCell ref="F255:F257"/>
    <mergeCell ref="G255:G257"/>
    <mergeCell ref="H255:H257"/>
    <mergeCell ref="I255:I257"/>
    <mergeCell ref="J255:J257"/>
    <mergeCell ref="K255:K257"/>
    <mergeCell ref="L255:AC255"/>
    <mergeCell ref="AD255:AG255"/>
    <mergeCell ref="L256:M256"/>
    <mergeCell ref="N256:O256"/>
    <mergeCell ref="P256:Q256"/>
    <mergeCell ref="R256:S256"/>
    <mergeCell ref="T256:U256"/>
    <mergeCell ref="V256:W256"/>
    <mergeCell ref="X256:Y256"/>
    <mergeCell ref="Z256:AA256"/>
    <mergeCell ref="AB256:AC256"/>
    <mergeCell ref="AD256:AD257"/>
    <mergeCell ref="AE256:AE257"/>
    <mergeCell ref="AF256:AF257"/>
    <mergeCell ref="AG256:AG257"/>
    <mergeCell ref="AH256:AH257"/>
    <mergeCell ref="A258:A267"/>
    <mergeCell ref="B258:B267"/>
    <mergeCell ref="C258:C267"/>
    <mergeCell ref="D258:D267"/>
    <mergeCell ref="E268:H268"/>
    <mergeCell ref="A269:A271"/>
    <mergeCell ref="B269:B271"/>
    <mergeCell ref="C269:C271"/>
    <mergeCell ref="D269:D271"/>
    <mergeCell ref="E269:E271"/>
    <mergeCell ref="F269:F271"/>
    <mergeCell ref="G269:G271"/>
    <mergeCell ref="H269:H271"/>
    <mergeCell ref="I269:I271"/>
    <mergeCell ref="J269:J271"/>
    <mergeCell ref="K269:K271"/>
    <mergeCell ref="L269:AC269"/>
    <mergeCell ref="AD269:AG269"/>
    <mergeCell ref="L270:M270"/>
    <mergeCell ref="N270:O270"/>
    <mergeCell ref="P270:Q270"/>
    <mergeCell ref="R270:S270"/>
    <mergeCell ref="T270:U270"/>
    <mergeCell ref="V270:W270"/>
    <mergeCell ref="X270:Y270"/>
    <mergeCell ref="Z270:AA270"/>
    <mergeCell ref="AB270:AC270"/>
    <mergeCell ref="AD270:AD271"/>
    <mergeCell ref="AE270:AE271"/>
    <mergeCell ref="AF270:AF271"/>
    <mergeCell ref="AG270:AG271"/>
    <mergeCell ref="AH270:AH271"/>
    <mergeCell ref="A272:A281"/>
    <mergeCell ref="B272:B281"/>
    <mergeCell ref="C272:C281"/>
    <mergeCell ref="D272:D281"/>
    <mergeCell ref="E282:H282"/>
    <mergeCell ref="A283:A285"/>
    <mergeCell ref="B283:B285"/>
    <mergeCell ref="C283:C285"/>
    <mergeCell ref="D283:D285"/>
    <mergeCell ref="E283:E285"/>
    <mergeCell ref="F283:F285"/>
    <mergeCell ref="G283:G285"/>
    <mergeCell ref="H283:H285"/>
    <mergeCell ref="I283:I285"/>
    <mergeCell ref="J283:J285"/>
    <mergeCell ref="K283:K285"/>
    <mergeCell ref="L283:AC283"/>
    <mergeCell ref="AD283:AG283"/>
    <mergeCell ref="L284:M284"/>
    <mergeCell ref="N284:O284"/>
    <mergeCell ref="P284:Q284"/>
    <mergeCell ref="R284:S284"/>
    <mergeCell ref="T284:U284"/>
    <mergeCell ref="V284:W284"/>
    <mergeCell ref="X284:Y284"/>
    <mergeCell ref="Z284:AA284"/>
    <mergeCell ref="AB284:AC284"/>
    <mergeCell ref="AD284:AD285"/>
    <mergeCell ref="AE284:AE285"/>
    <mergeCell ref="AF284:AF285"/>
    <mergeCell ref="AG284:AG285"/>
    <mergeCell ref="AH284:AH285"/>
    <mergeCell ref="A286:A295"/>
    <mergeCell ref="B286:B295"/>
    <mergeCell ref="C286:C295"/>
    <mergeCell ref="D286:D295"/>
    <mergeCell ref="E296:H296"/>
    <mergeCell ref="A297:A299"/>
    <mergeCell ref="B297:B299"/>
    <mergeCell ref="C297:C299"/>
    <mergeCell ref="D297:D299"/>
    <mergeCell ref="E297:E299"/>
    <mergeCell ref="F297:F299"/>
    <mergeCell ref="G297:G299"/>
    <mergeCell ref="H297:H299"/>
    <mergeCell ref="I297:I299"/>
    <mergeCell ref="J297:J299"/>
    <mergeCell ref="K297:K299"/>
    <mergeCell ref="L297:AC297"/>
    <mergeCell ref="AD297:AG297"/>
    <mergeCell ref="L298:M298"/>
    <mergeCell ref="N298:O298"/>
    <mergeCell ref="P298:Q298"/>
    <mergeCell ref="R298:S298"/>
    <mergeCell ref="T298:U298"/>
    <mergeCell ref="V298:W298"/>
    <mergeCell ref="X298:Y298"/>
    <mergeCell ref="Z298:AA298"/>
    <mergeCell ref="AB298:AC298"/>
    <mergeCell ref="AD298:AD299"/>
    <mergeCell ref="AE298:AE299"/>
    <mergeCell ref="AF298:AF299"/>
    <mergeCell ref="AG298:AG299"/>
    <mergeCell ref="AH298:AH299"/>
    <mergeCell ref="A300:A309"/>
    <mergeCell ref="B300:B309"/>
    <mergeCell ref="C300:C309"/>
    <mergeCell ref="D300:D309"/>
    <mergeCell ref="E310:H310"/>
    <mergeCell ref="A311:A313"/>
    <mergeCell ref="B311:B313"/>
    <mergeCell ref="C311:C313"/>
    <mergeCell ref="D311:D313"/>
    <mergeCell ref="E311:E313"/>
    <mergeCell ref="F311:F313"/>
    <mergeCell ref="G311:G313"/>
    <mergeCell ref="H311:H313"/>
    <mergeCell ref="I311:I313"/>
    <mergeCell ref="J311:J313"/>
    <mergeCell ref="K311:K313"/>
    <mergeCell ref="L311:AC311"/>
    <mergeCell ref="AD311:AG311"/>
    <mergeCell ref="L312:M312"/>
    <mergeCell ref="N312:O312"/>
    <mergeCell ref="P312:Q312"/>
    <mergeCell ref="R312:S312"/>
    <mergeCell ref="T312:U312"/>
    <mergeCell ref="V312:W312"/>
    <mergeCell ref="X312:Y312"/>
    <mergeCell ref="Z312:AA312"/>
    <mergeCell ref="AB312:AC312"/>
    <mergeCell ref="AD312:AD313"/>
    <mergeCell ref="AE312:AE313"/>
    <mergeCell ref="AF312:AF313"/>
    <mergeCell ref="AG312:AG313"/>
    <mergeCell ref="AH312:AH313"/>
    <mergeCell ref="A314:A323"/>
    <mergeCell ref="B314:B323"/>
    <mergeCell ref="C314:C323"/>
    <mergeCell ref="D314:D323"/>
    <mergeCell ref="E324:H324"/>
    <mergeCell ref="A325:A327"/>
    <mergeCell ref="B325:B327"/>
    <mergeCell ref="C325:C327"/>
    <mergeCell ref="D325:D327"/>
    <mergeCell ref="E325:E327"/>
    <mergeCell ref="F325:F327"/>
    <mergeCell ref="G325:G327"/>
    <mergeCell ref="H325:H327"/>
    <mergeCell ref="I325:I327"/>
    <mergeCell ref="J325:J327"/>
    <mergeCell ref="K325:K327"/>
    <mergeCell ref="L325:AC325"/>
    <mergeCell ref="AD325:AG325"/>
    <mergeCell ref="L326:M326"/>
    <mergeCell ref="N326:O326"/>
    <mergeCell ref="P326:Q326"/>
    <mergeCell ref="R326:S326"/>
    <mergeCell ref="T326:U326"/>
    <mergeCell ref="V326:W326"/>
    <mergeCell ref="X326:Y326"/>
    <mergeCell ref="Z326:AA326"/>
    <mergeCell ref="AB326:AC326"/>
    <mergeCell ref="AD326:AD327"/>
    <mergeCell ref="AE326:AE327"/>
    <mergeCell ref="AF326:AF327"/>
    <mergeCell ref="AG326:AG327"/>
    <mergeCell ref="AH326:AH327"/>
    <mergeCell ref="A328:A337"/>
    <mergeCell ref="B328:B337"/>
    <mergeCell ref="C328:C337"/>
    <mergeCell ref="D328:D337"/>
    <mergeCell ref="E338:H338"/>
    <mergeCell ref="A339:A341"/>
    <mergeCell ref="B339:B341"/>
    <mergeCell ref="C339:C341"/>
    <mergeCell ref="D339:D341"/>
    <mergeCell ref="E339:E341"/>
    <mergeCell ref="F339:F341"/>
    <mergeCell ref="G339:G341"/>
    <mergeCell ref="H339:H341"/>
    <mergeCell ref="I339:I341"/>
    <mergeCell ref="J339:J341"/>
    <mergeCell ref="K339:K341"/>
    <mergeCell ref="L339:AC339"/>
    <mergeCell ref="AD339:AG339"/>
    <mergeCell ref="L340:M340"/>
    <mergeCell ref="N340:O340"/>
    <mergeCell ref="P340:Q340"/>
    <mergeCell ref="R340:S340"/>
    <mergeCell ref="T340:U340"/>
    <mergeCell ref="V340:W340"/>
    <mergeCell ref="X340:Y340"/>
    <mergeCell ref="Z340:AA340"/>
    <mergeCell ref="AB340:AC340"/>
    <mergeCell ref="AD340:AD341"/>
    <mergeCell ref="AE340:AE341"/>
    <mergeCell ref="AF340:AF341"/>
    <mergeCell ref="AG340:AG341"/>
    <mergeCell ref="AH340:AH341"/>
    <mergeCell ref="A342:A351"/>
    <mergeCell ref="B342:B351"/>
    <mergeCell ref="C342:C351"/>
    <mergeCell ref="D342:D351"/>
    <mergeCell ref="E352:H352"/>
    <mergeCell ref="A353:A355"/>
    <mergeCell ref="B353:B355"/>
    <mergeCell ref="C353:C355"/>
    <mergeCell ref="D353:D355"/>
    <mergeCell ref="E353:E355"/>
    <mergeCell ref="F353:F355"/>
    <mergeCell ref="G353:G355"/>
    <mergeCell ref="H353:H355"/>
    <mergeCell ref="I353:I355"/>
    <mergeCell ref="J353:J355"/>
    <mergeCell ref="K353:K355"/>
    <mergeCell ref="L353:AC353"/>
    <mergeCell ref="AD353:AG353"/>
    <mergeCell ref="L354:M354"/>
    <mergeCell ref="N354:O354"/>
    <mergeCell ref="P354:Q354"/>
    <mergeCell ref="R354:S354"/>
    <mergeCell ref="T354:U354"/>
    <mergeCell ref="V354:W354"/>
    <mergeCell ref="X354:Y354"/>
    <mergeCell ref="Z354:AA354"/>
    <mergeCell ref="AB354:AC354"/>
    <mergeCell ref="AD354:AD355"/>
    <mergeCell ref="AE354:AE355"/>
    <mergeCell ref="AF354:AF355"/>
    <mergeCell ref="AG354:AG355"/>
    <mergeCell ref="AH354:AH355"/>
    <mergeCell ref="A356:A365"/>
    <mergeCell ref="B356:B365"/>
    <mergeCell ref="C356:C365"/>
    <mergeCell ref="D356:D365"/>
    <mergeCell ref="E366:H366"/>
  </mergeCells>
  <dataValidations count="1">
    <dataValidation allowBlank="true" errorStyle="stop" operator="between" showDropDown="false" showErrorMessage="true" showInputMessage="true" sqref="H6:H15 H20:H29 H34:H43 H48:H57 H62:H71 H76:H85 H90:H99 H104:H113 H118:H127 H132:H141 H146:H155 H160:H169 H174:H183 H188:H197 H202:H211 H216:H225 H230:H239 H244:H253 H258:H267 H272:H281 H286:H295 H300:H309 H314:H323 H328:H337 H342:H351 H356:H365" type="list">
      <formula1>$AJ$5:$AJ$7</formula1>
      <formula2>0</formula2>
    </dataValidation>
  </dataValidations>
  <hyperlinks>
    <hyperlink ref="C1" location="'Tabla de Contenidos'!A1" display="Volver a Tabla de contenidos"/>
    <hyperlink ref="AF1" location="'RESULTADO FINAL SOSTENIBILIDAD'!A1" display="Ir a Resultados Finales"/>
  </hyperlinks>
  <printOptions headings="false" gridLines="false" gridLinesSet="true" horizontalCentered="false" verticalCentered="false"/>
  <pageMargins left="0.315277777777778" right="0.315277777777778" top="0.354166666666667" bottom="0.354861111111111" header="0.511811023622047" footer="0.315277777777778"/>
  <pageSetup paperSize="5" scale="65" fitToWidth="1" fitToHeight="1" pageOrder="downThenOver" orientation="landscape" blackAndWhite="false" draft="false" cellComments="none" horizontalDpi="300" verticalDpi="300" copies="1"/>
  <headerFooter differentFirst="false" differentOddEven="false">
    <oddHeader/>
    <oddFooter>&amp;C&amp;Nde&amp;N&amp;R&amp;F</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408"/>
  <sheetViews>
    <sheetView showFormulas="false" showGridLines="true" showRowColHeaders="true" showZeros="true" rightToLeft="false" tabSelected="false" showOutlineSymbols="true" defaultGridColor="true" view="normal" topLeftCell="BV4" colorId="64" zoomScale="90" zoomScaleNormal="90" zoomScalePageLayoutView="100" workbookViewId="0">
      <selection pane="topLeft" activeCell="J14" activeCellId="0" sqref="J14"/>
    </sheetView>
  </sheetViews>
  <sheetFormatPr defaultColWidth="11.43359375" defaultRowHeight="12.75" customHeight="false" zeroHeight="false" outlineLevelRow="0" outlineLevelCol="0"/>
  <cols>
    <col collapsed="false" customWidth="true" hidden="false" outlineLevel="0" max="1" min="1" style="184" width="16"/>
    <col collapsed="false" customWidth="false" hidden="false" outlineLevel="0" max="2" min="2" style="184" width="11.43"/>
    <col collapsed="false" customWidth="true" hidden="false" outlineLevel="0" max="3" min="3" style="311" width="12"/>
    <col collapsed="false" customWidth="true" hidden="false" outlineLevel="0" max="4" min="4" style="311" width="13.86"/>
    <col collapsed="false" customWidth="true" hidden="false" outlineLevel="0" max="5" min="5" style="311" width="17.15"/>
    <col collapsed="false" customWidth="true" hidden="false" outlineLevel="0" max="10" min="6" style="311" width="10.14"/>
    <col collapsed="false" customWidth="true" hidden="false" outlineLevel="0" max="13" min="11" style="311" width="7.57"/>
    <col collapsed="false" customWidth="true" hidden="false" outlineLevel="0" max="15" min="14" style="311" width="10.14"/>
    <col collapsed="false" customWidth="true" hidden="false" outlineLevel="0" max="19" min="16" style="311" width="8.57"/>
    <col collapsed="false" customWidth="true" hidden="false" outlineLevel="0" max="20" min="20" style="311" width="14.42"/>
    <col collapsed="false" customWidth="true" hidden="false" outlineLevel="0" max="21" min="21" style="311" width="18.29"/>
    <col collapsed="false" customWidth="true" hidden="false" outlineLevel="0" max="22" min="22" style="184" width="18.29"/>
    <col collapsed="false" customWidth="true" hidden="false" outlineLevel="0" max="23" min="23" style="184" width="21.84"/>
    <col collapsed="false" customWidth="true" hidden="false" outlineLevel="0" max="24" min="24" style="184" width="19.57"/>
    <col collapsed="false" customWidth="true" hidden="false" outlineLevel="0" max="25" min="25" style="184" width="4"/>
    <col collapsed="false" customWidth="true" hidden="false" outlineLevel="0" max="26" min="26" style="184" width="38"/>
    <col collapsed="false" customWidth="false" hidden="false" outlineLevel="0" max="72" min="27" style="184" width="11.43"/>
    <col collapsed="false" customWidth="true" hidden="false" outlineLevel="0" max="73" min="73" style="184" width="26"/>
    <col collapsed="false" customWidth="false" hidden="false" outlineLevel="0" max="16384" min="74" style="184" width="11.43"/>
  </cols>
  <sheetData>
    <row r="1" customFormat="false" ht="5.25" hidden="true" customHeight="true" outlineLevel="0" collapsed="false"/>
    <row r="2" s="312" customFormat="true" ht="48.75" hidden="false" customHeight="true" outlineLevel="0" collapsed="false">
      <c r="C2" s="188" t="s">
        <v>246</v>
      </c>
      <c r="D2" s="313" t="s">
        <v>367</v>
      </c>
      <c r="E2" s="313"/>
      <c r="F2" s="313"/>
      <c r="G2" s="313"/>
      <c r="H2" s="313"/>
      <c r="I2" s="313"/>
      <c r="J2" s="313"/>
      <c r="K2" s="313"/>
      <c r="L2" s="313"/>
      <c r="M2" s="313"/>
      <c r="N2" s="313"/>
      <c r="O2" s="313"/>
      <c r="P2" s="313"/>
      <c r="Q2" s="313"/>
      <c r="R2" s="313"/>
      <c r="S2" s="313"/>
      <c r="T2" s="313"/>
      <c r="U2" s="313"/>
      <c r="V2" s="188" t="s">
        <v>176</v>
      </c>
    </row>
    <row r="3" s="370" customFormat="true" ht="27.75" hidden="false" customHeight="true" outlineLevel="0" collapsed="false">
      <c r="C3" s="371"/>
      <c r="D3" s="372"/>
      <c r="E3" s="372"/>
      <c r="F3" s="373" t="s">
        <v>368</v>
      </c>
      <c r="G3" s="373"/>
      <c r="H3" s="373"/>
      <c r="I3" s="373"/>
      <c r="J3" s="373"/>
      <c r="K3" s="373"/>
      <c r="L3" s="373"/>
      <c r="M3" s="373"/>
      <c r="N3" s="373"/>
      <c r="O3" s="373"/>
      <c r="P3" s="373"/>
      <c r="Q3" s="373"/>
      <c r="R3" s="373"/>
      <c r="S3" s="373"/>
      <c r="T3" s="374" t="s">
        <v>369</v>
      </c>
      <c r="U3" s="374"/>
      <c r="V3" s="374"/>
    </row>
    <row r="4" s="375" customFormat="true" ht="36" hidden="false" customHeight="true" outlineLevel="0" collapsed="false">
      <c r="C4" s="376"/>
      <c r="D4" s="376"/>
      <c r="E4" s="376"/>
      <c r="F4" s="373"/>
      <c r="G4" s="373"/>
      <c r="H4" s="373"/>
      <c r="I4" s="373"/>
      <c r="J4" s="373"/>
      <c r="K4" s="373"/>
      <c r="L4" s="373"/>
      <c r="M4" s="373"/>
      <c r="N4" s="373"/>
      <c r="O4" s="373"/>
      <c r="P4" s="373"/>
      <c r="Q4" s="373"/>
      <c r="R4" s="373"/>
      <c r="S4" s="373"/>
      <c r="T4" s="374"/>
      <c r="U4" s="374"/>
      <c r="V4" s="374"/>
    </row>
    <row r="5" s="381" customFormat="true" ht="93.75" hidden="false" customHeight="true" outlineLevel="0" collapsed="false">
      <c r="A5" s="377" t="s">
        <v>315</v>
      </c>
      <c r="B5" s="377" t="s">
        <v>17</v>
      </c>
      <c r="C5" s="377" t="s">
        <v>317</v>
      </c>
      <c r="D5" s="378" t="s">
        <v>318</v>
      </c>
      <c r="E5" s="378" t="s">
        <v>280</v>
      </c>
      <c r="F5" s="322" t="s">
        <v>370</v>
      </c>
      <c r="G5" s="322" t="s">
        <v>371</v>
      </c>
      <c r="H5" s="322" t="s">
        <v>372</v>
      </c>
      <c r="I5" s="322" t="s">
        <v>373</v>
      </c>
      <c r="J5" s="379" t="s">
        <v>374</v>
      </c>
      <c r="K5" s="379" t="s">
        <v>375</v>
      </c>
      <c r="L5" s="379" t="s">
        <v>376</v>
      </c>
      <c r="M5" s="379" t="s">
        <v>377</v>
      </c>
      <c r="N5" s="379" t="s">
        <v>378</v>
      </c>
      <c r="O5" s="322" t="s">
        <v>379</v>
      </c>
      <c r="P5" s="379" t="s">
        <v>380</v>
      </c>
      <c r="Q5" s="379" t="s">
        <v>381</v>
      </c>
      <c r="R5" s="379" t="s">
        <v>382</v>
      </c>
      <c r="S5" s="379" t="s">
        <v>383</v>
      </c>
      <c r="T5" s="323" t="s">
        <v>343</v>
      </c>
      <c r="U5" s="380" t="s">
        <v>344</v>
      </c>
      <c r="V5" s="380" t="s">
        <v>345</v>
      </c>
      <c r="X5" s="382" t="s">
        <v>384</v>
      </c>
      <c r="Y5" s="382"/>
    </row>
    <row r="6" s="390" customFormat="true" ht="36.75" hidden="false" customHeight="true" outlineLevel="0" collapsed="false">
      <c r="A6" s="383" t="str">
        <f aca="false">'Listado CAPS'!A3</f>
        <v>Madriz</v>
      </c>
      <c r="B6" s="383" t="str">
        <f aca="false">'Listado CAPS'!B3</f>
        <v>Yalaguina</v>
      </c>
      <c r="C6" s="383" t="str">
        <f aca="false">'Listado CAPS'!C3</f>
        <v>Los Encuentros</v>
      </c>
      <c r="D6" s="384" t="str">
        <f aca="false">'Listado CAPS'!D3</f>
        <v>Los Encuentros</v>
      </c>
      <c r="E6" s="384" t="str">
        <f aca="false">'Listado CAPS'!E3</f>
        <v>MAG</v>
      </c>
      <c r="F6" s="385" t="s">
        <v>385</v>
      </c>
      <c r="G6" s="385" t="s">
        <v>386</v>
      </c>
      <c r="H6" s="385" t="s">
        <v>387</v>
      </c>
      <c r="I6" s="385" t="s">
        <v>388</v>
      </c>
      <c r="J6" s="386" t="s">
        <v>389</v>
      </c>
      <c r="K6" s="386" t="s">
        <v>390</v>
      </c>
      <c r="L6" s="386" t="s">
        <v>390</v>
      </c>
      <c r="M6" s="386" t="s">
        <v>390</v>
      </c>
      <c r="N6" s="386" t="s">
        <v>391</v>
      </c>
      <c r="O6" s="385" t="s">
        <v>392</v>
      </c>
      <c r="P6" s="386" t="s">
        <v>393</v>
      </c>
      <c r="Q6" s="386" t="s">
        <v>393</v>
      </c>
      <c r="R6" s="386" t="s">
        <v>393</v>
      </c>
      <c r="S6" s="386" t="s">
        <v>393</v>
      </c>
      <c r="T6" s="387" t="str">
        <f aca="false">IF(E6="SUPERFICIE",$X$10,IF(F6="No mejorada",$X$9,IF(H6="Más de 30 minutos",$X$8,IF(AND(G6="Dentro de la vivienda",I6="Todo el tiempo tenemos agua",O6="Negativo en E. coli"),$X$6,$X$7))))</f>
        <v>BÁSICO</v>
      </c>
      <c r="U6" s="388"/>
      <c r="V6" s="330"/>
      <c r="W6" s="389" t="s">
        <v>385</v>
      </c>
      <c r="X6" s="390" t="s">
        <v>394</v>
      </c>
      <c r="Y6" s="390" t="n">
        <v>1</v>
      </c>
      <c r="Z6" s="391" t="s">
        <v>395</v>
      </c>
    </row>
    <row r="7" s="390" customFormat="true" ht="22.5" hidden="false" customHeight="true" outlineLevel="0" collapsed="false">
      <c r="A7" s="383" t="n">
        <f aca="false">'Listado CAPS'!A4</f>
        <v>0</v>
      </c>
      <c r="B7" s="383" t="n">
        <f aca="false">'Listado CAPS'!B4</f>
        <v>0</v>
      </c>
      <c r="C7" s="383" t="n">
        <f aca="false">'Listado CAPS'!C4</f>
        <v>0</v>
      </c>
      <c r="D7" s="384" t="str">
        <f aca="false">'Listado CAPS'!D4</f>
        <v>B</v>
      </c>
      <c r="E7" s="384"/>
      <c r="F7" s="392"/>
      <c r="G7" s="392"/>
      <c r="H7" s="392"/>
      <c r="I7" s="392"/>
      <c r="J7" s="327" t="s">
        <v>393</v>
      </c>
      <c r="K7" s="327"/>
      <c r="L7" s="327"/>
      <c r="M7" s="327"/>
      <c r="N7" s="392"/>
      <c r="O7" s="392"/>
      <c r="P7" s="327"/>
      <c r="Q7" s="327"/>
      <c r="R7" s="327"/>
      <c r="S7" s="327"/>
      <c r="T7" s="387" t="str">
        <f aca="false">IF(E7="SUPERFICIE",$X$10,IF(F7="No mejorada",$X$9,IF(H7="Más de 30 minutos",$X$8,IF(AND(G7="Dentro de la vivienda",I7="Todo el tiempo tenemos agua",O7="Negativo en E. coli"),$X$6,$X$7))))</f>
        <v>BÁSICO</v>
      </c>
      <c r="U7" s="388"/>
      <c r="V7" s="330"/>
      <c r="W7" s="393" t="s">
        <v>396</v>
      </c>
      <c r="X7" s="390" t="s">
        <v>397</v>
      </c>
      <c r="Y7" s="390" t="n">
        <v>0.5</v>
      </c>
      <c r="Z7" s="391"/>
    </row>
    <row r="8" s="390" customFormat="true" ht="22.5" hidden="false" customHeight="true" outlineLevel="0" collapsed="false">
      <c r="A8" s="383" t="n">
        <f aca="false">'Listado CAPS'!A5</f>
        <v>0</v>
      </c>
      <c r="B8" s="383" t="n">
        <f aca="false">'Listado CAPS'!B5</f>
        <v>0</v>
      </c>
      <c r="C8" s="383" t="n">
        <f aca="false">'Listado CAPS'!C5</f>
        <v>0</v>
      </c>
      <c r="D8" s="384" t="str">
        <f aca="false">'Listado CAPS'!D5</f>
        <v>C</v>
      </c>
      <c r="E8" s="384"/>
      <c r="F8" s="392"/>
      <c r="G8" s="392"/>
      <c r="H8" s="392"/>
      <c r="I8" s="392"/>
      <c r="J8" s="327"/>
      <c r="K8" s="327"/>
      <c r="L8" s="327"/>
      <c r="M8" s="327"/>
      <c r="N8" s="392"/>
      <c r="O8" s="392"/>
      <c r="P8" s="327"/>
      <c r="Q8" s="327"/>
      <c r="R8" s="327"/>
      <c r="S8" s="327"/>
      <c r="T8" s="387" t="str">
        <f aca="false">IF(E8="SUPERFICIE",$X$10,IF(F8="No mejorada",$X$9,IF(H8="Más de 30 minutos",$X$8,IF(AND(G8="Dentro de la vivienda",I8="Todo el tiempo tenemos agua",O8="Negativo en E. coli"),$X$6,$X$7))))</f>
        <v>BÁSICO</v>
      </c>
      <c r="U8" s="388"/>
      <c r="V8" s="330"/>
      <c r="W8" s="389" t="s">
        <v>386</v>
      </c>
      <c r="X8" s="390" t="s">
        <v>398</v>
      </c>
      <c r="Y8" s="390" t="n">
        <v>0</v>
      </c>
      <c r="Z8" s="391"/>
    </row>
    <row r="9" s="390" customFormat="true" ht="22.5" hidden="false" customHeight="true" outlineLevel="0" collapsed="false">
      <c r="A9" s="383" t="n">
        <f aca="false">'Listado CAPS'!A6</f>
        <v>0</v>
      </c>
      <c r="B9" s="383" t="n">
        <f aca="false">'Listado CAPS'!B6</f>
        <v>0</v>
      </c>
      <c r="C9" s="383" t="n">
        <f aca="false">'Listado CAPS'!C6</f>
        <v>0</v>
      </c>
      <c r="D9" s="384" t="str">
        <f aca="false">'Listado CAPS'!D6</f>
        <v>D</v>
      </c>
      <c r="E9" s="384"/>
      <c r="F9" s="392"/>
      <c r="G9" s="392"/>
      <c r="H9" s="392"/>
      <c r="I9" s="392"/>
      <c r="J9" s="327"/>
      <c r="K9" s="327"/>
      <c r="L9" s="327"/>
      <c r="M9" s="327"/>
      <c r="N9" s="392"/>
      <c r="O9" s="392"/>
      <c r="P9" s="327"/>
      <c r="Q9" s="327"/>
      <c r="R9" s="327"/>
      <c r="S9" s="327"/>
      <c r="T9" s="387" t="str">
        <f aca="false">IF(E9="SUPERFICIE",$X$10,IF(F9="No mejorada",$X$9,IF(H9="Más de 30 minutos",$X$8,IF(AND(G9="Dentro de la vivienda",I9="Todo el tiempo tenemos agua",O9="Negativo en E. coli"),$X$6,$X$7))))</f>
        <v>BÁSICO</v>
      </c>
      <c r="U9" s="388"/>
      <c r="V9" s="330"/>
      <c r="W9" s="394" t="s">
        <v>399</v>
      </c>
      <c r="X9" s="390" t="s">
        <v>400</v>
      </c>
      <c r="Y9" s="390" t="n">
        <v>0</v>
      </c>
      <c r="Z9" s="391"/>
    </row>
    <row r="10" s="390" customFormat="true" ht="22.5" hidden="false" customHeight="true" outlineLevel="0" collapsed="false">
      <c r="A10" s="383" t="n">
        <f aca="false">'Listado CAPS'!A7</f>
        <v>0</v>
      </c>
      <c r="B10" s="383" t="n">
        <f aca="false">'Listado CAPS'!B7</f>
        <v>0</v>
      </c>
      <c r="C10" s="383" t="n">
        <f aca="false">'Listado CAPS'!C7</f>
        <v>0</v>
      </c>
      <c r="D10" s="384" t="str">
        <f aca="false">'Listado CAPS'!D7</f>
        <v>E</v>
      </c>
      <c r="E10" s="384"/>
      <c r="F10" s="392"/>
      <c r="G10" s="392"/>
      <c r="H10" s="392"/>
      <c r="I10" s="392"/>
      <c r="J10" s="327"/>
      <c r="K10" s="327"/>
      <c r="L10" s="327"/>
      <c r="M10" s="327"/>
      <c r="N10" s="392"/>
      <c r="O10" s="392"/>
      <c r="P10" s="327"/>
      <c r="Q10" s="327"/>
      <c r="R10" s="327"/>
      <c r="S10" s="327"/>
      <c r="T10" s="387" t="str">
        <f aca="false">IF(E10="SUPERFICIE",$X$10,IF(F10="No mejorada",$X$9,IF(H10="Más de 30 minutos",$X$8,IF(AND(G10="Dentro de la vivienda",I10="Todo el tiempo tenemos agua",O10="Negativo en E. coli"),$X$6,$X$7))))</f>
        <v>BÁSICO</v>
      </c>
      <c r="U10" s="388"/>
      <c r="V10" s="330"/>
      <c r="W10" s="394" t="s">
        <v>401</v>
      </c>
      <c r="X10" s="390" t="s">
        <v>402</v>
      </c>
      <c r="Y10" s="390" t="n">
        <v>0</v>
      </c>
      <c r="Z10" s="391"/>
    </row>
    <row r="11" s="390" customFormat="true" ht="22.5" hidden="false" customHeight="true" outlineLevel="0" collapsed="false">
      <c r="A11" s="383" t="n">
        <f aca="false">'Listado CAPS'!A8</f>
        <v>0</v>
      </c>
      <c r="B11" s="383" t="n">
        <f aca="false">'Listado CAPS'!B8</f>
        <v>0</v>
      </c>
      <c r="C11" s="383" t="n">
        <f aca="false">'Listado CAPS'!C8</f>
        <v>0</v>
      </c>
      <c r="D11" s="384" t="str">
        <f aca="false">'Listado CAPS'!D8</f>
        <v>F</v>
      </c>
      <c r="E11" s="384"/>
      <c r="F11" s="392"/>
      <c r="G11" s="392"/>
      <c r="H11" s="392"/>
      <c r="I11" s="392"/>
      <c r="J11" s="327"/>
      <c r="K11" s="327"/>
      <c r="L11" s="327"/>
      <c r="M11" s="327"/>
      <c r="N11" s="392"/>
      <c r="O11" s="392"/>
      <c r="P11" s="327"/>
      <c r="Q11" s="327"/>
      <c r="R11" s="327"/>
      <c r="S11" s="327"/>
      <c r="T11" s="387" t="str">
        <f aca="false">IF(E11="SUPERFICIE",$X$10,IF(F11="No mejorada",$X$9,IF(H11="Más de 30 minutos",$X$8,IF(AND(G11="Dentro de la vivienda",I11="Todo el tiempo tenemos agua",O11="Negativo en E. coli"),$X$6,$X$7))))</f>
        <v>BÁSICO</v>
      </c>
      <c r="U11" s="388"/>
      <c r="V11" s="330"/>
      <c r="W11" s="393" t="s">
        <v>403</v>
      </c>
    </row>
    <row r="12" s="390" customFormat="true" ht="22.5" hidden="false" customHeight="true" outlineLevel="0" collapsed="false">
      <c r="A12" s="383" t="n">
        <f aca="false">'Listado CAPS'!A9</f>
        <v>0</v>
      </c>
      <c r="B12" s="383" t="n">
        <f aca="false">'Listado CAPS'!B9</f>
        <v>0</v>
      </c>
      <c r="C12" s="383" t="n">
        <f aca="false">'Listado CAPS'!C9</f>
        <v>0</v>
      </c>
      <c r="D12" s="384" t="str">
        <f aca="false">'Listado CAPS'!D9</f>
        <v>G</v>
      </c>
      <c r="E12" s="384"/>
      <c r="F12" s="392"/>
      <c r="G12" s="392"/>
      <c r="H12" s="392"/>
      <c r="I12" s="392"/>
      <c r="J12" s="327"/>
      <c r="K12" s="327"/>
      <c r="L12" s="327"/>
      <c r="M12" s="327"/>
      <c r="N12" s="392"/>
      <c r="O12" s="392"/>
      <c r="P12" s="327"/>
      <c r="Q12" s="327"/>
      <c r="R12" s="327"/>
      <c r="S12" s="327"/>
      <c r="T12" s="387" t="str">
        <f aca="false">IF(E12="SUPERFICIE",$X$10,IF(F12="No mejorada",$X$9,IF(H12="Más de 30 minutos",$X$8,IF(AND(G12="Dentro de la vivienda",I12="Todo el tiempo tenemos agua",O12="Negativo en E. coli"),$X$6,$X$7))))</f>
        <v>BÁSICO</v>
      </c>
      <c r="U12" s="388"/>
      <c r="V12" s="330"/>
      <c r="W12" s="389" t="s">
        <v>387</v>
      </c>
    </row>
    <row r="13" s="390" customFormat="true" ht="22.5" hidden="false" customHeight="true" outlineLevel="0" collapsed="false">
      <c r="A13" s="383" t="n">
        <f aca="false">'Listado CAPS'!A10</f>
        <v>0</v>
      </c>
      <c r="B13" s="383" t="n">
        <f aca="false">'Listado CAPS'!B10</f>
        <v>0</v>
      </c>
      <c r="C13" s="383" t="n">
        <f aca="false">'Listado CAPS'!C10</f>
        <v>0</v>
      </c>
      <c r="D13" s="384" t="str">
        <f aca="false">'Listado CAPS'!D10</f>
        <v>H</v>
      </c>
      <c r="E13" s="384"/>
      <c r="F13" s="392"/>
      <c r="G13" s="392"/>
      <c r="H13" s="392"/>
      <c r="I13" s="392"/>
      <c r="J13" s="327"/>
      <c r="K13" s="327"/>
      <c r="L13" s="327"/>
      <c r="M13" s="327"/>
      <c r="N13" s="392"/>
      <c r="O13" s="392"/>
      <c r="P13" s="327"/>
      <c r="Q13" s="327"/>
      <c r="R13" s="327"/>
      <c r="S13" s="327"/>
      <c r="T13" s="387" t="str">
        <f aca="false">IF(E13="SUPERFICIE",$X$10,IF(F13="No mejorada",$X$9,IF(H13="Más de 30 minutos",$X$8,IF(AND(G13="Dentro de la vivienda",I13="Todo el tiempo tenemos agua",O13="Negativo en E. coli"),$X$6,$X$7))))</f>
        <v>BÁSICO</v>
      </c>
      <c r="U13" s="388"/>
      <c r="V13" s="330"/>
      <c r="W13" s="393" t="s">
        <v>404</v>
      </c>
    </row>
    <row r="14" s="390" customFormat="true" ht="22.5" hidden="false" customHeight="true" outlineLevel="0" collapsed="false">
      <c r="A14" s="383" t="n">
        <f aca="false">'Listado CAPS'!A11</f>
        <v>0</v>
      </c>
      <c r="B14" s="383" t="n">
        <f aca="false">'Listado CAPS'!B11</f>
        <v>0</v>
      </c>
      <c r="C14" s="383" t="n">
        <f aca="false">'Listado CAPS'!C11</f>
        <v>0</v>
      </c>
      <c r="D14" s="384" t="str">
        <f aca="false">'Listado CAPS'!D11</f>
        <v>I</v>
      </c>
      <c r="E14" s="384"/>
      <c r="F14" s="392"/>
      <c r="G14" s="392"/>
      <c r="H14" s="392"/>
      <c r="I14" s="392"/>
      <c r="J14" s="327"/>
      <c r="K14" s="327"/>
      <c r="L14" s="327"/>
      <c r="M14" s="327"/>
      <c r="N14" s="392"/>
      <c r="O14" s="392"/>
      <c r="P14" s="327"/>
      <c r="Q14" s="327"/>
      <c r="R14" s="327"/>
      <c r="S14" s="327"/>
      <c r="T14" s="387" t="str">
        <f aca="false">IF(E14="SUPERFICIE",$X$10,IF(F14="No mejorada",$X$9,IF(H14="Más de 30 minutos",$X$8,IF(AND(G14="Dentro de la vivienda",I14="Todo el tiempo tenemos agua",O14="Negativo en E. coli"),$X$6,$X$7))))</f>
        <v>BÁSICO</v>
      </c>
      <c r="U14" s="388"/>
      <c r="V14" s="330"/>
      <c r="W14" s="389" t="s">
        <v>405</v>
      </c>
    </row>
    <row r="15" s="390" customFormat="true" ht="22.5" hidden="false" customHeight="true" outlineLevel="0" collapsed="false">
      <c r="A15" s="383" t="n">
        <f aca="false">'Listado CAPS'!A12</f>
        <v>0</v>
      </c>
      <c r="B15" s="383" t="n">
        <f aca="false">'Listado CAPS'!B12</f>
        <v>0</v>
      </c>
      <c r="C15" s="383" t="n">
        <f aca="false">'Listado CAPS'!C12</f>
        <v>0</v>
      </c>
      <c r="D15" s="384" t="str">
        <f aca="false">'Listado CAPS'!D12</f>
        <v>J</v>
      </c>
      <c r="E15" s="384"/>
      <c r="F15" s="392"/>
      <c r="G15" s="392"/>
      <c r="H15" s="392"/>
      <c r="I15" s="392"/>
      <c r="J15" s="327"/>
      <c r="K15" s="327"/>
      <c r="L15" s="327"/>
      <c r="M15" s="327"/>
      <c r="N15" s="392"/>
      <c r="O15" s="392"/>
      <c r="P15" s="327"/>
      <c r="Q15" s="327"/>
      <c r="R15" s="327"/>
      <c r="S15" s="327"/>
      <c r="T15" s="387" t="str">
        <f aca="false">IF(E15="SUPERFICIE",$X$10,IF(F15="No mejorada",$X$9,IF(H15="Más de 30 minutos",$X$8,IF(AND(G15="Dentro de la vivienda",I15="Todo el tiempo tenemos agua",O15="Negativo en E. coli"),$X$6,$X$7))))</f>
        <v>BÁSICO</v>
      </c>
      <c r="U15" s="388"/>
      <c r="V15" s="330"/>
      <c r="W15" s="394" t="s">
        <v>388</v>
      </c>
    </row>
    <row r="16" s="396" customFormat="true" ht="22.5" hidden="false" customHeight="true" outlineLevel="0" collapsed="false">
      <c r="A16" s="383" t="n">
        <f aca="false">'Listado CAPS'!A13</f>
        <v>0</v>
      </c>
      <c r="B16" s="383" t="n">
        <f aca="false">'Listado CAPS'!B13</f>
        <v>0</v>
      </c>
      <c r="C16" s="383" t="n">
        <f aca="false">'Listado CAPS'!C13</f>
        <v>0</v>
      </c>
      <c r="D16" s="384" t="str">
        <f aca="false">'Listado CAPS'!D13</f>
        <v>K</v>
      </c>
      <c r="E16" s="384"/>
      <c r="F16" s="392"/>
      <c r="G16" s="392"/>
      <c r="H16" s="392"/>
      <c r="I16" s="392"/>
      <c r="J16" s="327"/>
      <c r="K16" s="327"/>
      <c r="L16" s="327"/>
      <c r="M16" s="327"/>
      <c r="N16" s="392"/>
      <c r="O16" s="392"/>
      <c r="P16" s="327"/>
      <c r="Q16" s="327"/>
      <c r="R16" s="327"/>
      <c r="S16" s="327"/>
      <c r="T16" s="387" t="str">
        <f aca="false">IF(E16="SUPERFICIE",$X$10,IF(F16="No mejorada",$X$9,IF(H16="Más de 30 minutos",$X$8,IF(AND(G16="Dentro de la vivienda",I16="Todo el tiempo tenemos agua",O16="Negativo en E. coli"),$X$6,$X$7))))</f>
        <v>BÁSICO</v>
      </c>
      <c r="U16" s="388"/>
      <c r="V16" s="395"/>
      <c r="W16" s="394" t="s">
        <v>406</v>
      </c>
    </row>
    <row r="17" s="390" customFormat="true" ht="22.5" hidden="false" customHeight="true" outlineLevel="0" collapsed="false">
      <c r="A17" s="383" t="n">
        <f aca="false">'Listado CAPS'!A14</f>
        <v>0</v>
      </c>
      <c r="B17" s="383" t="n">
        <f aca="false">'Listado CAPS'!B14</f>
        <v>0</v>
      </c>
      <c r="C17" s="383" t="n">
        <f aca="false">'Listado CAPS'!C14</f>
        <v>0</v>
      </c>
      <c r="D17" s="384" t="str">
        <f aca="false">'Listado CAPS'!D14</f>
        <v>L</v>
      </c>
      <c r="E17" s="384"/>
      <c r="F17" s="392"/>
      <c r="G17" s="392"/>
      <c r="H17" s="392"/>
      <c r="I17" s="392"/>
      <c r="J17" s="327"/>
      <c r="K17" s="327"/>
      <c r="L17" s="327"/>
      <c r="M17" s="327"/>
      <c r="N17" s="392"/>
      <c r="O17" s="392"/>
      <c r="P17" s="327"/>
      <c r="Q17" s="327"/>
      <c r="R17" s="327"/>
      <c r="S17" s="327"/>
      <c r="T17" s="387" t="str">
        <f aca="false">IF(E17="SUPERFICIE",$X$10,IF(F17="No mejorada",$X$9,IF(H17="Más de 30 minutos",$X$8,IF(AND(G17="Dentro de la vivienda",I17="Todo el tiempo tenemos agua",O17="Negativo en E. coli"),$X$6,$X$7))))</f>
        <v>BÁSICO</v>
      </c>
      <c r="U17" s="388"/>
      <c r="V17" s="330"/>
      <c r="W17" s="394" t="s">
        <v>407</v>
      </c>
    </row>
    <row r="18" s="390" customFormat="true" ht="22.5" hidden="false" customHeight="true" outlineLevel="0" collapsed="false">
      <c r="A18" s="383" t="n">
        <f aca="false">'Listado CAPS'!A15</f>
        <v>0</v>
      </c>
      <c r="B18" s="383" t="n">
        <f aca="false">'Listado CAPS'!B15</f>
        <v>0</v>
      </c>
      <c r="C18" s="383" t="n">
        <f aca="false">'Listado CAPS'!C15</f>
        <v>0</v>
      </c>
      <c r="D18" s="384" t="str">
        <f aca="false">'Listado CAPS'!D15</f>
        <v>M</v>
      </c>
      <c r="E18" s="384"/>
      <c r="F18" s="392"/>
      <c r="G18" s="392"/>
      <c r="H18" s="392"/>
      <c r="I18" s="392"/>
      <c r="J18" s="327"/>
      <c r="K18" s="327"/>
      <c r="L18" s="327"/>
      <c r="M18" s="327"/>
      <c r="N18" s="392"/>
      <c r="O18" s="392"/>
      <c r="P18" s="327"/>
      <c r="Q18" s="327"/>
      <c r="R18" s="327"/>
      <c r="S18" s="327"/>
      <c r="T18" s="387" t="str">
        <f aca="false">IF(E18="SUPERFICIE",$X$10,IF(F18="No mejorada",$X$9,IF(H18="Más de 30 minutos",$X$8,IF(AND(G18="Dentro de la vivienda",I18="Todo el tiempo tenemos agua",O18="Negativo en E. coli"),$X$6,$X$7))))</f>
        <v>BÁSICO</v>
      </c>
      <c r="U18" s="388"/>
      <c r="V18" s="397"/>
      <c r="W18" s="389" t="s">
        <v>392</v>
      </c>
    </row>
    <row r="19" s="390" customFormat="true" ht="22.5" hidden="false" customHeight="true" outlineLevel="0" collapsed="false">
      <c r="A19" s="383" t="n">
        <f aca="false">'Listado CAPS'!A16</f>
        <v>0</v>
      </c>
      <c r="B19" s="383" t="n">
        <f aca="false">'Listado CAPS'!B16</f>
        <v>0</v>
      </c>
      <c r="C19" s="383" t="n">
        <f aca="false">'Listado CAPS'!C16</f>
        <v>0</v>
      </c>
      <c r="D19" s="384" t="str">
        <f aca="false">'Listado CAPS'!D16</f>
        <v>N</v>
      </c>
      <c r="E19" s="384"/>
      <c r="F19" s="392"/>
      <c r="G19" s="392"/>
      <c r="H19" s="392"/>
      <c r="I19" s="392"/>
      <c r="J19" s="327"/>
      <c r="K19" s="327"/>
      <c r="L19" s="327"/>
      <c r="M19" s="327"/>
      <c r="N19" s="392"/>
      <c r="O19" s="392"/>
      <c r="P19" s="327"/>
      <c r="Q19" s="327"/>
      <c r="R19" s="327"/>
      <c r="S19" s="327"/>
      <c r="T19" s="387" t="str">
        <f aca="false">IF(E19="SUPERFICIE",$X$10,IF(F19="No mejorada",$X$9,IF(H19="Más de 30 minutos",$X$8,IF(AND(G19="Dentro de la vivienda",I19="Todo el tiempo tenemos agua",O19="Negativo en E. coli"),$X$6,$X$7))))</f>
        <v>BÁSICO</v>
      </c>
      <c r="U19" s="388"/>
      <c r="V19" s="397"/>
      <c r="W19" s="393" t="s">
        <v>408</v>
      </c>
    </row>
    <row r="20" s="390" customFormat="true" ht="22.5" hidden="false" customHeight="true" outlineLevel="0" collapsed="false">
      <c r="A20" s="383" t="n">
        <f aca="false">'Listado CAPS'!A17</f>
        <v>0</v>
      </c>
      <c r="B20" s="383" t="n">
        <f aca="false">'Listado CAPS'!B17</f>
        <v>0</v>
      </c>
      <c r="C20" s="383" t="n">
        <f aca="false">'Listado CAPS'!C17</f>
        <v>0</v>
      </c>
      <c r="D20" s="384" t="str">
        <f aca="false">'Listado CAPS'!D17</f>
        <v>Ñ</v>
      </c>
      <c r="E20" s="384"/>
      <c r="F20" s="392"/>
      <c r="G20" s="392"/>
      <c r="H20" s="392"/>
      <c r="I20" s="392"/>
      <c r="J20" s="327"/>
      <c r="K20" s="327"/>
      <c r="L20" s="327"/>
      <c r="M20" s="327"/>
      <c r="N20" s="392"/>
      <c r="O20" s="392"/>
      <c r="P20" s="327"/>
      <c r="Q20" s="327"/>
      <c r="R20" s="327"/>
      <c r="S20" s="327"/>
      <c r="T20" s="387" t="str">
        <f aca="false">IF(E20="SUPERFICIE",$X$10,IF(F20="No mejorada",$X$9,IF(H20="Más de 30 minutos",$X$8,IF(AND(G20="Dentro de la vivienda",I20="Todo el tiempo tenemos agua",O20="Negativo en E. coli"),$X$6,$X$7))))</f>
        <v>BÁSICO</v>
      </c>
      <c r="U20" s="388"/>
      <c r="V20" s="330"/>
      <c r="W20" s="394" t="s">
        <v>393</v>
      </c>
    </row>
    <row r="21" s="390" customFormat="true" ht="22.5" hidden="false" customHeight="true" outlineLevel="0" collapsed="false">
      <c r="A21" s="383" t="n">
        <f aca="false">'Listado CAPS'!A18</f>
        <v>0</v>
      </c>
      <c r="B21" s="383" t="n">
        <f aca="false">'Listado CAPS'!B18</f>
        <v>0</v>
      </c>
      <c r="C21" s="383" t="n">
        <f aca="false">'Listado CAPS'!C18</f>
        <v>0</v>
      </c>
      <c r="D21" s="384" t="str">
        <f aca="false">'Listado CAPS'!D18</f>
        <v>O</v>
      </c>
      <c r="E21" s="384"/>
      <c r="F21" s="392"/>
      <c r="G21" s="392"/>
      <c r="H21" s="392"/>
      <c r="I21" s="392"/>
      <c r="J21" s="327"/>
      <c r="K21" s="327"/>
      <c r="L21" s="327"/>
      <c r="M21" s="327"/>
      <c r="N21" s="392"/>
      <c r="O21" s="392"/>
      <c r="P21" s="327"/>
      <c r="Q21" s="327"/>
      <c r="R21" s="327"/>
      <c r="S21" s="327"/>
      <c r="T21" s="387" t="str">
        <f aca="false">IF(E21="SUPERFICIE",$X$10,IF(F21="No mejorada",$X$9,IF(H21="Más de 30 minutos",$X$8,IF(AND(G21="Dentro de la vivienda",I21="Todo el tiempo tenemos agua",O21="Negativo en E. coli"),$X$6,$X$7))))</f>
        <v>BÁSICO</v>
      </c>
      <c r="U21" s="388"/>
      <c r="V21" s="330"/>
      <c r="W21" s="393" t="s">
        <v>389</v>
      </c>
    </row>
    <row r="22" s="390" customFormat="true" ht="22.5" hidden="false" customHeight="true" outlineLevel="0" collapsed="false">
      <c r="A22" s="383" t="n">
        <f aca="false">'Listado CAPS'!A19</f>
        <v>0</v>
      </c>
      <c r="B22" s="383" t="n">
        <f aca="false">'Listado CAPS'!B19</f>
        <v>0</v>
      </c>
      <c r="C22" s="383" t="n">
        <f aca="false">'Listado CAPS'!C19</f>
        <v>0</v>
      </c>
      <c r="D22" s="384" t="str">
        <f aca="false">'Listado CAPS'!D19</f>
        <v>P</v>
      </c>
      <c r="E22" s="384"/>
      <c r="F22" s="392"/>
      <c r="G22" s="392"/>
      <c r="H22" s="392"/>
      <c r="I22" s="392"/>
      <c r="J22" s="327"/>
      <c r="K22" s="327"/>
      <c r="L22" s="327"/>
      <c r="M22" s="327"/>
      <c r="N22" s="392"/>
      <c r="O22" s="392"/>
      <c r="P22" s="327"/>
      <c r="Q22" s="327"/>
      <c r="R22" s="327"/>
      <c r="S22" s="327"/>
      <c r="T22" s="387" t="str">
        <f aca="false">IF(E22="SUPERFICIE",$X$10,IF(F22="No mejorada",$X$9,IF(H22="Más de 30 minutos",$X$8,IF(AND(G22="Dentro de la vivienda",I22="Todo el tiempo tenemos agua",O22="Negativo en E. coli"),$X$6,$X$7))))</f>
        <v>BÁSICO</v>
      </c>
      <c r="U22" s="388"/>
      <c r="V22" s="330"/>
      <c r="W22" s="389" t="s">
        <v>390</v>
      </c>
    </row>
    <row r="23" s="390" customFormat="true" ht="22.5" hidden="false" customHeight="true" outlineLevel="0" collapsed="false">
      <c r="A23" s="383" t="n">
        <f aca="false">'Listado CAPS'!A20</f>
        <v>0</v>
      </c>
      <c r="B23" s="383" t="n">
        <f aca="false">'Listado CAPS'!B20</f>
        <v>0</v>
      </c>
      <c r="C23" s="383" t="n">
        <f aca="false">'Listado CAPS'!C20</f>
        <v>0</v>
      </c>
      <c r="D23" s="384" t="str">
        <f aca="false">'Listado CAPS'!D20</f>
        <v>Q</v>
      </c>
      <c r="E23" s="384"/>
      <c r="F23" s="392"/>
      <c r="G23" s="392"/>
      <c r="H23" s="392"/>
      <c r="I23" s="392"/>
      <c r="J23" s="327"/>
      <c r="K23" s="327"/>
      <c r="L23" s="327"/>
      <c r="M23" s="327"/>
      <c r="N23" s="392"/>
      <c r="O23" s="392"/>
      <c r="P23" s="327"/>
      <c r="Q23" s="327"/>
      <c r="R23" s="327"/>
      <c r="S23" s="327"/>
      <c r="T23" s="387" t="str">
        <f aca="false">IF(E23="SUPERFICIE",$X$10,IF(F23="No mejorada",$X$9,IF(H23="Más de 30 minutos",$X$8,IF(AND(G23="Dentro de la vivienda",I23="Todo el tiempo tenemos agua",O23="Negativo en E. coli"),$X$6,$X$7))))</f>
        <v>BÁSICO</v>
      </c>
      <c r="U23" s="388"/>
      <c r="V23" s="330"/>
      <c r="W23" s="393" t="s">
        <v>409</v>
      </c>
    </row>
    <row r="24" s="390" customFormat="true" ht="22.5" hidden="false" customHeight="true" outlineLevel="0" collapsed="false">
      <c r="A24" s="383" t="n">
        <f aca="false">'Listado CAPS'!A21</f>
        <v>0</v>
      </c>
      <c r="B24" s="383" t="n">
        <f aca="false">'Listado CAPS'!B21</f>
        <v>0</v>
      </c>
      <c r="C24" s="383" t="n">
        <f aca="false">'Listado CAPS'!C21</f>
        <v>0</v>
      </c>
      <c r="D24" s="384" t="str">
        <f aca="false">'Listado CAPS'!D21</f>
        <v>R</v>
      </c>
      <c r="E24" s="384"/>
      <c r="F24" s="392"/>
      <c r="G24" s="392"/>
      <c r="H24" s="392"/>
      <c r="I24" s="392"/>
      <c r="J24" s="327"/>
      <c r="K24" s="327"/>
      <c r="L24" s="327"/>
      <c r="M24" s="327"/>
      <c r="N24" s="392"/>
      <c r="O24" s="392"/>
      <c r="P24" s="327"/>
      <c r="Q24" s="327"/>
      <c r="R24" s="327"/>
      <c r="S24" s="327"/>
      <c r="T24" s="387" t="str">
        <f aca="false">IF(E24="SUPERFICIE",$X$10,IF(F24="No mejorada",$X$9,IF(H24="Más de 30 minutos",$X$8,IF(AND(G24="Dentro de la vivienda",I24="Todo el tiempo tenemos agua",O24="Negativo en E. coli"),$X$6,$X$7))))</f>
        <v>BÁSICO</v>
      </c>
      <c r="U24" s="388"/>
      <c r="V24" s="330"/>
      <c r="W24" s="389" t="s">
        <v>391</v>
      </c>
    </row>
    <row r="25" s="390" customFormat="true" ht="22.5" hidden="false" customHeight="true" outlineLevel="0" collapsed="false">
      <c r="A25" s="383" t="n">
        <f aca="false">'Listado CAPS'!A22</f>
        <v>0</v>
      </c>
      <c r="B25" s="383" t="n">
        <f aca="false">'Listado CAPS'!B22</f>
        <v>0</v>
      </c>
      <c r="C25" s="383" t="n">
        <f aca="false">'Listado CAPS'!C22</f>
        <v>0</v>
      </c>
      <c r="D25" s="384" t="str">
        <f aca="false">'Listado CAPS'!D22</f>
        <v>S</v>
      </c>
      <c r="E25" s="384"/>
      <c r="F25" s="392"/>
      <c r="G25" s="392"/>
      <c r="H25" s="392"/>
      <c r="I25" s="392"/>
      <c r="J25" s="327"/>
      <c r="K25" s="327"/>
      <c r="L25" s="327"/>
      <c r="M25" s="327"/>
      <c r="N25" s="392"/>
      <c r="O25" s="392"/>
      <c r="P25" s="327"/>
      <c r="Q25" s="327"/>
      <c r="R25" s="327"/>
      <c r="S25" s="327"/>
      <c r="T25" s="387" t="str">
        <f aca="false">IF(E25="SUPERFICIE",$X$10,IF(F25="No mejorada",$X$9,IF(H25="Más de 30 minutos",$X$8,IF(AND(G25="Dentro de la vivienda",I25="Todo el tiempo tenemos agua",O25="Negativo en E. coli"),$X$6,$X$7))))</f>
        <v>BÁSICO</v>
      </c>
      <c r="U25" s="388"/>
      <c r="V25" s="330"/>
      <c r="W25" s="393" t="s">
        <v>410</v>
      </c>
    </row>
    <row r="26" s="390" customFormat="true" ht="22.5" hidden="false" customHeight="true" outlineLevel="0" collapsed="false">
      <c r="A26" s="383" t="n">
        <f aca="false">'Listado CAPS'!A23</f>
        <v>0</v>
      </c>
      <c r="B26" s="383" t="n">
        <f aca="false">'Listado CAPS'!B23</f>
        <v>0</v>
      </c>
      <c r="C26" s="383" t="n">
        <f aca="false">'Listado CAPS'!C23</f>
        <v>0</v>
      </c>
      <c r="D26" s="384" t="str">
        <f aca="false">'Listado CAPS'!D23</f>
        <v>T</v>
      </c>
      <c r="E26" s="384"/>
      <c r="F26" s="327"/>
      <c r="G26" s="327"/>
      <c r="H26" s="327"/>
      <c r="I26" s="327"/>
      <c r="J26" s="327"/>
      <c r="K26" s="327"/>
      <c r="L26" s="327"/>
      <c r="M26" s="327"/>
      <c r="N26" s="392"/>
      <c r="O26" s="327"/>
      <c r="P26" s="327"/>
      <c r="Q26" s="327"/>
      <c r="R26" s="327"/>
      <c r="S26" s="327"/>
      <c r="T26" s="387" t="str">
        <f aca="false">IF(E26="SUPERFICIE",$X$10,IF(F26="No mejorada",$X$9,IF(H26="Más de 30 minutos",$X$8,IF(AND(G26="Dentro de la vivienda",I26="Todo el tiempo tenemos agua",O26="Negativo en E. coli"),$X$6,$X$7))))</f>
        <v>BÁSICO</v>
      </c>
      <c r="U26" s="388"/>
      <c r="V26" s="330"/>
    </row>
    <row r="27" s="390" customFormat="true" ht="22.5" hidden="false" customHeight="true" outlineLevel="0" collapsed="false">
      <c r="A27" s="383" t="n">
        <f aca="false">'Listado CAPS'!A24</f>
        <v>0</v>
      </c>
      <c r="B27" s="383" t="n">
        <f aca="false">'Listado CAPS'!B24</f>
        <v>0</v>
      </c>
      <c r="C27" s="383" t="n">
        <f aca="false">'Listado CAPS'!C24</f>
        <v>0</v>
      </c>
      <c r="D27" s="384" t="str">
        <f aca="false">'Listado CAPS'!D24</f>
        <v>U</v>
      </c>
      <c r="E27" s="384"/>
      <c r="F27" s="327"/>
      <c r="G27" s="327"/>
      <c r="H27" s="327"/>
      <c r="I27" s="327"/>
      <c r="J27" s="327"/>
      <c r="K27" s="327"/>
      <c r="L27" s="327"/>
      <c r="M27" s="327"/>
      <c r="N27" s="392"/>
      <c r="O27" s="327"/>
      <c r="P27" s="327"/>
      <c r="Q27" s="327"/>
      <c r="R27" s="327"/>
      <c r="S27" s="327"/>
      <c r="T27" s="387" t="str">
        <f aca="false">IF(E27="SUPERFICIE",$X$10,IF(F27="No mejorada",$X$9,IF(H27="Más de 30 minutos",$X$8,IF(AND(G27="Dentro de la vivienda",I27="Todo el tiempo tenemos agua",O27="Negativo en E. coli"),$X$6,$X$7))))</f>
        <v>BÁSICO</v>
      </c>
      <c r="U27" s="388"/>
      <c r="V27" s="330"/>
    </row>
    <row r="28" s="390" customFormat="true" ht="22.5" hidden="false" customHeight="true" outlineLevel="0" collapsed="false">
      <c r="A28" s="383" t="n">
        <f aca="false">'Listado CAPS'!A25</f>
        <v>0</v>
      </c>
      <c r="B28" s="383" t="n">
        <f aca="false">'Listado CAPS'!B25</f>
        <v>0</v>
      </c>
      <c r="C28" s="383" t="n">
        <f aca="false">'Listado CAPS'!C25</f>
        <v>0</v>
      </c>
      <c r="D28" s="384" t="str">
        <f aca="false">'Listado CAPS'!D25</f>
        <v>V</v>
      </c>
      <c r="E28" s="384"/>
      <c r="F28" s="327"/>
      <c r="G28" s="327"/>
      <c r="H28" s="327"/>
      <c r="I28" s="327"/>
      <c r="J28" s="327"/>
      <c r="K28" s="327"/>
      <c r="L28" s="327"/>
      <c r="M28" s="327"/>
      <c r="N28" s="392"/>
      <c r="O28" s="327"/>
      <c r="P28" s="327"/>
      <c r="Q28" s="327"/>
      <c r="R28" s="327"/>
      <c r="S28" s="327"/>
      <c r="T28" s="387" t="str">
        <f aca="false">IF(E28="SUPERFICIE",$X$10,IF(F28="No mejorada",$X$9,IF(H28="Más de 30 minutos",$X$8,IF(AND(G28="Dentro de la vivienda",I28="Todo el tiempo tenemos agua",O28="Negativo en E. coli"),$X$6,$X$7))))</f>
        <v>BÁSICO</v>
      </c>
      <c r="U28" s="388"/>
      <c r="V28" s="330"/>
    </row>
    <row r="29" s="390" customFormat="true" ht="22.5" hidden="false" customHeight="true" outlineLevel="0" collapsed="false">
      <c r="A29" s="383" t="n">
        <f aca="false">'Listado CAPS'!A26</f>
        <v>0</v>
      </c>
      <c r="B29" s="383" t="n">
        <f aca="false">'Listado CAPS'!B26</f>
        <v>0</v>
      </c>
      <c r="C29" s="383" t="n">
        <f aca="false">'Listado CAPS'!C26</f>
        <v>0</v>
      </c>
      <c r="D29" s="384" t="str">
        <f aca="false">'Listado CAPS'!D26</f>
        <v>W</v>
      </c>
      <c r="E29" s="384"/>
      <c r="F29" s="327"/>
      <c r="G29" s="327"/>
      <c r="H29" s="327"/>
      <c r="I29" s="327"/>
      <c r="J29" s="327"/>
      <c r="K29" s="327"/>
      <c r="L29" s="327"/>
      <c r="M29" s="327"/>
      <c r="N29" s="392"/>
      <c r="O29" s="327"/>
      <c r="P29" s="327"/>
      <c r="Q29" s="327"/>
      <c r="R29" s="327"/>
      <c r="S29" s="327"/>
      <c r="T29" s="387" t="str">
        <f aca="false">IF(E29="SUPERFICIE",$X$10,IF(F29="No mejorada",$X$9,IF(H29="Más de 30 minutos",$X$8,IF(AND(G29="Dentro de la vivienda",I29="Todo el tiempo tenemos agua",O29="Negativo en E. coli"),$X$6,$X$7))))</f>
        <v>BÁSICO</v>
      </c>
      <c r="U29" s="388"/>
      <c r="V29" s="330"/>
    </row>
    <row r="30" s="390" customFormat="true" ht="22.5" hidden="false" customHeight="true" outlineLevel="0" collapsed="false">
      <c r="A30" s="383" t="n">
        <f aca="false">'Listado CAPS'!A27</f>
        <v>0</v>
      </c>
      <c r="B30" s="383" t="n">
        <f aca="false">'Listado CAPS'!B27</f>
        <v>0</v>
      </c>
      <c r="C30" s="383" t="n">
        <f aca="false">'Listado CAPS'!C27</f>
        <v>0</v>
      </c>
      <c r="D30" s="384" t="str">
        <f aca="false">'Listado CAPS'!D27</f>
        <v>X</v>
      </c>
      <c r="E30" s="384"/>
      <c r="F30" s="327"/>
      <c r="G30" s="327"/>
      <c r="H30" s="327"/>
      <c r="I30" s="327"/>
      <c r="J30" s="327"/>
      <c r="K30" s="327"/>
      <c r="L30" s="327"/>
      <c r="M30" s="327"/>
      <c r="N30" s="392"/>
      <c r="O30" s="327"/>
      <c r="P30" s="327"/>
      <c r="Q30" s="327"/>
      <c r="R30" s="327"/>
      <c r="S30" s="327"/>
      <c r="T30" s="387" t="str">
        <f aca="false">IF(E30="SUPERFICIE",$X$10,IF(F30="No mejorada",$X$9,IF(H30="Más de 30 minutos",$X$8,IF(AND(G30="Dentro de la vivienda",I30="Todo el tiempo tenemos agua",O30="Negativo en E. coli"),$X$6,$X$7))))</f>
        <v>BÁSICO</v>
      </c>
      <c r="U30" s="388"/>
      <c r="V30" s="330"/>
    </row>
    <row r="31" s="390" customFormat="true" ht="22.5" hidden="false" customHeight="true" outlineLevel="0" collapsed="false">
      <c r="A31" s="383" t="n">
        <f aca="false">'Listado CAPS'!A28</f>
        <v>0</v>
      </c>
      <c r="B31" s="383" t="n">
        <f aca="false">'Listado CAPS'!B28</f>
        <v>0</v>
      </c>
      <c r="C31" s="383" t="n">
        <f aca="false">'Listado CAPS'!C28</f>
        <v>0</v>
      </c>
      <c r="D31" s="384" t="str">
        <f aca="false">'Listado CAPS'!D28</f>
        <v>Y</v>
      </c>
      <c r="E31" s="384"/>
      <c r="F31" s="327"/>
      <c r="G31" s="327"/>
      <c r="H31" s="327"/>
      <c r="I31" s="327"/>
      <c r="J31" s="327"/>
      <c r="K31" s="327"/>
      <c r="L31" s="327"/>
      <c r="M31" s="327"/>
      <c r="N31" s="392"/>
      <c r="O31" s="327"/>
      <c r="P31" s="327"/>
      <c r="Q31" s="327"/>
      <c r="R31" s="327"/>
      <c r="S31" s="327"/>
      <c r="T31" s="387" t="str">
        <f aca="false">IF(E31="SUPERFICIE",$X$10,IF(F31="No mejorada",$X$9,IF(H31="Más de 30 minutos",$X$8,IF(AND(G31="Dentro de la vivienda",I31="Todo el tiempo tenemos agua",O31="Negativo en E. coli"),$X$6,$X$7))))</f>
        <v>BÁSICO</v>
      </c>
      <c r="U31" s="388"/>
      <c r="V31" s="330"/>
    </row>
    <row r="32" s="375" customFormat="true" ht="12.75" hidden="false" customHeight="false" outlineLevel="0" collapsed="false">
      <c r="C32" s="398"/>
      <c r="D32" s="398"/>
      <c r="E32" s="398"/>
      <c r="F32" s="398"/>
      <c r="G32" s="398"/>
      <c r="H32" s="398"/>
      <c r="I32" s="398"/>
      <c r="J32" s="398"/>
      <c r="K32" s="398"/>
      <c r="L32" s="398"/>
      <c r="M32" s="398"/>
      <c r="N32" s="398"/>
      <c r="O32" s="398"/>
      <c r="P32" s="398"/>
      <c r="Q32" s="398"/>
      <c r="R32" s="398"/>
      <c r="S32" s="398"/>
      <c r="T32" s="399"/>
      <c r="U32" s="398"/>
    </row>
    <row r="33" s="375" customFormat="true" ht="12.75" hidden="false" customHeight="false" outlineLevel="0" collapsed="false">
      <c r="C33" s="398"/>
      <c r="D33" s="398"/>
      <c r="E33" s="398"/>
      <c r="F33" s="398"/>
      <c r="G33" s="398"/>
      <c r="H33" s="398"/>
      <c r="I33" s="398"/>
      <c r="J33" s="398"/>
      <c r="K33" s="398"/>
      <c r="L33" s="398"/>
      <c r="M33" s="398"/>
      <c r="N33" s="398"/>
      <c r="O33" s="398"/>
      <c r="P33" s="398"/>
      <c r="Q33" s="398"/>
      <c r="R33" s="398"/>
      <c r="S33" s="398"/>
      <c r="T33" s="399"/>
      <c r="U33" s="398"/>
    </row>
    <row r="34" s="375" customFormat="true" ht="12.75" hidden="false" customHeight="false" outlineLevel="0" collapsed="false">
      <c r="C34" s="398"/>
      <c r="D34" s="398"/>
      <c r="E34" s="398"/>
      <c r="F34" s="398"/>
      <c r="G34" s="398"/>
      <c r="H34" s="398"/>
      <c r="I34" s="398"/>
      <c r="J34" s="398"/>
      <c r="K34" s="398"/>
      <c r="L34" s="398"/>
      <c r="M34" s="398"/>
      <c r="N34" s="398"/>
      <c r="O34" s="398"/>
      <c r="P34" s="398"/>
      <c r="Q34" s="398"/>
      <c r="R34" s="398"/>
      <c r="S34" s="398"/>
      <c r="T34" s="398"/>
      <c r="U34" s="398"/>
    </row>
    <row r="35" s="375" customFormat="true" ht="12.75" hidden="false" customHeight="false" outlineLevel="0" collapsed="false">
      <c r="C35" s="398"/>
      <c r="D35" s="398"/>
      <c r="E35" s="398"/>
      <c r="F35" s="398"/>
      <c r="G35" s="398"/>
      <c r="H35" s="398"/>
      <c r="I35" s="398"/>
      <c r="J35" s="398"/>
      <c r="K35" s="398"/>
      <c r="L35" s="398"/>
      <c r="M35" s="398"/>
      <c r="N35" s="398"/>
      <c r="O35" s="398"/>
      <c r="P35" s="398"/>
      <c r="Q35" s="398"/>
      <c r="R35" s="398"/>
      <c r="S35" s="398"/>
      <c r="T35" s="398"/>
      <c r="U35" s="398"/>
    </row>
    <row r="36" s="375" customFormat="true" ht="12.75" hidden="false" customHeight="false" outlineLevel="0" collapsed="false">
      <c r="C36" s="398"/>
      <c r="D36" s="398"/>
      <c r="E36" s="398"/>
      <c r="F36" s="398"/>
      <c r="G36" s="398"/>
      <c r="H36" s="398"/>
      <c r="I36" s="398"/>
      <c r="J36" s="398"/>
      <c r="K36" s="398"/>
      <c r="L36" s="398"/>
      <c r="M36" s="398"/>
      <c r="N36" s="398"/>
      <c r="O36" s="398"/>
      <c r="P36" s="398"/>
      <c r="Q36" s="398"/>
      <c r="R36" s="398"/>
      <c r="S36" s="398"/>
      <c r="T36" s="398"/>
      <c r="U36" s="398"/>
    </row>
    <row r="37" s="375" customFormat="true" ht="12.75" hidden="false" customHeight="false" outlineLevel="0" collapsed="false">
      <c r="C37" s="398"/>
      <c r="D37" s="398"/>
      <c r="E37" s="398"/>
      <c r="F37" s="398"/>
      <c r="G37" s="398"/>
      <c r="H37" s="398"/>
      <c r="I37" s="398"/>
      <c r="J37" s="398"/>
      <c r="K37" s="398"/>
      <c r="L37" s="398"/>
      <c r="M37" s="398"/>
      <c r="N37" s="398"/>
      <c r="O37" s="398"/>
      <c r="P37" s="398"/>
      <c r="Q37" s="398"/>
      <c r="R37" s="398"/>
      <c r="S37" s="398"/>
      <c r="T37" s="398"/>
      <c r="U37" s="398"/>
    </row>
    <row r="38" s="375" customFormat="true" ht="12.75" hidden="false" customHeight="false" outlineLevel="0" collapsed="false">
      <c r="C38" s="398"/>
      <c r="D38" s="398"/>
      <c r="E38" s="398"/>
      <c r="F38" s="398"/>
      <c r="G38" s="398"/>
      <c r="H38" s="398"/>
      <c r="I38" s="398"/>
      <c r="J38" s="398"/>
      <c r="K38" s="398"/>
      <c r="L38" s="398"/>
      <c r="M38" s="398"/>
      <c r="N38" s="398"/>
      <c r="O38" s="398"/>
      <c r="P38" s="398"/>
      <c r="Q38" s="398"/>
      <c r="R38" s="398"/>
      <c r="S38" s="398"/>
      <c r="T38" s="398"/>
      <c r="U38" s="398"/>
    </row>
    <row r="39" s="375" customFormat="true" ht="12.75" hidden="false" customHeight="false" outlineLevel="0" collapsed="false">
      <c r="C39" s="398"/>
      <c r="D39" s="398"/>
      <c r="E39" s="398"/>
      <c r="F39" s="398"/>
      <c r="G39" s="398"/>
      <c r="H39" s="398"/>
      <c r="I39" s="398"/>
      <c r="J39" s="398"/>
      <c r="K39" s="398"/>
      <c r="L39" s="398"/>
      <c r="M39" s="398"/>
      <c r="N39" s="398"/>
      <c r="O39" s="398"/>
      <c r="P39" s="398"/>
      <c r="Q39" s="398"/>
      <c r="R39" s="398"/>
      <c r="S39" s="398"/>
      <c r="T39" s="398"/>
      <c r="U39" s="398"/>
    </row>
    <row r="40" s="375" customFormat="true" ht="12.75" hidden="false" customHeight="false" outlineLevel="0" collapsed="false">
      <c r="C40" s="398"/>
      <c r="D40" s="398"/>
      <c r="E40" s="398"/>
      <c r="F40" s="398"/>
      <c r="G40" s="398"/>
      <c r="H40" s="398"/>
      <c r="I40" s="398"/>
      <c r="J40" s="398"/>
      <c r="K40" s="398"/>
      <c r="L40" s="398"/>
      <c r="M40" s="398"/>
      <c r="N40" s="398"/>
      <c r="O40" s="398"/>
      <c r="P40" s="398"/>
      <c r="Q40" s="398"/>
      <c r="R40" s="398"/>
      <c r="S40" s="398"/>
      <c r="T40" s="398"/>
      <c r="U40" s="398"/>
    </row>
    <row r="41" s="375" customFormat="true" ht="12.75" hidden="false" customHeight="false" outlineLevel="0" collapsed="false">
      <c r="C41" s="398"/>
      <c r="D41" s="398"/>
      <c r="E41" s="398"/>
      <c r="F41" s="398"/>
      <c r="G41" s="398"/>
      <c r="H41" s="398"/>
      <c r="I41" s="398"/>
      <c r="J41" s="398"/>
      <c r="K41" s="398"/>
      <c r="L41" s="398"/>
      <c r="M41" s="398"/>
      <c r="N41" s="398"/>
      <c r="O41" s="398"/>
      <c r="P41" s="398"/>
      <c r="Q41" s="398"/>
      <c r="R41" s="398"/>
      <c r="S41" s="398"/>
      <c r="T41" s="398"/>
      <c r="U41" s="398"/>
    </row>
    <row r="42" s="375" customFormat="true" ht="12.75" hidden="false" customHeight="false" outlineLevel="0" collapsed="false">
      <c r="C42" s="398"/>
      <c r="D42" s="398"/>
      <c r="E42" s="398"/>
      <c r="F42" s="398"/>
      <c r="G42" s="398"/>
      <c r="H42" s="398"/>
      <c r="I42" s="398"/>
      <c r="J42" s="398"/>
      <c r="K42" s="398"/>
      <c r="L42" s="398"/>
      <c r="M42" s="398"/>
      <c r="N42" s="398"/>
      <c r="O42" s="398"/>
      <c r="P42" s="398"/>
      <c r="Q42" s="398"/>
      <c r="R42" s="398"/>
      <c r="S42" s="398"/>
      <c r="T42" s="398"/>
      <c r="U42" s="398"/>
    </row>
    <row r="43" s="375" customFormat="true" ht="12.75" hidden="false" customHeight="false" outlineLevel="0" collapsed="false">
      <c r="C43" s="398"/>
      <c r="D43" s="398"/>
      <c r="E43" s="398"/>
      <c r="F43" s="398"/>
      <c r="G43" s="398"/>
      <c r="H43" s="398"/>
      <c r="I43" s="398"/>
      <c r="J43" s="398"/>
      <c r="K43" s="398"/>
      <c r="L43" s="398"/>
      <c r="M43" s="398"/>
      <c r="N43" s="398"/>
      <c r="O43" s="398"/>
      <c r="P43" s="398"/>
      <c r="Q43" s="398"/>
      <c r="R43" s="398"/>
      <c r="S43" s="398"/>
      <c r="T43" s="398"/>
      <c r="U43" s="398"/>
    </row>
    <row r="44" s="375" customFormat="true" ht="12.75" hidden="false" customHeight="false" outlineLevel="0" collapsed="false">
      <c r="C44" s="398"/>
      <c r="D44" s="398"/>
      <c r="E44" s="398"/>
      <c r="F44" s="398"/>
      <c r="G44" s="398"/>
      <c r="H44" s="398"/>
      <c r="I44" s="398"/>
      <c r="J44" s="398"/>
      <c r="K44" s="398"/>
      <c r="L44" s="398"/>
      <c r="M44" s="398"/>
      <c r="N44" s="398"/>
      <c r="O44" s="398"/>
      <c r="P44" s="398"/>
      <c r="Q44" s="398"/>
      <c r="R44" s="398"/>
      <c r="S44" s="398"/>
      <c r="T44" s="398"/>
      <c r="U44" s="398"/>
    </row>
    <row r="45" s="375" customFormat="true" ht="12.75" hidden="false" customHeight="false" outlineLevel="0" collapsed="false">
      <c r="C45" s="398"/>
      <c r="D45" s="398"/>
      <c r="E45" s="398"/>
      <c r="F45" s="398"/>
      <c r="G45" s="398"/>
      <c r="H45" s="398"/>
      <c r="I45" s="398"/>
      <c r="J45" s="398"/>
      <c r="K45" s="398"/>
      <c r="L45" s="398"/>
      <c r="M45" s="398"/>
      <c r="N45" s="398"/>
      <c r="O45" s="398"/>
      <c r="P45" s="398"/>
      <c r="Q45" s="398"/>
      <c r="R45" s="398"/>
      <c r="S45" s="398"/>
      <c r="T45" s="398"/>
      <c r="U45" s="398"/>
    </row>
    <row r="46" s="375" customFormat="true" ht="12.75" hidden="false" customHeight="false" outlineLevel="0" collapsed="false">
      <c r="C46" s="398"/>
      <c r="D46" s="398"/>
      <c r="E46" s="398"/>
      <c r="F46" s="398"/>
      <c r="G46" s="398"/>
      <c r="H46" s="398"/>
      <c r="I46" s="398"/>
      <c r="J46" s="398"/>
      <c r="K46" s="398"/>
      <c r="L46" s="398"/>
      <c r="M46" s="398"/>
      <c r="N46" s="398"/>
      <c r="O46" s="398"/>
      <c r="P46" s="398"/>
      <c r="Q46" s="398"/>
      <c r="R46" s="398"/>
      <c r="S46" s="398"/>
      <c r="T46" s="398"/>
      <c r="U46" s="398"/>
    </row>
    <row r="47" s="375" customFormat="true" ht="12.75" hidden="false" customHeight="false" outlineLevel="0" collapsed="false">
      <c r="C47" s="398"/>
      <c r="D47" s="398"/>
      <c r="E47" s="398"/>
      <c r="F47" s="398"/>
      <c r="G47" s="398"/>
      <c r="H47" s="398"/>
      <c r="I47" s="398"/>
      <c r="J47" s="398"/>
      <c r="K47" s="398"/>
      <c r="L47" s="398"/>
      <c r="M47" s="398"/>
      <c r="N47" s="398"/>
      <c r="O47" s="398"/>
      <c r="P47" s="398"/>
      <c r="Q47" s="398"/>
      <c r="R47" s="398"/>
      <c r="S47" s="398"/>
      <c r="T47" s="398"/>
      <c r="U47" s="398"/>
    </row>
    <row r="48" s="375" customFormat="true" ht="12.75" hidden="false" customHeight="false" outlineLevel="0" collapsed="false">
      <c r="C48" s="398"/>
      <c r="D48" s="398"/>
      <c r="E48" s="398"/>
      <c r="F48" s="398"/>
      <c r="G48" s="398"/>
      <c r="H48" s="398"/>
      <c r="I48" s="398"/>
      <c r="J48" s="398"/>
      <c r="K48" s="398"/>
      <c r="L48" s="398"/>
      <c r="M48" s="398"/>
      <c r="N48" s="398"/>
      <c r="O48" s="398"/>
      <c r="P48" s="398"/>
      <c r="Q48" s="398"/>
      <c r="R48" s="398"/>
      <c r="S48" s="398"/>
      <c r="T48" s="398"/>
      <c r="U48" s="398"/>
    </row>
    <row r="49" s="375" customFormat="true" ht="12.75" hidden="false" customHeight="false" outlineLevel="0" collapsed="false">
      <c r="C49" s="398"/>
      <c r="D49" s="398"/>
      <c r="E49" s="398"/>
      <c r="F49" s="398"/>
      <c r="G49" s="398"/>
      <c r="H49" s="398"/>
      <c r="I49" s="398"/>
      <c r="J49" s="398"/>
      <c r="K49" s="398"/>
      <c r="L49" s="398"/>
      <c r="M49" s="398"/>
      <c r="N49" s="398"/>
      <c r="O49" s="398"/>
      <c r="P49" s="398"/>
      <c r="Q49" s="398"/>
      <c r="R49" s="398"/>
      <c r="S49" s="398"/>
      <c r="T49" s="398"/>
      <c r="U49" s="398"/>
    </row>
    <row r="50" s="375" customFormat="true" ht="12.75" hidden="false" customHeight="false" outlineLevel="0" collapsed="false">
      <c r="C50" s="398"/>
      <c r="D50" s="398"/>
      <c r="E50" s="398"/>
      <c r="F50" s="398"/>
      <c r="G50" s="398"/>
      <c r="H50" s="398"/>
      <c r="I50" s="398"/>
      <c r="J50" s="398"/>
      <c r="K50" s="398"/>
      <c r="L50" s="398"/>
      <c r="M50" s="398"/>
      <c r="N50" s="398"/>
      <c r="O50" s="398"/>
      <c r="P50" s="398"/>
      <c r="Q50" s="398"/>
      <c r="R50" s="398"/>
      <c r="S50" s="398"/>
      <c r="T50" s="398"/>
      <c r="U50" s="398"/>
    </row>
    <row r="51" s="375" customFormat="true" ht="12.75" hidden="false" customHeight="false" outlineLevel="0" collapsed="false">
      <c r="C51" s="398"/>
      <c r="D51" s="398"/>
      <c r="E51" s="398"/>
      <c r="F51" s="398"/>
      <c r="G51" s="398"/>
      <c r="H51" s="398"/>
      <c r="I51" s="398"/>
      <c r="J51" s="398"/>
      <c r="K51" s="398"/>
      <c r="L51" s="398"/>
      <c r="M51" s="398"/>
      <c r="N51" s="398"/>
      <c r="O51" s="398"/>
      <c r="P51" s="398"/>
      <c r="Q51" s="398"/>
      <c r="R51" s="398"/>
      <c r="S51" s="398"/>
      <c r="T51" s="398"/>
      <c r="U51" s="398"/>
    </row>
    <row r="52" s="375" customFormat="true" ht="12.75" hidden="false" customHeight="false" outlineLevel="0" collapsed="false">
      <c r="C52" s="398"/>
      <c r="D52" s="398"/>
      <c r="E52" s="398"/>
      <c r="F52" s="398"/>
      <c r="G52" s="398"/>
      <c r="H52" s="398"/>
      <c r="I52" s="398"/>
      <c r="J52" s="398"/>
      <c r="K52" s="398"/>
      <c r="L52" s="398"/>
      <c r="M52" s="398"/>
      <c r="N52" s="398"/>
      <c r="O52" s="398"/>
      <c r="P52" s="398"/>
      <c r="Q52" s="398"/>
      <c r="R52" s="398"/>
      <c r="S52" s="398"/>
      <c r="T52" s="398"/>
      <c r="U52" s="398"/>
    </row>
    <row r="53" s="375" customFormat="true" ht="12.75" hidden="false" customHeight="false" outlineLevel="0" collapsed="false">
      <c r="C53" s="398"/>
      <c r="D53" s="398"/>
      <c r="E53" s="398"/>
      <c r="F53" s="398"/>
      <c r="G53" s="398"/>
      <c r="H53" s="398"/>
      <c r="I53" s="398"/>
      <c r="J53" s="398"/>
      <c r="K53" s="398"/>
      <c r="L53" s="398"/>
      <c r="M53" s="398"/>
      <c r="N53" s="398"/>
      <c r="O53" s="398"/>
      <c r="P53" s="398"/>
      <c r="Q53" s="398"/>
      <c r="R53" s="398"/>
      <c r="S53" s="398"/>
      <c r="T53" s="398"/>
      <c r="U53" s="398"/>
    </row>
    <row r="54" s="375" customFormat="true" ht="12.75" hidden="false" customHeight="false" outlineLevel="0" collapsed="false">
      <c r="C54" s="398"/>
      <c r="D54" s="398"/>
      <c r="E54" s="398"/>
      <c r="F54" s="398"/>
      <c r="G54" s="398"/>
      <c r="H54" s="398"/>
      <c r="I54" s="398"/>
      <c r="J54" s="398"/>
      <c r="K54" s="398"/>
      <c r="L54" s="398"/>
      <c r="M54" s="398"/>
      <c r="N54" s="398"/>
      <c r="O54" s="398"/>
      <c r="P54" s="398"/>
      <c r="Q54" s="398"/>
      <c r="R54" s="398"/>
      <c r="S54" s="398"/>
      <c r="T54" s="398"/>
      <c r="U54" s="398"/>
    </row>
    <row r="55" s="375" customFormat="true" ht="12.75" hidden="false" customHeight="false" outlineLevel="0" collapsed="false">
      <c r="C55" s="398"/>
      <c r="D55" s="398"/>
      <c r="E55" s="398"/>
      <c r="F55" s="398"/>
      <c r="G55" s="398"/>
      <c r="H55" s="398"/>
      <c r="I55" s="398"/>
      <c r="J55" s="398"/>
      <c r="K55" s="398"/>
      <c r="L55" s="398"/>
      <c r="M55" s="398"/>
      <c r="N55" s="398"/>
      <c r="O55" s="398"/>
      <c r="P55" s="398"/>
      <c r="Q55" s="398"/>
      <c r="R55" s="398"/>
      <c r="S55" s="398"/>
      <c r="T55" s="398"/>
      <c r="U55" s="398"/>
    </row>
    <row r="56" s="375" customFormat="true" ht="12.75" hidden="false" customHeight="false" outlineLevel="0" collapsed="false">
      <c r="C56" s="398"/>
      <c r="D56" s="398"/>
      <c r="E56" s="398"/>
      <c r="F56" s="398"/>
      <c r="G56" s="398"/>
      <c r="H56" s="398"/>
      <c r="I56" s="398"/>
      <c r="J56" s="398"/>
      <c r="K56" s="398"/>
      <c r="L56" s="398"/>
      <c r="M56" s="398"/>
      <c r="N56" s="398"/>
      <c r="O56" s="398"/>
      <c r="P56" s="398"/>
      <c r="Q56" s="398"/>
      <c r="R56" s="398"/>
      <c r="S56" s="398"/>
      <c r="T56" s="398"/>
      <c r="U56" s="398"/>
    </row>
    <row r="57" s="375" customFormat="true" ht="12.75" hidden="false" customHeight="false" outlineLevel="0" collapsed="false">
      <c r="C57" s="398"/>
      <c r="D57" s="398"/>
      <c r="E57" s="398"/>
      <c r="F57" s="398"/>
      <c r="G57" s="398"/>
      <c r="H57" s="398"/>
      <c r="I57" s="398"/>
      <c r="J57" s="398"/>
      <c r="K57" s="398"/>
      <c r="L57" s="398"/>
      <c r="M57" s="398"/>
      <c r="N57" s="398"/>
      <c r="O57" s="398"/>
      <c r="P57" s="398"/>
      <c r="Q57" s="398"/>
      <c r="R57" s="398"/>
      <c r="S57" s="398"/>
      <c r="T57" s="398"/>
      <c r="U57" s="398"/>
    </row>
    <row r="58" s="375" customFormat="true" ht="12.75" hidden="false" customHeight="false" outlineLevel="0" collapsed="false">
      <c r="C58" s="398"/>
      <c r="D58" s="398"/>
      <c r="E58" s="398"/>
      <c r="F58" s="398"/>
      <c r="G58" s="398"/>
      <c r="H58" s="398"/>
      <c r="I58" s="398"/>
      <c r="J58" s="398"/>
      <c r="K58" s="398"/>
      <c r="L58" s="398"/>
      <c r="M58" s="398"/>
      <c r="N58" s="398"/>
      <c r="O58" s="398"/>
      <c r="P58" s="398"/>
      <c r="Q58" s="398"/>
      <c r="R58" s="398"/>
      <c r="S58" s="398"/>
      <c r="T58" s="398"/>
      <c r="U58" s="398"/>
    </row>
    <row r="59" s="375" customFormat="true" ht="12.75" hidden="false" customHeight="false" outlineLevel="0" collapsed="false">
      <c r="C59" s="398"/>
      <c r="D59" s="398"/>
      <c r="E59" s="398"/>
      <c r="F59" s="398"/>
      <c r="G59" s="398"/>
      <c r="H59" s="398"/>
      <c r="I59" s="398"/>
      <c r="J59" s="398"/>
      <c r="K59" s="398"/>
      <c r="L59" s="398"/>
      <c r="M59" s="398"/>
      <c r="N59" s="398"/>
      <c r="O59" s="398"/>
      <c r="P59" s="398"/>
      <c r="Q59" s="398"/>
      <c r="R59" s="398"/>
      <c r="S59" s="398"/>
      <c r="T59" s="398"/>
      <c r="U59" s="398"/>
    </row>
    <row r="60" s="375" customFormat="true" ht="12.75" hidden="false" customHeight="false" outlineLevel="0" collapsed="false">
      <c r="C60" s="398"/>
      <c r="D60" s="398"/>
      <c r="E60" s="398"/>
      <c r="F60" s="398"/>
      <c r="G60" s="398"/>
      <c r="H60" s="398"/>
      <c r="I60" s="398"/>
      <c r="J60" s="398"/>
      <c r="K60" s="398"/>
      <c r="L60" s="398"/>
      <c r="M60" s="398"/>
      <c r="N60" s="398"/>
      <c r="O60" s="398"/>
      <c r="P60" s="398"/>
      <c r="Q60" s="398"/>
      <c r="R60" s="398"/>
      <c r="S60" s="398"/>
      <c r="T60" s="398"/>
      <c r="U60" s="398"/>
    </row>
    <row r="61" s="375" customFormat="true" ht="12.75" hidden="false" customHeight="false" outlineLevel="0" collapsed="false">
      <c r="C61" s="398"/>
      <c r="D61" s="398"/>
      <c r="E61" s="398"/>
      <c r="F61" s="398"/>
      <c r="G61" s="398"/>
      <c r="H61" s="398"/>
      <c r="I61" s="398"/>
      <c r="J61" s="398"/>
      <c r="K61" s="398"/>
      <c r="L61" s="398"/>
      <c r="M61" s="398"/>
      <c r="N61" s="398"/>
      <c r="O61" s="398"/>
      <c r="P61" s="398"/>
      <c r="Q61" s="398"/>
      <c r="R61" s="398"/>
      <c r="S61" s="398"/>
      <c r="T61" s="398"/>
      <c r="U61" s="398"/>
    </row>
    <row r="62" s="375" customFormat="true" ht="12.75" hidden="false" customHeight="false" outlineLevel="0" collapsed="false">
      <c r="C62" s="398"/>
      <c r="D62" s="398"/>
      <c r="E62" s="398"/>
      <c r="F62" s="398"/>
      <c r="G62" s="398"/>
      <c r="H62" s="398"/>
      <c r="I62" s="398"/>
      <c r="J62" s="398"/>
      <c r="K62" s="398"/>
      <c r="L62" s="398"/>
      <c r="M62" s="398"/>
      <c r="N62" s="398"/>
      <c r="O62" s="398"/>
      <c r="P62" s="398"/>
      <c r="Q62" s="398"/>
      <c r="R62" s="398"/>
      <c r="S62" s="398"/>
      <c r="T62" s="398"/>
      <c r="U62" s="398"/>
    </row>
    <row r="63" s="375" customFormat="true" ht="12.75" hidden="false" customHeight="false" outlineLevel="0" collapsed="false">
      <c r="C63" s="398"/>
      <c r="D63" s="398"/>
      <c r="E63" s="398"/>
      <c r="F63" s="398"/>
      <c r="G63" s="398"/>
      <c r="H63" s="398"/>
      <c r="I63" s="398"/>
      <c r="J63" s="398"/>
      <c r="K63" s="398"/>
      <c r="L63" s="398"/>
      <c r="M63" s="398"/>
      <c r="N63" s="398"/>
      <c r="O63" s="398"/>
      <c r="P63" s="398"/>
      <c r="Q63" s="398"/>
      <c r="R63" s="398"/>
      <c r="S63" s="398"/>
      <c r="T63" s="398"/>
      <c r="U63" s="398"/>
    </row>
    <row r="64" s="375" customFormat="true" ht="12.75" hidden="false" customHeight="false" outlineLevel="0" collapsed="false">
      <c r="C64" s="398"/>
      <c r="D64" s="398"/>
      <c r="E64" s="398"/>
      <c r="F64" s="398"/>
      <c r="G64" s="398"/>
      <c r="H64" s="398"/>
      <c r="I64" s="398"/>
      <c r="J64" s="398"/>
      <c r="K64" s="398"/>
      <c r="L64" s="398"/>
      <c r="M64" s="398"/>
      <c r="N64" s="398"/>
      <c r="O64" s="398"/>
      <c r="P64" s="398"/>
      <c r="Q64" s="398"/>
      <c r="R64" s="398"/>
      <c r="S64" s="398"/>
      <c r="T64" s="398"/>
      <c r="U64" s="398"/>
    </row>
    <row r="65" s="375" customFormat="true" ht="12.75" hidden="false" customHeight="false" outlineLevel="0" collapsed="false">
      <c r="C65" s="398"/>
      <c r="D65" s="398"/>
      <c r="E65" s="398"/>
      <c r="F65" s="398"/>
      <c r="G65" s="398"/>
      <c r="H65" s="398"/>
      <c r="I65" s="398"/>
      <c r="J65" s="398"/>
      <c r="K65" s="398"/>
      <c r="L65" s="398"/>
      <c r="M65" s="398"/>
      <c r="N65" s="398"/>
      <c r="O65" s="398"/>
      <c r="P65" s="398"/>
      <c r="Q65" s="398"/>
      <c r="R65" s="398"/>
      <c r="S65" s="398"/>
      <c r="T65" s="398"/>
      <c r="U65" s="398"/>
    </row>
    <row r="66" s="375" customFormat="true" ht="12.75" hidden="false" customHeight="false" outlineLevel="0" collapsed="false">
      <c r="C66" s="398"/>
      <c r="D66" s="398"/>
      <c r="E66" s="398"/>
      <c r="F66" s="398"/>
      <c r="G66" s="398"/>
      <c r="H66" s="398"/>
      <c r="I66" s="398"/>
      <c r="J66" s="398"/>
      <c r="K66" s="398"/>
      <c r="L66" s="398"/>
      <c r="M66" s="398"/>
      <c r="N66" s="398"/>
      <c r="O66" s="398"/>
      <c r="P66" s="398"/>
      <c r="Q66" s="398"/>
      <c r="R66" s="398"/>
      <c r="S66" s="398"/>
      <c r="T66" s="398"/>
      <c r="U66" s="398"/>
    </row>
    <row r="67" s="375" customFormat="true" ht="12.75" hidden="false" customHeight="false" outlineLevel="0" collapsed="false">
      <c r="C67" s="398"/>
      <c r="D67" s="398"/>
      <c r="E67" s="398"/>
      <c r="F67" s="398"/>
      <c r="G67" s="398"/>
      <c r="H67" s="398"/>
      <c r="I67" s="398"/>
      <c r="J67" s="398"/>
      <c r="K67" s="398"/>
      <c r="L67" s="398"/>
      <c r="M67" s="398"/>
      <c r="N67" s="398"/>
      <c r="O67" s="398"/>
      <c r="P67" s="398"/>
      <c r="Q67" s="398"/>
      <c r="R67" s="398"/>
      <c r="S67" s="398"/>
      <c r="T67" s="398"/>
      <c r="U67" s="398"/>
    </row>
    <row r="68" s="375" customFormat="true" ht="12.75" hidden="false" customHeight="false" outlineLevel="0" collapsed="false">
      <c r="C68" s="398"/>
      <c r="D68" s="398"/>
      <c r="E68" s="398"/>
      <c r="F68" s="398"/>
      <c r="G68" s="398"/>
      <c r="H68" s="398"/>
      <c r="I68" s="398"/>
      <c r="J68" s="398"/>
      <c r="K68" s="398"/>
      <c r="L68" s="398"/>
      <c r="M68" s="398"/>
      <c r="N68" s="398"/>
      <c r="O68" s="398"/>
      <c r="P68" s="398"/>
      <c r="Q68" s="398"/>
      <c r="R68" s="398"/>
      <c r="S68" s="398"/>
      <c r="T68" s="398"/>
      <c r="U68" s="398"/>
    </row>
    <row r="69" s="375" customFormat="true" ht="12.75" hidden="false" customHeight="false" outlineLevel="0" collapsed="false">
      <c r="C69" s="398"/>
      <c r="D69" s="398"/>
      <c r="E69" s="398"/>
      <c r="F69" s="398"/>
      <c r="G69" s="398"/>
      <c r="H69" s="398"/>
      <c r="I69" s="398"/>
      <c r="J69" s="398"/>
      <c r="K69" s="398"/>
      <c r="L69" s="398"/>
      <c r="M69" s="398"/>
      <c r="N69" s="398"/>
      <c r="O69" s="398"/>
      <c r="P69" s="398"/>
      <c r="Q69" s="398"/>
      <c r="R69" s="398"/>
      <c r="S69" s="398"/>
      <c r="T69" s="398"/>
      <c r="U69" s="398"/>
    </row>
    <row r="70" s="375" customFormat="true" ht="12.75" hidden="false" customHeight="false" outlineLevel="0" collapsed="false">
      <c r="C70" s="398"/>
      <c r="D70" s="398"/>
      <c r="E70" s="398"/>
      <c r="F70" s="398"/>
      <c r="G70" s="398"/>
      <c r="H70" s="398"/>
      <c r="I70" s="398"/>
      <c r="J70" s="398"/>
      <c r="K70" s="398"/>
      <c r="L70" s="398"/>
      <c r="M70" s="398"/>
      <c r="N70" s="398"/>
      <c r="O70" s="398"/>
      <c r="P70" s="398"/>
      <c r="Q70" s="398"/>
      <c r="R70" s="398"/>
      <c r="S70" s="398"/>
      <c r="T70" s="398"/>
      <c r="U70" s="398"/>
    </row>
    <row r="71" s="375" customFormat="true" ht="12.75" hidden="false" customHeight="false" outlineLevel="0" collapsed="false">
      <c r="C71" s="398"/>
      <c r="D71" s="398"/>
      <c r="E71" s="398"/>
      <c r="F71" s="398"/>
      <c r="G71" s="398"/>
      <c r="H71" s="398"/>
      <c r="I71" s="398"/>
      <c r="J71" s="398"/>
      <c r="K71" s="398"/>
      <c r="L71" s="398"/>
      <c r="M71" s="398"/>
      <c r="N71" s="398"/>
      <c r="O71" s="398"/>
      <c r="P71" s="398"/>
      <c r="Q71" s="398"/>
      <c r="R71" s="398"/>
      <c r="S71" s="398"/>
      <c r="T71" s="398"/>
      <c r="U71" s="398"/>
    </row>
    <row r="72" s="375" customFormat="true" ht="12.75" hidden="false" customHeight="false" outlineLevel="0" collapsed="false">
      <c r="C72" s="398"/>
      <c r="D72" s="398"/>
      <c r="E72" s="398"/>
      <c r="F72" s="398"/>
      <c r="G72" s="398"/>
      <c r="H72" s="398"/>
      <c r="I72" s="398"/>
      <c r="J72" s="398"/>
      <c r="K72" s="398"/>
      <c r="L72" s="398"/>
      <c r="M72" s="398"/>
      <c r="N72" s="398"/>
      <c r="O72" s="398"/>
      <c r="P72" s="398"/>
      <c r="Q72" s="398"/>
      <c r="R72" s="398"/>
      <c r="S72" s="398"/>
      <c r="T72" s="398"/>
      <c r="U72" s="398"/>
    </row>
    <row r="73" s="375" customFormat="true" ht="12.75" hidden="false" customHeight="false" outlineLevel="0" collapsed="false">
      <c r="C73" s="398"/>
      <c r="D73" s="398"/>
      <c r="E73" s="398"/>
      <c r="F73" s="398"/>
      <c r="G73" s="398"/>
      <c r="H73" s="398"/>
      <c r="I73" s="398"/>
      <c r="J73" s="398"/>
      <c r="K73" s="398"/>
      <c r="L73" s="398"/>
      <c r="M73" s="398"/>
      <c r="N73" s="398"/>
      <c r="O73" s="398"/>
      <c r="P73" s="398"/>
      <c r="Q73" s="398"/>
      <c r="R73" s="398"/>
      <c r="S73" s="398"/>
      <c r="T73" s="398"/>
      <c r="U73" s="398"/>
    </row>
    <row r="74" s="375" customFormat="true" ht="12.75" hidden="false" customHeight="false" outlineLevel="0" collapsed="false">
      <c r="C74" s="398"/>
      <c r="D74" s="398"/>
      <c r="E74" s="398"/>
      <c r="F74" s="398"/>
      <c r="G74" s="398"/>
      <c r="H74" s="398"/>
      <c r="I74" s="398"/>
      <c r="J74" s="398"/>
      <c r="K74" s="398"/>
      <c r="L74" s="398"/>
      <c r="M74" s="398"/>
      <c r="N74" s="398"/>
      <c r="O74" s="398"/>
      <c r="P74" s="398"/>
      <c r="Q74" s="398"/>
      <c r="R74" s="398"/>
      <c r="S74" s="398"/>
      <c r="T74" s="398"/>
      <c r="U74" s="398"/>
    </row>
    <row r="75" s="375" customFormat="true" ht="12.75" hidden="false" customHeight="false" outlineLevel="0" collapsed="false">
      <c r="C75" s="398"/>
      <c r="D75" s="398"/>
      <c r="E75" s="398"/>
      <c r="F75" s="398"/>
      <c r="G75" s="398"/>
      <c r="H75" s="398"/>
      <c r="I75" s="398"/>
      <c r="J75" s="398"/>
      <c r="K75" s="398"/>
      <c r="L75" s="398"/>
      <c r="M75" s="398"/>
      <c r="N75" s="398"/>
      <c r="O75" s="398"/>
      <c r="P75" s="398"/>
      <c r="Q75" s="398"/>
      <c r="R75" s="398"/>
      <c r="S75" s="398"/>
      <c r="T75" s="398"/>
      <c r="U75" s="398"/>
    </row>
    <row r="76" s="375" customFormat="true" ht="12.75" hidden="false" customHeight="false" outlineLevel="0" collapsed="false">
      <c r="C76" s="398"/>
      <c r="D76" s="398"/>
      <c r="E76" s="398"/>
      <c r="F76" s="398"/>
      <c r="G76" s="398"/>
      <c r="H76" s="398"/>
      <c r="I76" s="398"/>
      <c r="J76" s="398"/>
      <c r="K76" s="398"/>
      <c r="L76" s="398"/>
      <c r="M76" s="398"/>
      <c r="N76" s="398"/>
      <c r="O76" s="398"/>
      <c r="P76" s="398"/>
      <c r="Q76" s="398"/>
      <c r="R76" s="398"/>
      <c r="S76" s="398"/>
      <c r="T76" s="398"/>
      <c r="U76" s="398"/>
    </row>
    <row r="77" s="375" customFormat="true" ht="12.75" hidden="false" customHeight="false" outlineLevel="0" collapsed="false">
      <c r="C77" s="398"/>
      <c r="D77" s="398"/>
      <c r="E77" s="398"/>
      <c r="F77" s="398"/>
      <c r="G77" s="398"/>
      <c r="H77" s="398"/>
      <c r="I77" s="398"/>
      <c r="J77" s="398"/>
      <c r="K77" s="398"/>
      <c r="L77" s="398"/>
      <c r="M77" s="398"/>
      <c r="N77" s="398"/>
      <c r="O77" s="398"/>
      <c r="P77" s="398"/>
      <c r="Q77" s="398"/>
      <c r="R77" s="398"/>
      <c r="S77" s="398"/>
      <c r="T77" s="398"/>
      <c r="U77" s="398"/>
    </row>
    <row r="78" s="375" customFormat="true" ht="12.75" hidden="false" customHeight="false" outlineLevel="0" collapsed="false">
      <c r="C78" s="398"/>
      <c r="D78" s="398"/>
      <c r="E78" s="398"/>
      <c r="F78" s="398"/>
      <c r="G78" s="398"/>
      <c r="H78" s="398"/>
      <c r="I78" s="398"/>
      <c r="J78" s="398"/>
      <c r="K78" s="398"/>
      <c r="L78" s="398"/>
      <c r="M78" s="398"/>
      <c r="N78" s="398"/>
      <c r="O78" s="398"/>
      <c r="P78" s="398"/>
      <c r="Q78" s="398"/>
      <c r="R78" s="398"/>
      <c r="S78" s="398"/>
      <c r="T78" s="398"/>
      <c r="U78" s="398"/>
    </row>
    <row r="79" s="375" customFormat="true" ht="12.75" hidden="false" customHeight="false" outlineLevel="0" collapsed="false">
      <c r="C79" s="398"/>
      <c r="D79" s="398"/>
      <c r="E79" s="398"/>
      <c r="F79" s="398"/>
      <c r="G79" s="398"/>
      <c r="H79" s="398"/>
      <c r="I79" s="398"/>
      <c r="J79" s="398"/>
      <c r="K79" s="398"/>
      <c r="L79" s="398"/>
      <c r="M79" s="398"/>
      <c r="N79" s="398"/>
      <c r="O79" s="398"/>
      <c r="P79" s="398"/>
      <c r="Q79" s="398"/>
      <c r="R79" s="398"/>
      <c r="S79" s="398"/>
      <c r="T79" s="398"/>
      <c r="U79" s="398"/>
    </row>
    <row r="80" s="375" customFormat="true" ht="12.75" hidden="false" customHeight="false" outlineLevel="0" collapsed="false">
      <c r="C80" s="398"/>
      <c r="D80" s="398"/>
      <c r="E80" s="398"/>
      <c r="F80" s="398"/>
      <c r="G80" s="398"/>
      <c r="H80" s="398"/>
      <c r="I80" s="398"/>
      <c r="J80" s="398"/>
      <c r="K80" s="398"/>
      <c r="L80" s="398"/>
      <c r="M80" s="398"/>
      <c r="N80" s="398"/>
      <c r="O80" s="398"/>
      <c r="P80" s="398"/>
      <c r="Q80" s="398"/>
      <c r="R80" s="398"/>
      <c r="S80" s="398"/>
      <c r="T80" s="398"/>
      <c r="U80" s="398"/>
    </row>
    <row r="81" s="375" customFormat="true" ht="12.75" hidden="false" customHeight="false" outlineLevel="0" collapsed="false">
      <c r="C81" s="398"/>
      <c r="D81" s="398"/>
      <c r="E81" s="398"/>
      <c r="F81" s="398"/>
      <c r="G81" s="398"/>
      <c r="H81" s="398"/>
      <c r="I81" s="398"/>
      <c r="J81" s="398"/>
      <c r="K81" s="398"/>
      <c r="L81" s="398"/>
      <c r="M81" s="398"/>
      <c r="N81" s="398"/>
      <c r="O81" s="398"/>
      <c r="P81" s="398"/>
      <c r="Q81" s="398"/>
      <c r="R81" s="398"/>
      <c r="S81" s="398"/>
      <c r="T81" s="398"/>
      <c r="U81" s="398"/>
    </row>
    <row r="82" s="375" customFormat="true" ht="12.75" hidden="false" customHeight="false" outlineLevel="0" collapsed="false">
      <c r="C82" s="398"/>
      <c r="D82" s="398"/>
      <c r="E82" s="398"/>
      <c r="F82" s="398"/>
      <c r="G82" s="398"/>
      <c r="H82" s="398"/>
      <c r="I82" s="398"/>
      <c r="J82" s="398"/>
      <c r="K82" s="398"/>
      <c r="L82" s="398"/>
      <c r="M82" s="398"/>
      <c r="N82" s="398"/>
      <c r="O82" s="398"/>
      <c r="P82" s="398"/>
      <c r="Q82" s="398"/>
      <c r="R82" s="398"/>
      <c r="S82" s="398"/>
      <c r="T82" s="398"/>
      <c r="U82" s="398"/>
    </row>
    <row r="83" s="375" customFormat="true" ht="12.75" hidden="false" customHeight="false" outlineLevel="0" collapsed="false">
      <c r="C83" s="398"/>
      <c r="D83" s="398"/>
      <c r="E83" s="398"/>
      <c r="F83" s="398"/>
      <c r="G83" s="398"/>
      <c r="H83" s="398"/>
      <c r="I83" s="398"/>
      <c r="J83" s="398"/>
      <c r="K83" s="398"/>
      <c r="L83" s="398"/>
      <c r="M83" s="398"/>
      <c r="N83" s="398"/>
      <c r="O83" s="398"/>
      <c r="P83" s="398"/>
      <c r="Q83" s="398"/>
      <c r="R83" s="398"/>
      <c r="S83" s="398"/>
      <c r="T83" s="398"/>
      <c r="U83" s="398"/>
    </row>
    <row r="84" s="375" customFormat="true" ht="12.75" hidden="false" customHeight="false" outlineLevel="0" collapsed="false">
      <c r="C84" s="398"/>
      <c r="D84" s="398"/>
      <c r="E84" s="398"/>
      <c r="F84" s="398"/>
      <c r="G84" s="398"/>
      <c r="H84" s="398"/>
      <c r="I84" s="398"/>
      <c r="J84" s="398"/>
      <c r="K84" s="398"/>
      <c r="L84" s="398"/>
      <c r="M84" s="398"/>
      <c r="N84" s="398"/>
      <c r="O84" s="398"/>
      <c r="P84" s="398"/>
      <c r="Q84" s="398"/>
      <c r="R84" s="398"/>
      <c r="S84" s="398"/>
      <c r="T84" s="398"/>
      <c r="U84" s="398"/>
    </row>
    <row r="85" s="375" customFormat="true" ht="12.75" hidden="false" customHeight="false" outlineLevel="0" collapsed="false">
      <c r="C85" s="398"/>
      <c r="D85" s="398"/>
      <c r="E85" s="398"/>
      <c r="F85" s="398"/>
      <c r="G85" s="398"/>
      <c r="H85" s="398"/>
      <c r="I85" s="398"/>
      <c r="J85" s="398"/>
      <c r="K85" s="398"/>
      <c r="L85" s="398"/>
      <c r="M85" s="398"/>
      <c r="N85" s="398"/>
      <c r="O85" s="398"/>
      <c r="P85" s="398"/>
      <c r="Q85" s="398"/>
      <c r="R85" s="398"/>
      <c r="S85" s="398"/>
      <c r="T85" s="398"/>
      <c r="U85" s="398"/>
    </row>
    <row r="86" s="375" customFormat="true" ht="12.75" hidden="false" customHeight="false" outlineLevel="0" collapsed="false">
      <c r="C86" s="398"/>
      <c r="D86" s="398"/>
      <c r="E86" s="398"/>
      <c r="F86" s="398"/>
      <c r="G86" s="398"/>
      <c r="H86" s="398"/>
      <c r="I86" s="398"/>
      <c r="J86" s="398"/>
      <c r="K86" s="398"/>
      <c r="L86" s="398"/>
      <c r="M86" s="398"/>
      <c r="N86" s="398"/>
      <c r="O86" s="398"/>
      <c r="P86" s="398"/>
      <c r="Q86" s="398"/>
      <c r="R86" s="398"/>
      <c r="S86" s="398"/>
      <c r="T86" s="398"/>
      <c r="U86" s="398"/>
    </row>
    <row r="87" s="375" customFormat="true" ht="12.75" hidden="false" customHeight="false" outlineLevel="0" collapsed="false">
      <c r="C87" s="398"/>
      <c r="D87" s="398"/>
      <c r="E87" s="398"/>
      <c r="F87" s="398"/>
      <c r="G87" s="398"/>
      <c r="H87" s="398"/>
      <c r="I87" s="398"/>
      <c r="J87" s="398"/>
      <c r="K87" s="398"/>
      <c r="L87" s="398"/>
      <c r="M87" s="398"/>
      <c r="N87" s="398"/>
      <c r="O87" s="398"/>
      <c r="P87" s="398"/>
      <c r="Q87" s="398"/>
      <c r="R87" s="398"/>
      <c r="S87" s="398"/>
      <c r="T87" s="398"/>
      <c r="U87" s="398"/>
    </row>
    <row r="88" s="375" customFormat="true" ht="12.75" hidden="false" customHeight="false" outlineLevel="0" collapsed="false">
      <c r="C88" s="398"/>
      <c r="D88" s="398"/>
      <c r="E88" s="398"/>
      <c r="F88" s="398"/>
      <c r="G88" s="398"/>
      <c r="H88" s="398"/>
      <c r="I88" s="398"/>
      <c r="J88" s="398"/>
      <c r="K88" s="398"/>
      <c r="L88" s="398"/>
      <c r="M88" s="398"/>
      <c r="N88" s="398"/>
      <c r="O88" s="398"/>
      <c r="P88" s="398"/>
      <c r="Q88" s="398"/>
      <c r="R88" s="398"/>
      <c r="S88" s="398"/>
      <c r="T88" s="398"/>
      <c r="U88" s="398"/>
    </row>
    <row r="89" s="375" customFormat="true" ht="12.75" hidden="false" customHeight="false" outlineLevel="0" collapsed="false">
      <c r="C89" s="398"/>
      <c r="D89" s="398"/>
      <c r="E89" s="398"/>
      <c r="F89" s="398"/>
      <c r="G89" s="398"/>
      <c r="H89" s="398"/>
      <c r="I89" s="398"/>
      <c r="J89" s="398"/>
      <c r="K89" s="398"/>
      <c r="L89" s="398"/>
      <c r="M89" s="398"/>
      <c r="N89" s="398"/>
      <c r="O89" s="398"/>
      <c r="P89" s="398"/>
      <c r="Q89" s="398"/>
      <c r="R89" s="398"/>
      <c r="S89" s="398"/>
      <c r="T89" s="398"/>
      <c r="U89" s="398"/>
    </row>
    <row r="90" s="375" customFormat="true" ht="12.75" hidden="false" customHeight="false" outlineLevel="0" collapsed="false">
      <c r="C90" s="398"/>
      <c r="D90" s="398"/>
      <c r="E90" s="398"/>
      <c r="F90" s="398"/>
      <c r="G90" s="398"/>
      <c r="H90" s="398"/>
      <c r="I90" s="398"/>
      <c r="J90" s="398"/>
      <c r="K90" s="398"/>
      <c r="L90" s="398"/>
      <c r="M90" s="398"/>
      <c r="N90" s="398"/>
      <c r="O90" s="398"/>
      <c r="P90" s="398"/>
      <c r="Q90" s="398"/>
      <c r="R90" s="398"/>
      <c r="S90" s="398"/>
      <c r="T90" s="398"/>
      <c r="U90" s="398"/>
    </row>
    <row r="91" s="375" customFormat="true" ht="12.75" hidden="false" customHeight="false" outlineLevel="0" collapsed="false">
      <c r="C91" s="398"/>
      <c r="D91" s="398"/>
      <c r="E91" s="398"/>
      <c r="F91" s="398"/>
      <c r="G91" s="398"/>
      <c r="H91" s="398"/>
      <c r="I91" s="398"/>
      <c r="J91" s="398"/>
      <c r="K91" s="398"/>
      <c r="L91" s="398"/>
      <c r="M91" s="398"/>
      <c r="N91" s="398"/>
      <c r="O91" s="398"/>
      <c r="P91" s="398"/>
      <c r="Q91" s="398"/>
      <c r="R91" s="398"/>
      <c r="S91" s="398"/>
      <c r="T91" s="398"/>
      <c r="U91" s="398"/>
    </row>
    <row r="92" s="375" customFormat="true" ht="12.75" hidden="false" customHeight="false" outlineLevel="0" collapsed="false">
      <c r="C92" s="398"/>
      <c r="D92" s="398"/>
      <c r="E92" s="398"/>
      <c r="F92" s="398"/>
      <c r="G92" s="398"/>
      <c r="H92" s="398"/>
      <c r="I92" s="398"/>
      <c r="J92" s="398"/>
      <c r="K92" s="398"/>
      <c r="L92" s="398"/>
      <c r="M92" s="398"/>
      <c r="N92" s="398"/>
      <c r="O92" s="398"/>
      <c r="P92" s="398"/>
      <c r="Q92" s="398"/>
      <c r="R92" s="398"/>
      <c r="S92" s="398"/>
      <c r="T92" s="398"/>
      <c r="U92" s="398"/>
    </row>
    <row r="93" s="375" customFormat="true" ht="12.75" hidden="false" customHeight="false" outlineLevel="0" collapsed="false">
      <c r="C93" s="398"/>
      <c r="D93" s="398"/>
      <c r="E93" s="398"/>
      <c r="F93" s="398"/>
      <c r="G93" s="398"/>
      <c r="H93" s="398"/>
      <c r="I93" s="398"/>
      <c r="J93" s="398"/>
      <c r="K93" s="398"/>
      <c r="L93" s="398"/>
      <c r="M93" s="398"/>
      <c r="N93" s="398"/>
      <c r="O93" s="398"/>
      <c r="P93" s="398"/>
      <c r="Q93" s="398"/>
      <c r="R93" s="398"/>
      <c r="S93" s="398"/>
      <c r="T93" s="398"/>
      <c r="U93" s="398"/>
    </row>
    <row r="94" s="375" customFormat="true" ht="12.75" hidden="false" customHeight="false" outlineLevel="0" collapsed="false">
      <c r="C94" s="398"/>
      <c r="D94" s="398"/>
      <c r="E94" s="398"/>
      <c r="F94" s="398"/>
      <c r="G94" s="398"/>
      <c r="H94" s="398"/>
      <c r="I94" s="398"/>
      <c r="J94" s="398"/>
      <c r="K94" s="398"/>
      <c r="L94" s="398"/>
      <c r="M94" s="398"/>
      <c r="N94" s="398"/>
      <c r="O94" s="398"/>
      <c r="P94" s="398"/>
      <c r="Q94" s="398"/>
      <c r="R94" s="398"/>
      <c r="S94" s="398"/>
      <c r="T94" s="398"/>
      <c r="U94" s="398"/>
    </row>
    <row r="95" s="375" customFormat="true" ht="12.75" hidden="false" customHeight="false" outlineLevel="0" collapsed="false">
      <c r="C95" s="398"/>
      <c r="D95" s="398"/>
      <c r="E95" s="398"/>
      <c r="F95" s="398"/>
      <c r="G95" s="398"/>
      <c r="H95" s="398"/>
      <c r="I95" s="398"/>
      <c r="J95" s="398"/>
      <c r="K95" s="398"/>
      <c r="L95" s="398"/>
      <c r="M95" s="398"/>
      <c r="N95" s="398"/>
      <c r="O95" s="398"/>
      <c r="P95" s="398"/>
      <c r="Q95" s="398"/>
      <c r="R95" s="398"/>
      <c r="S95" s="398"/>
      <c r="T95" s="398"/>
      <c r="U95" s="398"/>
    </row>
    <row r="96" s="375" customFormat="true" ht="12.75" hidden="false" customHeight="false" outlineLevel="0" collapsed="false">
      <c r="C96" s="398"/>
      <c r="D96" s="398"/>
      <c r="E96" s="398"/>
      <c r="F96" s="398"/>
      <c r="G96" s="398"/>
      <c r="H96" s="398"/>
      <c r="I96" s="398"/>
      <c r="J96" s="398"/>
      <c r="K96" s="398"/>
      <c r="L96" s="398"/>
      <c r="M96" s="398"/>
      <c r="N96" s="398"/>
      <c r="O96" s="398"/>
      <c r="P96" s="398"/>
      <c r="Q96" s="398"/>
      <c r="R96" s="398"/>
      <c r="S96" s="398"/>
      <c r="T96" s="398"/>
      <c r="U96" s="398"/>
    </row>
    <row r="97" s="375" customFormat="true" ht="12.75" hidden="false" customHeight="false" outlineLevel="0" collapsed="false">
      <c r="C97" s="398"/>
      <c r="D97" s="398"/>
      <c r="E97" s="398"/>
      <c r="F97" s="398"/>
      <c r="G97" s="398"/>
      <c r="H97" s="398"/>
      <c r="I97" s="398"/>
      <c r="J97" s="398"/>
      <c r="K97" s="398"/>
      <c r="L97" s="398"/>
      <c r="M97" s="398"/>
      <c r="N97" s="398"/>
      <c r="O97" s="398"/>
      <c r="P97" s="398"/>
      <c r="Q97" s="398"/>
      <c r="R97" s="398"/>
      <c r="S97" s="398"/>
      <c r="T97" s="398"/>
      <c r="U97" s="398"/>
    </row>
    <row r="98" s="375" customFormat="true" ht="12.75" hidden="false" customHeight="false" outlineLevel="0" collapsed="false">
      <c r="C98" s="398"/>
      <c r="D98" s="398"/>
      <c r="E98" s="398"/>
      <c r="F98" s="398"/>
      <c r="G98" s="398"/>
      <c r="H98" s="398"/>
      <c r="I98" s="398"/>
      <c r="J98" s="398"/>
      <c r="K98" s="398"/>
      <c r="L98" s="398"/>
      <c r="M98" s="398"/>
      <c r="N98" s="398"/>
      <c r="O98" s="398"/>
      <c r="P98" s="398"/>
      <c r="Q98" s="398"/>
      <c r="R98" s="398"/>
      <c r="S98" s="398"/>
      <c r="T98" s="398"/>
      <c r="U98" s="398"/>
    </row>
    <row r="99" s="375" customFormat="true" ht="12.75" hidden="false" customHeight="false" outlineLevel="0" collapsed="false">
      <c r="C99" s="398"/>
      <c r="D99" s="398"/>
      <c r="E99" s="398"/>
      <c r="F99" s="398"/>
      <c r="G99" s="398"/>
      <c r="H99" s="398"/>
      <c r="I99" s="398"/>
      <c r="J99" s="398"/>
      <c r="K99" s="398"/>
      <c r="L99" s="398"/>
      <c r="M99" s="398"/>
      <c r="N99" s="398"/>
      <c r="O99" s="398"/>
      <c r="P99" s="398"/>
      <c r="Q99" s="398"/>
      <c r="R99" s="398"/>
      <c r="S99" s="398"/>
      <c r="T99" s="398"/>
      <c r="U99" s="398"/>
    </row>
    <row r="100" s="375" customFormat="true" ht="12.75" hidden="false" customHeight="false" outlineLevel="0" collapsed="false">
      <c r="C100" s="398"/>
      <c r="D100" s="398"/>
      <c r="E100" s="398"/>
      <c r="F100" s="398"/>
      <c r="G100" s="398"/>
      <c r="H100" s="398"/>
      <c r="I100" s="398"/>
      <c r="J100" s="398"/>
      <c r="K100" s="398"/>
      <c r="L100" s="398"/>
      <c r="M100" s="398"/>
      <c r="N100" s="398"/>
      <c r="O100" s="398"/>
      <c r="P100" s="398"/>
      <c r="Q100" s="398"/>
      <c r="R100" s="398"/>
      <c r="S100" s="398"/>
      <c r="T100" s="398"/>
      <c r="U100" s="398"/>
    </row>
    <row r="101" s="375" customFormat="true" ht="12.75" hidden="false" customHeight="false" outlineLevel="0" collapsed="false">
      <c r="C101" s="398"/>
      <c r="D101" s="398"/>
      <c r="E101" s="398"/>
      <c r="F101" s="398"/>
      <c r="G101" s="398"/>
      <c r="H101" s="398"/>
      <c r="I101" s="398"/>
      <c r="J101" s="398"/>
      <c r="K101" s="398"/>
      <c r="L101" s="398"/>
      <c r="M101" s="398"/>
      <c r="N101" s="398"/>
      <c r="O101" s="398"/>
      <c r="P101" s="398"/>
      <c r="Q101" s="398"/>
      <c r="R101" s="398"/>
      <c r="S101" s="398"/>
      <c r="T101" s="398"/>
      <c r="U101" s="398"/>
    </row>
    <row r="102" s="375" customFormat="true" ht="12.75" hidden="false" customHeight="false" outlineLevel="0" collapsed="false">
      <c r="C102" s="398"/>
      <c r="D102" s="398"/>
      <c r="E102" s="398"/>
      <c r="F102" s="398"/>
      <c r="G102" s="398"/>
      <c r="H102" s="398"/>
      <c r="I102" s="398"/>
      <c r="J102" s="398"/>
      <c r="K102" s="398"/>
      <c r="L102" s="398"/>
      <c r="M102" s="398"/>
      <c r="N102" s="398"/>
      <c r="O102" s="398"/>
      <c r="P102" s="398"/>
      <c r="Q102" s="398"/>
      <c r="R102" s="398"/>
      <c r="S102" s="398"/>
      <c r="T102" s="398"/>
      <c r="U102" s="398"/>
    </row>
    <row r="103" s="375" customFormat="true" ht="12.75" hidden="false" customHeight="false" outlineLevel="0" collapsed="false">
      <c r="C103" s="398"/>
      <c r="D103" s="398"/>
      <c r="E103" s="398"/>
      <c r="F103" s="398"/>
      <c r="G103" s="398"/>
      <c r="H103" s="398"/>
      <c r="I103" s="398"/>
      <c r="J103" s="398"/>
      <c r="K103" s="398"/>
      <c r="L103" s="398"/>
      <c r="M103" s="398"/>
      <c r="N103" s="398"/>
      <c r="O103" s="398"/>
      <c r="P103" s="398"/>
      <c r="Q103" s="398"/>
      <c r="R103" s="398"/>
      <c r="S103" s="398"/>
      <c r="T103" s="398"/>
      <c r="U103" s="398"/>
    </row>
    <row r="104" s="375" customFormat="true" ht="12.75" hidden="false" customHeight="false" outlineLevel="0" collapsed="false">
      <c r="C104" s="398"/>
      <c r="D104" s="398"/>
      <c r="E104" s="398"/>
      <c r="F104" s="398"/>
      <c r="G104" s="398"/>
      <c r="H104" s="398"/>
      <c r="I104" s="398"/>
      <c r="J104" s="398"/>
      <c r="K104" s="398"/>
      <c r="L104" s="398"/>
      <c r="M104" s="398"/>
      <c r="N104" s="398"/>
      <c r="O104" s="398"/>
      <c r="P104" s="398"/>
      <c r="Q104" s="398"/>
      <c r="R104" s="398"/>
      <c r="S104" s="398"/>
      <c r="T104" s="398"/>
      <c r="U104" s="398"/>
    </row>
    <row r="105" s="375" customFormat="true" ht="12.75" hidden="false" customHeight="false" outlineLevel="0" collapsed="false">
      <c r="C105" s="398"/>
      <c r="D105" s="398"/>
      <c r="E105" s="398"/>
      <c r="F105" s="398"/>
      <c r="G105" s="398"/>
      <c r="H105" s="398"/>
      <c r="I105" s="398"/>
      <c r="J105" s="398"/>
      <c r="K105" s="398"/>
      <c r="L105" s="398"/>
      <c r="M105" s="398"/>
      <c r="N105" s="398"/>
      <c r="O105" s="398"/>
      <c r="P105" s="398"/>
      <c r="Q105" s="398"/>
      <c r="R105" s="398"/>
      <c r="S105" s="398"/>
      <c r="T105" s="398"/>
      <c r="U105" s="398"/>
    </row>
    <row r="106" s="375" customFormat="true" ht="12.75" hidden="false" customHeight="false" outlineLevel="0" collapsed="false">
      <c r="C106" s="398"/>
      <c r="D106" s="398"/>
      <c r="E106" s="398"/>
      <c r="F106" s="398"/>
      <c r="G106" s="398"/>
      <c r="H106" s="398"/>
      <c r="I106" s="398"/>
      <c r="J106" s="398"/>
      <c r="K106" s="398"/>
      <c r="L106" s="398"/>
      <c r="M106" s="398"/>
      <c r="N106" s="398"/>
      <c r="O106" s="398"/>
      <c r="P106" s="398"/>
      <c r="Q106" s="398"/>
      <c r="R106" s="398"/>
      <c r="S106" s="398"/>
      <c r="T106" s="398"/>
      <c r="U106" s="398"/>
    </row>
    <row r="107" s="375" customFormat="true" ht="12.75" hidden="false" customHeight="false" outlineLevel="0" collapsed="false">
      <c r="C107" s="398"/>
      <c r="D107" s="398"/>
      <c r="E107" s="398"/>
      <c r="F107" s="398"/>
      <c r="G107" s="398"/>
      <c r="H107" s="398"/>
      <c r="I107" s="398"/>
      <c r="J107" s="398"/>
      <c r="K107" s="398"/>
      <c r="L107" s="398"/>
      <c r="M107" s="398"/>
      <c r="N107" s="398"/>
      <c r="O107" s="398"/>
      <c r="P107" s="398"/>
      <c r="Q107" s="398"/>
      <c r="R107" s="398"/>
      <c r="S107" s="398"/>
      <c r="T107" s="398"/>
      <c r="U107" s="398"/>
    </row>
    <row r="108" s="375" customFormat="true" ht="12.75" hidden="false" customHeight="false" outlineLevel="0" collapsed="false">
      <c r="C108" s="398"/>
      <c r="D108" s="398"/>
      <c r="E108" s="398"/>
      <c r="F108" s="398"/>
      <c r="G108" s="398"/>
      <c r="H108" s="398"/>
      <c r="I108" s="398"/>
      <c r="J108" s="398"/>
      <c r="K108" s="398"/>
      <c r="L108" s="398"/>
      <c r="M108" s="398"/>
      <c r="N108" s="398"/>
      <c r="O108" s="398"/>
      <c r="P108" s="398"/>
      <c r="Q108" s="398"/>
      <c r="R108" s="398"/>
      <c r="S108" s="398"/>
      <c r="T108" s="398"/>
      <c r="U108" s="398"/>
    </row>
    <row r="109" s="375" customFormat="true" ht="12.75" hidden="false" customHeight="false" outlineLevel="0" collapsed="false">
      <c r="C109" s="398"/>
      <c r="D109" s="398"/>
      <c r="E109" s="398"/>
      <c r="F109" s="398"/>
      <c r="G109" s="398"/>
      <c r="H109" s="398"/>
      <c r="I109" s="398"/>
      <c r="J109" s="398"/>
      <c r="K109" s="398"/>
      <c r="L109" s="398"/>
      <c r="M109" s="398"/>
      <c r="N109" s="398"/>
      <c r="O109" s="398"/>
      <c r="P109" s="398"/>
      <c r="Q109" s="398"/>
      <c r="R109" s="398"/>
      <c r="S109" s="398"/>
      <c r="T109" s="398"/>
      <c r="U109" s="398"/>
    </row>
    <row r="110" s="375" customFormat="true" ht="12.75" hidden="false" customHeight="false" outlineLevel="0" collapsed="false">
      <c r="C110" s="398"/>
      <c r="D110" s="398"/>
      <c r="E110" s="398"/>
      <c r="F110" s="398"/>
      <c r="G110" s="398"/>
      <c r="H110" s="398"/>
      <c r="I110" s="398"/>
      <c r="J110" s="398"/>
      <c r="K110" s="398"/>
      <c r="L110" s="398"/>
      <c r="M110" s="398"/>
      <c r="N110" s="398"/>
      <c r="O110" s="398"/>
      <c r="P110" s="398"/>
      <c r="Q110" s="398"/>
      <c r="R110" s="398"/>
      <c r="S110" s="398"/>
      <c r="T110" s="398"/>
      <c r="U110" s="398"/>
    </row>
    <row r="111" s="375" customFormat="true" ht="12.75" hidden="false" customHeight="false" outlineLevel="0" collapsed="false">
      <c r="C111" s="398"/>
      <c r="D111" s="398"/>
      <c r="E111" s="398"/>
      <c r="F111" s="398"/>
      <c r="G111" s="398"/>
      <c r="H111" s="398"/>
      <c r="I111" s="398"/>
      <c r="J111" s="398"/>
      <c r="K111" s="398"/>
      <c r="L111" s="398"/>
      <c r="M111" s="398"/>
      <c r="N111" s="398"/>
      <c r="O111" s="398"/>
      <c r="P111" s="398"/>
      <c r="Q111" s="398"/>
      <c r="R111" s="398"/>
      <c r="S111" s="398"/>
      <c r="T111" s="398"/>
      <c r="U111" s="398"/>
    </row>
    <row r="112" s="375" customFormat="true" ht="12.75" hidden="false" customHeight="false" outlineLevel="0" collapsed="false">
      <c r="C112" s="398"/>
      <c r="D112" s="398"/>
      <c r="E112" s="398"/>
      <c r="F112" s="398"/>
      <c r="G112" s="398"/>
      <c r="H112" s="398"/>
      <c r="I112" s="398"/>
      <c r="J112" s="398"/>
      <c r="K112" s="398"/>
      <c r="L112" s="398"/>
      <c r="M112" s="398"/>
      <c r="N112" s="398"/>
      <c r="O112" s="398"/>
      <c r="P112" s="398"/>
      <c r="Q112" s="398"/>
      <c r="R112" s="398"/>
      <c r="S112" s="398"/>
      <c r="T112" s="398"/>
      <c r="U112" s="398"/>
    </row>
    <row r="113" s="375" customFormat="true" ht="12.75" hidden="false" customHeight="false" outlineLevel="0" collapsed="false">
      <c r="C113" s="398"/>
      <c r="D113" s="398"/>
      <c r="E113" s="398"/>
      <c r="F113" s="398"/>
      <c r="G113" s="398"/>
      <c r="H113" s="398"/>
      <c r="I113" s="398"/>
      <c r="J113" s="398"/>
      <c r="K113" s="398"/>
      <c r="L113" s="398"/>
      <c r="M113" s="398"/>
      <c r="N113" s="398"/>
      <c r="O113" s="398"/>
      <c r="P113" s="398"/>
      <c r="Q113" s="398"/>
      <c r="R113" s="398"/>
      <c r="S113" s="398"/>
      <c r="T113" s="398"/>
      <c r="U113" s="398"/>
    </row>
    <row r="114" s="375" customFormat="true" ht="12.75" hidden="false" customHeight="false" outlineLevel="0" collapsed="false">
      <c r="C114" s="398"/>
      <c r="D114" s="398"/>
      <c r="E114" s="398"/>
      <c r="F114" s="398"/>
      <c r="G114" s="398"/>
      <c r="H114" s="398"/>
      <c r="I114" s="398"/>
      <c r="J114" s="398"/>
      <c r="K114" s="398"/>
      <c r="L114" s="398"/>
      <c r="M114" s="398"/>
      <c r="N114" s="398"/>
      <c r="O114" s="398"/>
      <c r="P114" s="398"/>
      <c r="Q114" s="398"/>
      <c r="R114" s="398"/>
      <c r="S114" s="398"/>
      <c r="T114" s="398"/>
      <c r="U114" s="398"/>
    </row>
    <row r="115" s="375" customFormat="true" ht="12.75" hidden="false" customHeight="false" outlineLevel="0" collapsed="false">
      <c r="C115" s="398"/>
      <c r="D115" s="398"/>
      <c r="E115" s="398"/>
      <c r="F115" s="398"/>
      <c r="G115" s="398"/>
      <c r="H115" s="398"/>
      <c r="I115" s="398"/>
      <c r="J115" s="398"/>
      <c r="K115" s="398"/>
      <c r="L115" s="398"/>
      <c r="M115" s="398"/>
      <c r="N115" s="398"/>
      <c r="O115" s="398"/>
      <c r="P115" s="398"/>
      <c r="Q115" s="398"/>
      <c r="R115" s="398"/>
      <c r="S115" s="398"/>
      <c r="T115" s="398"/>
      <c r="U115" s="398"/>
    </row>
    <row r="116" s="375" customFormat="true" ht="12.75" hidden="false" customHeight="false" outlineLevel="0" collapsed="false">
      <c r="C116" s="398"/>
      <c r="D116" s="398"/>
      <c r="E116" s="398"/>
      <c r="F116" s="398"/>
      <c r="G116" s="398"/>
      <c r="H116" s="398"/>
      <c r="I116" s="398"/>
      <c r="J116" s="398"/>
      <c r="K116" s="398"/>
      <c r="L116" s="398"/>
      <c r="M116" s="398"/>
      <c r="N116" s="398"/>
      <c r="O116" s="398"/>
      <c r="P116" s="398"/>
      <c r="Q116" s="398"/>
      <c r="R116" s="398"/>
      <c r="S116" s="398"/>
      <c r="T116" s="398"/>
      <c r="U116" s="398"/>
    </row>
    <row r="117" s="375" customFormat="true" ht="12.75" hidden="false" customHeight="false" outlineLevel="0" collapsed="false">
      <c r="C117" s="398"/>
      <c r="D117" s="398"/>
      <c r="E117" s="398"/>
      <c r="F117" s="398"/>
      <c r="G117" s="398"/>
      <c r="H117" s="398"/>
      <c r="I117" s="398"/>
      <c r="J117" s="398"/>
      <c r="K117" s="398"/>
      <c r="L117" s="398"/>
      <c r="M117" s="398"/>
      <c r="N117" s="398"/>
      <c r="O117" s="398"/>
      <c r="P117" s="398"/>
      <c r="Q117" s="398"/>
      <c r="R117" s="398"/>
      <c r="S117" s="398"/>
      <c r="T117" s="398"/>
      <c r="U117" s="398"/>
    </row>
    <row r="118" s="375" customFormat="true" ht="12.75" hidden="false" customHeight="false" outlineLevel="0" collapsed="false">
      <c r="C118" s="398"/>
      <c r="D118" s="398"/>
      <c r="E118" s="398"/>
      <c r="F118" s="398"/>
      <c r="G118" s="398"/>
      <c r="H118" s="398"/>
      <c r="I118" s="398"/>
      <c r="J118" s="398"/>
      <c r="K118" s="398"/>
      <c r="L118" s="398"/>
      <c r="M118" s="398"/>
      <c r="N118" s="398"/>
      <c r="O118" s="398"/>
      <c r="P118" s="398"/>
      <c r="Q118" s="398"/>
      <c r="R118" s="398"/>
      <c r="S118" s="398"/>
      <c r="T118" s="398"/>
      <c r="U118" s="398"/>
    </row>
    <row r="119" s="375" customFormat="true" ht="12.75" hidden="false" customHeight="false" outlineLevel="0" collapsed="false">
      <c r="C119" s="398"/>
      <c r="D119" s="398"/>
      <c r="E119" s="398"/>
      <c r="F119" s="398"/>
      <c r="G119" s="398"/>
      <c r="H119" s="398"/>
      <c r="I119" s="398"/>
      <c r="J119" s="398"/>
      <c r="K119" s="398"/>
      <c r="L119" s="398"/>
      <c r="M119" s="398"/>
      <c r="N119" s="398"/>
      <c r="O119" s="398"/>
      <c r="P119" s="398"/>
      <c r="Q119" s="398"/>
      <c r="R119" s="398"/>
      <c r="S119" s="398"/>
      <c r="T119" s="398"/>
      <c r="U119" s="398"/>
    </row>
    <row r="120" s="375" customFormat="true" ht="12.75" hidden="false" customHeight="false" outlineLevel="0" collapsed="false">
      <c r="C120" s="398"/>
      <c r="D120" s="398"/>
      <c r="E120" s="398"/>
      <c r="F120" s="398"/>
      <c r="G120" s="398"/>
      <c r="H120" s="398"/>
      <c r="I120" s="398"/>
      <c r="J120" s="398"/>
      <c r="K120" s="398"/>
      <c r="L120" s="398"/>
      <c r="M120" s="398"/>
      <c r="N120" s="398"/>
      <c r="O120" s="398"/>
      <c r="P120" s="398"/>
      <c r="Q120" s="398"/>
      <c r="R120" s="398"/>
      <c r="S120" s="398"/>
      <c r="T120" s="398"/>
      <c r="U120" s="398"/>
    </row>
    <row r="121" s="375" customFormat="true" ht="12.75" hidden="false" customHeight="false" outlineLevel="0" collapsed="false">
      <c r="C121" s="398"/>
      <c r="D121" s="398"/>
      <c r="E121" s="398"/>
      <c r="F121" s="398"/>
      <c r="G121" s="398"/>
      <c r="H121" s="398"/>
      <c r="I121" s="398"/>
      <c r="J121" s="398"/>
      <c r="K121" s="398"/>
      <c r="L121" s="398"/>
      <c r="M121" s="398"/>
      <c r="N121" s="398"/>
      <c r="O121" s="398"/>
      <c r="P121" s="398"/>
      <c r="Q121" s="398"/>
      <c r="R121" s="398"/>
      <c r="S121" s="398"/>
      <c r="T121" s="398"/>
      <c r="U121" s="398"/>
    </row>
    <row r="122" s="375" customFormat="true" ht="12.75" hidden="false" customHeight="false" outlineLevel="0" collapsed="false">
      <c r="C122" s="398"/>
      <c r="D122" s="398"/>
      <c r="E122" s="398"/>
      <c r="F122" s="398"/>
      <c r="G122" s="398"/>
      <c r="H122" s="398"/>
      <c r="I122" s="398"/>
      <c r="J122" s="398"/>
      <c r="K122" s="398"/>
      <c r="L122" s="398"/>
      <c r="M122" s="398"/>
      <c r="N122" s="398"/>
      <c r="O122" s="398"/>
      <c r="P122" s="398"/>
      <c r="Q122" s="398"/>
      <c r="R122" s="398"/>
      <c r="S122" s="398"/>
      <c r="T122" s="398"/>
      <c r="U122" s="398"/>
    </row>
    <row r="123" s="375" customFormat="true" ht="12.75" hidden="false" customHeight="false" outlineLevel="0" collapsed="false">
      <c r="C123" s="398"/>
      <c r="D123" s="398"/>
      <c r="E123" s="398"/>
      <c r="F123" s="398"/>
      <c r="G123" s="398"/>
      <c r="H123" s="398"/>
      <c r="I123" s="398"/>
      <c r="J123" s="398"/>
      <c r="K123" s="398"/>
      <c r="L123" s="398"/>
      <c r="M123" s="398"/>
      <c r="N123" s="398"/>
      <c r="O123" s="398"/>
      <c r="P123" s="398"/>
      <c r="Q123" s="398"/>
      <c r="R123" s="398"/>
      <c r="S123" s="398"/>
      <c r="T123" s="398"/>
      <c r="U123" s="398"/>
      <c r="BU123" s="400" t="s">
        <v>146</v>
      </c>
    </row>
    <row r="124" s="375" customFormat="true" ht="12.75" hidden="false" customHeight="false" outlineLevel="0" collapsed="false">
      <c r="C124" s="398"/>
      <c r="D124" s="398"/>
      <c r="E124" s="398"/>
      <c r="F124" s="398"/>
      <c r="G124" s="398"/>
      <c r="H124" s="398"/>
      <c r="I124" s="398"/>
      <c r="J124" s="398"/>
      <c r="K124" s="398"/>
      <c r="L124" s="398"/>
      <c r="M124" s="398"/>
      <c r="N124" s="398"/>
      <c r="O124" s="398"/>
      <c r="P124" s="398"/>
      <c r="Q124" s="398"/>
      <c r="R124" s="398"/>
      <c r="S124" s="398"/>
      <c r="T124" s="398"/>
      <c r="U124" s="398"/>
      <c r="BU124" s="400" t="s">
        <v>78</v>
      </c>
    </row>
    <row r="125" s="375" customFormat="true" ht="12.75" hidden="false" customHeight="false" outlineLevel="0" collapsed="false">
      <c r="C125" s="398"/>
      <c r="D125" s="398"/>
      <c r="E125" s="398"/>
      <c r="F125" s="398"/>
      <c r="G125" s="398"/>
      <c r="H125" s="398"/>
      <c r="I125" s="398"/>
      <c r="J125" s="398"/>
      <c r="K125" s="398"/>
      <c r="L125" s="398"/>
      <c r="M125" s="398"/>
      <c r="N125" s="398"/>
      <c r="O125" s="398"/>
      <c r="P125" s="398"/>
      <c r="Q125" s="398"/>
      <c r="R125" s="398"/>
      <c r="S125" s="398"/>
      <c r="T125" s="398"/>
      <c r="U125" s="398"/>
      <c r="BU125" s="400" t="s">
        <v>81</v>
      </c>
    </row>
    <row r="126" s="375" customFormat="true" ht="12.75" hidden="false" customHeight="false" outlineLevel="0" collapsed="false">
      <c r="C126" s="398"/>
      <c r="D126" s="398"/>
      <c r="E126" s="398"/>
      <c r="F126" s="398"/>
      <c r="G126" s="398"/>
      <c r="H126" s="398"/>
      <c r="I126" s="398"/>
      <c r="J126" s="398"/>
      <c r="K126" s="398"/>
      <c r="L126" s="398"/>
      <c r="M126" s="398"/>
      <c r="N126" s="398"/>
      <c r="O126" s="398"/>
      <c r="P126" s="398"/>
      <c r="Q126" s="398"/>
      <c r="R126" s="398"/>
      <c r="S126" s="398"/>
      <c r="T126" s="398"/>
      <c r="U126" s="398"/>
      <c r="BU126" s="400" t="s">
        <v>83</v>
      </c>
    </row>
    <row r="127" s="375" customFormat="true" ht="12.75" hidden="false" customHeight="false" outlineLevel="0" collapsed="false">
      <c r="C127" s="398"/>
      <c r="D127" s="398"/>
      <c r="E127" s="398"/>
      <c r="F127" s="398"/>
      <c r="G127" s="398"/>
      <c r="H127" s="398"/>
      <c r="I127" s="398"/>
      <c r="J127" s="398"/>
      <c r="K127" s="398"/>
      <c r="L127" s="398"/>
      <c r="M127" s="398"/>
      <c r="N127" s="398"/>
      <c r="O127" s="398"/>
      <c r="P127" s="398"/>
      <c r="Q127" s="398"/>
      <c r="R127" s="398"/>
      <c r="S127" s="398"/>
      <c r="T127" s="398"/>
      <c r="U127" s="398"/>
      <c r="BU127" s="400" t="s">
        <v>84</v>
      </c>
    </row>
    <row r="128" s="375" customFormat="true" ht="12.75" hidden="false" customHeight="false" outlineLevel="0" collapsed="false">
      <c r="C128" s="398"/>
      <c r="D128" s="398"/>
      <c r="E128" s="398"/>
      <c r="F128" s="398"/>
      <c r="G128" s="398"/>
      <c r="H128" s="398"/>
      <c r="I128" s="398"/>
      <c r="J128" s="398"/>
      <c r="K128" s="398"/>
      <c r="L128" s="398"/>
      <c r="M128" s="398"/>
      <c r="N128" s="398"/>
      <c r="O128" s="398"/>
      <c r="P128" s="398"/>
      <c r="Q128" s="398"/>
      <c r="R128" s="398"/>
      <c r="S128" s="398"/>
      <c r="T128" s="398"/>
      <c r="U128" s="398"/>
      <c r="BU128" s="400" t="s">
        <v>85</v>
      </c>
    </row>
    <row r="129" s="375" customFormat="true" ht="12.75" hidden="false" customHeight="false" outlineLevel="0" collapsed="false">
      <c r="C129" s="398"/>
      <c r="D129" s="398"/>
      <c r="E129" s="398"/>
      <c r="F129" s="398"/>
      <c r="G129" s="398"/>
      <c r="H129" s="398"/>
      <c r="I129" s="398"/>
      <c r="J129" s="398"/>
      <c r="K129" s="398"/>
      <c r="L129" s="398"/>
      <c r="M129" s="398"/>
      <c r="N129" s="398"/>
      <c r="O129" s="398"/>
      <c r="P129" s="398"/>
      <c r="Q129" s="398"/>
      <c r="R129" s="398"/>
      <c r="S129" s="398"/>
      <c r="T129" s="398"/>
      <c r="U129" s="398"/>
      <c r="BU129" s="400" t="s">
        <v>86</v>
      </c>
    </row>
    <row r="130" s="375" customFormat="true" ht="12.75" hidden="false" customHeight="false" outlineLevel="0" collapsed="false">
      <c r="C130" s="398"/>
      <c r="D130" s="398"/>
      <c r="E130" s="398"/>
      <c r="F130" s="398"/>
      <c r="G130" s="398"/>
      <c r="H130" s="398"/>
      <c r="I130" s="398"/>
      <c r="J130" s="398"/>
      <c r="K130" s="398"/>
      <c r="L130" s="398"/>
      <c r="M130" s="398"/>
      <c r="N130" s="398"/>
      <c r="O130" s="398"/>
      <c r="P130" s="398"/>
      <c r="Q130" s="398"/>
      <c r="R130" s="398"/>
      <c r="S130" s="398"/>
      <c r="T130" s="398"/>
      <c r="U130" s="398"/>
      <c r="BU130" s="400" t="s">
        <v>87</v>
      </c>
    </row>
    <row r="131" s="375" customFormat="true" ht="12.75" hidden="false" customHeight="false" outlineLevel="0" collapsed="false">
      <c r="C131" s="398"/>
      <c r="D131" s="398"/>
      <c r="E131" s="398"/>
      <c r="F131" s="398"/>
      <c r="G131" s="398"/>
      <c r="H131" s="398"/>
      <c r="I131" s="398"/>
      <c r="J131" s="398"/>
      <c r="K131" s="398"/>
      <c r="L131" s="398"/>
      <c r="M131" s="398"/>
      <c r="N131" s="398"/>
      <c r="O131" s="398"/>
      <c r="P131" s="398"/>
      <c r="Q131" s="398"/>
      <c r="R131" s="398"/>
      <c r="S131" s="398"/>
      <c r="T131" s="398"/>
      <c r="U131" s="398"/>
      <c r="BU131" s="400" t="s">
        <v>88</v>
      </c>
    </row>
    <row r="132" s="375" customFormat="true" ht="12.75" hidden="false" customHeight="false" outlineLevel="0" collapsed="false">
      <c r="C132" s="398"/>
      <c r="D132" s="398"/>
      <c r="E132" s="398"/>
      <c r="F132" s="398"/>
      <c r="G132" s="398"/>
      <c r="H132" s="398"/>
      <c r="I132" s="398"/>
      <c r="J132" s="398"/>
      <c r="K132" s="398"/>
      <c r="L132" s="398"/>
      <c r="M132" s="398"/>
      <c r="N132" s="398"/>
      <c r="O132" s="398"/>
      <c r="P132" s="398"/>
      <c r="Q132" s="398"/>
      <c r="R132" s="398"/>
      <c r="S132" s="398"/>
      <c r="T132" s="398"/>
      <c r="U132" s="398"/>
      <c r="BU132" s="400" t="s">
        <v>91</v>
      </c>
    </row>
    <row r="133" s="375" customFormat="true" ht="12.75" hidden="false" customHeight="false" outlineLevel="0" collapsed="false">
      <c r="C133" s="398"/>
      <c r="D133" s="398"/>
      <c r="E133" s="398"/>
      <c r="F133" s="398"/>
      <c r="G133" s="398"/>
      <c r="H133" s="398"/>
      <c r="I133" s="398"/>
      <c r="J133" s="398"/>
      <c r="K133" s="398"/>
      <c r="L133" s="398"/>
      <c r="M133" s="398"/>
      <c r="N133" s="398"/>
      <c r="O133" s="398"/>
      <c r="P133" s="398"/>
      <c r="Q133" s="398"/>
      <c r="R133" s="398"/>
      <c r="S133" s="398"/>
      <c r="T133" s="398"/>
      <c r="U133" s="398"/>
      <c r="BU133" s="400" t="s">
        <v>93</v>
      </c>
    </row>
    <row r="134" s="375" customFormat="true" ht="12.75" hidden="false" customHeight="false" outlineLevel="0" collapsed="false">
      <c r="C134" s="398"/>
      <c r="D134" s="398"/>
      <c r="E134" s="398"/>
      <c r="F134" s="398"/>
      <c r="G134" s="398"/>
      <c r="H134" s="398"/>
      <c r="I134" s="398"/>
      <c r="J134" s="398"/>
      <c r="K134" s="398"/>
      <c r="L134" s="398"/>
      <c r="M134" s="398"/>
      <c r="N134" s="398"/>
      <c r="O134" s="398"/>
      <c r="P134" s="398"/>
      <c r="Q134" s="398"/>
      <c r="R134" s="398"/>
      <c r="S134" s="398"/>
      <c r="T134" s="398"/>
      <c r="U134" s="398"/>
      <c r="BU134" s="400" t="s">
        <v>94</v>
      </c>
    </row>
    <row r="135" s="375" customFormat="true" ht="12.75" hidden="false" customHeight="false" outlineLevel="0" collapsed="false">
      <c r="C135" s="398"/>
      <c r="D135" s="398"/>
      <c r="E135" s="398"/>
      <c r="F135" s="398"/>
      <c r="G135" s="398"/>
      <c r="H135" s="398"/>
      <c r="I135" s="398"/>
      <c r="J135" s="398"/>
      <c r="K135" s="398"/>
      <c r="L135" s="398"/>
      <c r="M135" s="398"/>
      <c r="N135" s="398"/>
      <c r="O135" s="398"/>
      <c r="P135" s="398"/>
      <c r="Q135" s="398"/>
      <c r="R135" s="398"/>
      <c r="S135" s="398"/>
      <c r="T135" s="398"/>
      <c r="U135" s="398"/>
      <c r="BU135" s="400" t="s">
        <v>95</v>
      </c>
    </row>
    <row r="136" s="375" customFormat="true" ht="12.75" hidden="false" customHeight="false" outlineLevel="0" collapsed="false">
      <c r="C136" s="398"/>
      <c r="D136" s="398"/>
      <c r="E136" s="398"/>
      <c r="F136" s="398"/>
      <c r="G136" s="398"/>
      <c r="H136" s="398"/>
      <c r="I136" s="398"/>
      <c r="J136" s="398"/>
      <c r="K136" s="398"/>
      <c r="L136" s="398"/>
      <c r="M136" s="398"/>
      <c r="N136" s="398"/>
      <c r="O136" s="398"/>
      <c r="P136" s="398"/>
      <c r="Q136" s="398"/>
      <c r="R136" s="398"/>
      <c r="S136" s="398"/>
      <c r="T136" s="398"/>
      <c r="U136" s="398"/>
      <c r="BU136" s="400" t="s">
        <v>96</v>
      </c>
    </row>
    <row r="137" s="375" customFormat="true" ht="12.75" hidden="false" customHeight="false" outlineLevel="0" collapsed="false">
      <c r="C137" s="398"/>
      <c r="D137" s="398"/>
      <c r="E137" s="398"/>
      <c r="F137" s="398"/>
      <c r="G137" s="398"/>
      <c r="H137" s="398"/>
      <c r="I137" s="398"/>
      <c r="J137" s="398"/>
      <c r="K137" s="398"/>
      <c r="L137" s="398"/>
      <c r="M137" s="398"/>
      <c r="N137" s="398"/>
      <c r="O137" s="398"/>
      <c r="P137" s="398"/>
      <c r="Q137" s="398"/>
      <c r="R137" s="398"/>
      <c r="S137" s="398"/>
      <c r="T137" s="398"/>
      <c r="U137" s="398"/>
      <c r="BU137" s="400" t="s">
        <v>97</v>
      </c>
    </row>
    <row r="138" s="375" customFormat="true" ht="12.75" hidden="false" customHeight="false" outlineLevel="0" collapsed="false">
      <c r="C138" s="398"/>
      <c r="D138" s="398"/>
      <c r="E138" s="398"/>
      <c r="F138" s="398"/>
      <c r="G138" s="398"/>
      <c r="H138" s="398"/>
      <c r="I138" s="398"/>
      <c r="J138" s="398"/>
      <c r="K138" s="398"/>
      <c r="L138" s="398"/>
      <c r="M138" s="398"/>
      <c r="N138" s="398"/>
      <c r="O138" s="398"/>
      <c r="P138" s="398"/>
      <c r="Q138" s="398"/>
      <c r="R138" s="398"/>
      <c r="S138" s="398"/>
      <c r="T138" s="398"/>
      <c r="U138" s="398"/>
      <c r="BU138" s="400" t="s">
        <v>98</v>
      </c>
    </row>
    <row r="139" s="375" customFormat="true" ht="12.75" hidden="false" customHeight="false" outlineLevel="0" collapsed="false">
      <c r="C139" s="398"/>
      <c r="D139" s="398"/>
      <c r="E139" s="398"/>
      <c r="F139" s="398"/>
      <c r="G139" s="398"/>
      <c r="H139" s="398"/>
      <c r="I139" s="398"/>
      <c r="J139" s="398"/>
      <c r="K139" s="398"/>
      <c r="L139" s="398"/>
      <c r="M139" s="398"/>
      <c r="N139" s="398"/>
      <c r="O139" s="398"/>
      <c r="P139" s="398"/>
      <c r="Q139" s="398"/>
      <c r="R139" s="398"/>
      <c r="S139" s="398"/>
      <c r="T139" s="398"/>
      <c r="U139" s="398"/>
      <c r="BU139" s="400" t="s">
        <v>100</v>
      </c>
    </row>
    <row r="140" s="375" customFormat="true" ht="12.75" hidden="false" customHeight="false" outlineLevel="0" collapsed="false">
      <c r="C140" s="398"/>
      <c r="D140" s="398"/>
      <c r="E140" s="398"/>
      <c r="F140" s="398"/>
      <c r="G140" s="398"/>
      <c r="H140" s="398"/>
      <c r="I140" s="398"/>
      <c r="J140" s="398"/>
      <c r="K140" s="398"/>
      <c r="L140" s="398"/>
      <c r="M140" s="398"/>
      <c r="N140" s="398"/>
      <c r="O140" s="398"/>
      <c r="P140" s="398"/>
      <c r="Q140" s="398"/>
      <c r="R140" s="398"/>
      <c r="S140" s="398"/>
      <c r="T140" s="398"/>
      <c r="U140" s="398"/>
      <c r="BU140" s="400" t="s">
        <v>101</v>
      </c>
    </row>
    <row r="141" s="375" customFormat="true" ht="12.75" hidden="false" customHeight="false" outlineLevel="0" collapsed="false">
      <c r="C141" s="398"/>
      <c r="D141" s="398"/>
      <c r="E141" s="398"/>
      <c r="F141" s="398"/>
      <c r="G141" s="398"/>
      <c r="H141" s="398"/>
      <c r="I141" s="398"/>
      <c r="J141" s="398"/>
      <c r="K141" s="398"/>
      <c r="L141" s="398"/>
      <c r="M141" s="398"/>
      <c r="N141" s="398"/>
      <c r="O141" s="398"/>
      <c r="P141" s="398"/>
      <c r="Q141" s="398"/>
      <c r="R141" s="398"/>
      <c r="S141" s="398"/>
      <c r="T141" s="398"/>
      <c r="U141" s="398"/>
      <c r="BU141" s="400" t="s">
        <v>103</v>
      </c>
    </row>
    <row r="142" s="375" customFormat="true" ht="12.75" hidden="false" customHeight="false" outlineLevel="0" collapsed="false">
      <c r="C142" s="398"/>
      <c r="D142" s="398"/>
      <c r="E142" s="398"/>
      <c r="F142" s="398"/>
      <c r="G142" s="398"/>
      <c r="H142" s="398"/>
      <c r="I142" s="398"/>
      <c r="J142" s="398"/>
      <c r="K142" s="398"/>
      <c r="L142" s="398"/>
      <c r="M142" s="398"/>
      <c r="N142" s="398"/>
      <c r="O142" s="398"/>
      <c r="P142" s="398"/>
      <c r="Q142" s="398"/>
      <c r="R142" s="398"/>
      <c r="S142" s="398"/>
      <c r="T142" s="398"/>
      <c r="U142" s="398"/>
      <c r="BU142" s="400" t="s">
        <v>104</v>
      </c>
    </row>
    <row r="143" s="375" customFormat="true" ht="12.75" hidden="false" customHeight="false" outlineLevel="0" collapsed="false">
      <c r="C143" s="398"/>
      <c r="D143" s="398"/>
      <c r="E143" s="398"/>
      <c r="F143" s="398"/>
      <c r="G143" s="398"/>
      <c r="H143" s="398"/>
      <c r="I143" s="398"/>
      <c r="J143" s="398"/>
      <c r="K143" s="398"/>
      <c r="L143" s="398"/>
      <c r="M143" s="398"/>
      <c r="N143" s="398"/>
      <c r="O143" s="398"/>
      <c r="P143" s="398"/>
      <c r="Q143" s="398"/>
      <c r="R143" s="398"/>
      <c r="S143" s="398"/>
      <c r="T143" s="398"/>
      <c r="U143" s="398"/>
      <c r="BU143" s="400" t="s">
        <v>105</v>
      </c>
    </row>
    <row r="144" customFormat="false" ht="12.75" hidden="false" customHeight="false" outlineLevel="0" collapsed="false">
      <c r="BU144" s="337" t="s">
        <v>106</v>
      </c>
    </row>
    <row r="145" customFormat="false" ht="12.75" hidden="false" customHeight="false" outlineLevel="0" collapsed="false">
      <c r="BU145" s="337" t="s">
        <v>108</v>
      </c>
    </row>
    <row r="146" customFormat="false" ht="12.75" hidden="false" customHeight="false" outlineLevel="0" collapsed="false">
      <c r="BU146" s="337" t="s">
        <v>109</v>
      </c>
    </row>
    <row r="147" customFormat="false" ht="12.75" hidden="false" customHeight="false" outlineLevel="0" collapsed="false">
      <c r="BU147" s="337" t="s">
        <v>110</v>
      </c>
    </row>
    <row r="148" customFormat="false" ht="12.75" hidden="false" customHeight="false" outlineLevel="0" collapsed="false">
      <c r="BU148" s="337" t="s">
        <v>111</v>
      </c>
    </row>
    <row r="383" customFormat="false" ht="12.75" hidden="false" customHeight="false" outlineLevel="0" collapsed="false">
      <c r="W383" s="338" t="s">
        <v>146</v>
      </c>
    </row>
    <row r="384" customFormat="false" ht="12.75" hidden="false" customHeight="false" outlineLevel="0" collapsed="false">
      <c r="W384" s="338" t="s">
        <v>78</v>
      </c>
    </row>
    <row r="385" customFormat="false" ht="12.75" hidden="false" customHeight="false" outlineLevel="0" collapsed="false">
      <c r="W385" s="338" t="s">
        <v>81</v>
      </c>
    </row>
    <row r="386" customFormat="false" ht="12.75" hidden="false" customHeight="false" outlineLevel="0" collapsed="false">
      <c r="W386" s="338" t="s">
        <v>83</v>
      </c>
    </row>
    <row r="387" customFormat="false" ht="12.75" hidden="false" customHeight="false" outlineLevel="0" collapsed="false">
      <c r="W387" s="338" t="s">
        <v>84</v>
      </c>
    </row>
    <row r="388" customFormat="false" ht="12.75" hidden="false" customHeight="false" outlineLevel="0" collapsed="false">
      <c r="W388" s="338" t="s">
        <v>85</v>
      </c>
    </row>
    <row r="389" customFormat="false" ht="12.75" hidden="false" customHeight="false" outlineLevel="0" collapsed="false">
      <c r="W389" s="338" t="s">
        <v>86</v>
      </c>
    </row>
    <row r="390" customFormat="false" ht="12.75" hidden="false" customHeight="false" outlineLevel="0" collapsed="false">
      <c r="W390" s="338" t="s">
        <v>87</v>
      </c>
    </row>
    <row r="391" customFormat="false" ht="12.75" hidden="false" customHeight="false" outlineLevel="0" collapsed="false">
      <c r="W391" s="338" t="s">
        <v>88</v>
      </c>
    </row>
    <row r="392" customFormat="false" ht="12.75" hidden="false" customHeight="false" outlineLevel="0" collapsed="false">
      <c r="W392" s="338" t="s">
        <v>91</v>
      </c>
    </row>
    <row r="393" customFormat="false" ht="12.75" hidden="false" customHeight="false" outlineLevel="0" collapsed="false">
      <c r="W393" s="338" t="s">
        <v>93</v>
      </c>
    </row>
    <row r="394" customFormat="false" ht="12.75" hidden="false" customHeight="false" outlineLevel="0" collapsed="false">
      <c r="W394" s="338" t="s">
        <v>94</v>
      </c>
    </row>
    <row r="395" customFormat="false" ht="12.75" hidden="false" customHeight="false" outlineLevel="0" collapsed="false">
      <c r="W395" s="338" t="s">
        <v>95</v>
      </c>
    </row>
    <row r="396" customFormat="false" ht="12.75" hidden="false" customHeight="false" outlineLevel="0" collapsed="false">
      <c r="W396" s="338" t="s">
        <v>96</v>
      </c>
    </row>
    <row r="397" customFormat="false" ht="12.75" hidden="false" customHeight="false" outlineLevel="0" collapsed="false">
      <c r="W397" s="338" t="s">
        <v>97</v>
      </c>
    </row>
    <row r="398" customFormat="false" ht="12.75" hidden="false" customHeight="false" outlineLevel="0" collapsed="false">
      <c r="W398" s="338" t="s">
        <v>98</v>
      </c>
    </row>
    <row r="399" customFormat="false" ht="12.75" hidden="false" customHeight="false" outlineLevel="0" collapsed="false">
      <c r="W399" s="338" t="s">
        <v>100</v>
      </c>
    </row>
    <row r="400" customFormat="false" ht="12.75" hidden="false" customHeight="false" outlineLevel="0" collapsed="false">
      <c r="W400" s="338" t="s">
        <v>101</v>
      </c>
    </row>
    <row r="401" customFormat="false" ht="12.75" hidden="false" customHeight="false" outlineLevel="0" collapsed="false">
      <c r="W401" s="338" t="s">
        <v>103</v>
      </c>
    </row>
    <row r="402" customFormat="false" ht="12.75" hidden="false" customHeight="false" outlineLevel="0" collapsed="false">
      <c r="W402" s="338" t="s">
        <v>104</v>
      </c>
    </row>
    <row r="403" customFormat="false" ht="12.75" hidden="false" customHeight="false" outlineLevel="0" collapsed="false">
      <c r="W403" s="338" t="s">
        <v>105</v>
      </c>
    </row>
    <row r="404" customFormat="false" ht="12.75" hidden="false" customHeight="false" outlineLevel="0" collapsed="false">
      <c r="W404" s="338" t="s">
        <v>106</v>
      </c>
    </row>
    <row r="405" customFormat="false" ht="12.75" hidden="false" customHeight="false" outlineLevel="0" collapsed="false">
      <c r="W405" s="338" t="s">
        <v>108</v>
      </c>
    </row>
    <row r="406" customFormat="false" ht="12.75" hidden="false" customHeight="false" outlineLevel="0" collapsed="false">
      <c r="W406" s="338" t="s">
        <v>109</v>
      </c>
    </row>
    <row r="407" customFormat="false" ht="12.75" hidden="false" customHeight="false" outlineLevel="0" collapsed="false">
      <c r="W407" s="338" t="s">
        <v>110</v>
      </c>
    </row>
    <row r="408" customFormat="false" ht="12.75" hidden="false" customHeight="false" outlineLevel="0" collapsed="false">
      <c r="W408" s="338" t="s">
        <v>111</v>
      </c>
    </row>
  </sheetData>
  <mergeCells count="5">
    <mergeCell ref="D2:U2"/>
    <mergeCell ref="F3:S4"/>
    <mergeCell ref="T3:V4"/>
    <mergeCell ref="X5:Y5"/>
    <mergeCell ref="Z6:Z10"/>
  </mergeCells>
  <dataValidations count="9">
    <dataValidation allowBlank="true" errorStyle="stop" operator="between" showDropDown="false" showErrorMessage="true" showInputMessage="true" sqref="U6:U31" type="list">
      <formula1>"SI,NO"</formula1>
      <formula2>0</formula2>
    </dataValidation>
    <dataValidation allowBlank="true" errorStyle="stop" operator="between" showDropDown="false" showErrorMessage="true" showInputMessage="true" sqref="F6:F31" type="list">
      <formula1>$W$6:$W$7</formula1>
      <formula2>0</formula2>
    </dataValidation>
    <dataValidation allowBlank="true" errorStyle="stop" operator="between" showDropDown="false" showErrorMessage="true" showInputMessage="true" sqref="H6:H31" type="list">
      <formula1>$W$12:$W$13</formula1>
      <formula2>0</formula2>
    </dataValidation>
    <dataValidation allowBlank="true" errorStyle="stop" operator="between" showDropDown="false" showErrorMessage="true" showInputMessage="true" sqref="I6:I25 I26:M31" type="list">
      <formula1>$W$14:$W$17</formula1>
      <formula2>0</formula2>
    </dataValidation>
    <dataValidation allowBlank="true" errorStyle="stop" operator="between" showDropDown="false" showErrorMessage="true" showInputMessage="true" sqref="O6:O25 O26:S31" type="list">
      <formula1>$W$18:$W$19</formula1>
      <formula2>0</formula2>
    </dataValidation>
    <dataValidation allowBlank="true" errorStyle="stop" operator="between" showDropDown="false" showErrorMessage="true" showInputMessage="true" sqref="G6:G31" type="list">
      <formula1>$W$8:$W$11</formula1>
      <formula2>0</formula2>
    </dataValidation>
    <dataValidation allowBlank="true" errorStyle="stop" operator="between" showDropDown="false" showErrorMessage="true" showInputMessage="true" sqref="J6:J25 P6:S25" type="list">
      <formula1>$W$20:$W$21</formula1>
      <formula2>0</formula2>
    </dataValidation>
    <dataValidation allowBlank="true" errorStyle="stop" operator="between" showDropDown="false" showErrorMessage="true" showInputMessage="true" sqref="K6:M25" type="list">
      <formula1>$W$22:$W$23</formula1>
      <formula2>0</formula2>
    </dataValidation>
    <dataValidation allowBlank="true" errorStyle="stop" operator="between" showDropDown="false" showErrorMessage="true" showInputMessage="true" sqref="N6:N31" type="list">
      <formula1>$W$24:$W$25</formula1>
      <formula2>0</formula2>
    </dataValidation>
  </dataValidations>
  <hyperlinks>
    <hyperlink ref="C2" location="'Tabla de Contenidos'!A1" display="Volver a Tabla de contenidos"/>
    <hyperlink ref="V2" location="'RESULTADO FINAL SOSTENIBILIDAD'!A1" display="Ir a Resultados Finale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EEB"/>
    <pageSetUpPr fitToPage="false"/>
  </sheetPr>
  <dimension ref="A1:FH3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M1" activeCellId="0" sqref="M1"/>
    </sheetView>
  </sheetViews>
  <sheetFormatPr defaultColWidth="11.43359375" defaultRowHeight="15.75" customHeight="false" zeroHeight="false" outlineLevelRow="0" outlineLevelCol="0"/>
  <cols>
    <col collapsed="false" customWidth="true" hidden="false" outlineLevel="0" max="1" min="1" style="259" width="16.43"/>
    <col collapsed="false" customWidth="true" hidden="false" outlineLevel="0" max="2" min="2" style="259" width="12.29"/>
    <col collapsed="false" customWidth="true" hidden="false" outlineLevel="0" max="3" min="3" style="259" width="14.14"/>
    <col collapsed="false" customWidth="true" hidden="false" outlineLevel="0" max="4" min="4" style="259" width="25.29"/>
    <col collapsed="false" customWidth="true" hidden="false" outlineLevel="0" max="5" min="5" style="259" width="16.43"/>
    <col collapsed="false" customWidth="true" hidden="false" outlineLevel="0" max="10" min="6" style="401" width="17.15"/>
    <col collapsed="false" customWidth="true" hidden="false" outlineLevel="0" max="11" min="11" style="402" width="21.43"/>
    <col collapsed="false" customWidth="true" hidden="false" outlineLevel="0" max="12" min="12" style="402" width="16.71"/>
    <col collapsed="false" customWidth="true" hidden="false" outlineLevel="0" max="13" min="13" style="402" width="14.57"/>
    <col collapsed="false" customWidth="true" hidden="false" outlineLevel="0" max="14" min="14" style="402" width="6.57"/>
    <col collapsed="false" customWidth="true" hidden="false" outlineLevel="0" max="15" min="15" style="259" width="13.42"/>
    <col collapsed="false" customWidth="true" hidden="false" outlineLevel="0" max="16" min="16" style="259" width="12.86"/>
    <col collapsed="false" customWidth="true" hidden="false" outlineLevel="0" max="17" min="17" style="259" width="12.42"/>
    <col collapsed="false" customWidth="true" hidden="false" outlineLevel="0" max="18" min="18" style="259" width="14.42"/>
    <col collapsed="false" customWidth="true" hidden="false" outlineLevel="0" max="19" min="19" style="259" width="9.86"/>
    <col collapsed="false" customWidth="true" hidden="false" outlineLevel="0" max="20" min="20" style="259" width="17.15"/>
    <col collapsed="false" customWidth="true" hidden="false" outlineLevel="0" max="22" min="21" style="259" width="4.71"/>
    <col collapsed="false" customWidth="true" hidden="false" outlineLevel="0" max="23" min="23" style="259" width="16.71"/>
    <col collapsed="false" customWidth="true" hidden="false" outlineLevel="0" max="24" min="24" style="259" width="11"/>
    <col collapsed="false" customWidth="false" hidden="false" outlineLevel="0" max="16384" min="25" style="259" width="11.43"/>
  </cols>
  <sheetData>
    <row r="1" s="406" customFormat="true" ht="53.25" hidden="false" customHeight="true" outlineLevel="0" collapsed="false">
      <c r="A1" s="403"/>
      <c r="B1" s="188" t="s">
        <v>246</v>
      </c>
      <c r="C1" s="188"/>
      <c r="D1" s="404" t="s">
        <v>411</v>
      </c>
      <c r="E1" s="404"/>
      <c r="F1" s="404"/>
      <c r="G1" s="404"/>
      <c r="H1" s="404"/>
      <c r="I1" s="404"/>
      <c r="J1" s="404"/>
      <c r="K1" s="404"/>
      <c r="L1" s="404"/>
      <c r="M1" s="405" t="s">
        <v>176</v>
      </c>
      <c r="N1" s="405"/>
      <c r="O1" s="259"/>
      <c r="P1" s="259"/>
      <c r="Q1" s="259"/>
      <c r="R1" s="259"/>
      <c r="S1" s="259"/>
      <c r="T1" s="259"/>
      <c r="U1" s="259"/>
      <c r="V1" s="259"/>
      <c r="W1" s="259"/>
      <c r="X1" s="259"/>
      <c r="Y1" s="259"/>
      <c r="Z1" s="259"/>
      <c r="AA1" s="259"/>
      <c r="AB1" s="259"/>
      <c r="AC1" s="259"/>
      <c r="AD1" s="259"/>
      <c r="AE1" s="259"/>
      <c r="AF1" s="259"/>
      <c r="AG1" s="259"/>
      <c r="AH1" s="259"/>
      <c r="AI1" s="259"/>
      <c r="AJ1" s="259"/>
      <c r="AK1" s="259"/>
      <c r="AL1" s="259"/>
      <c r="AM1" s="259"/>
      <c r="AN1" s="259"/>
      <c r="AO1" s="259"/>
      <c r="AP1" s="259"/>
      <c r="AQ1" s="259"/>
      <c r="AR1" s="259"/>
      <c r="AS1" s="259"/>
      <c r="AT1" s="259"/>
      <c r="AU1" s="259"/>
      <c r="AV1" s="259"/>
      <c r="AW1" s="259"/>
      <c r="AX1" s="259"/>
      <c r="AY1" s="259"/>
      <c r="AZ1" s="259"/>
      <c r="BA1" s="259"/>
      <c r="BB1" s="259"/>
      <c r="BC1" s="259"/>
      <c r="BD1" s="259"/>
      <c r="BE1" s="259"/>
      <c r="BF1" s="259"/>
      <c r="BG1" s="259"/>
      <c r="BH1" s="259"/>
      <c r="BI1" s="259"/>
      <c r="BJ1" s="259"/>
      <c r="BK1" s="259"/>
      <c r="BL1" s="259"/>
      <c r="BM1" s="259"/>
      <c r="BN1" s="259"/>
      <c r="BO1" s="259"/>
      <c r="BP1" s="259"/>
      <c r="BQ1" s="259"/>
      <c r="BR1" s="259"/>
      <c r="BS1" s="259"/>
      <c r="BT1" s="259"/>
      <c r="BU1" s="259"/>
      <c r="BV1" s="259"/>
      <c r="BW1" s="259"/>
      <c r="BX1" s="259"/>
      <c r="BY1" s="259"/>
      <c r="BZ1" s="259"/>
      <c r="CA1" s="259"/>
      <c r="CB1" s="259"/>
      <c r="CC1" s="259"/>
      <c r="CD1" s="259"/>
      <c r="CE1" s="259"/>
      <c r="CF1" s="259"/>
      <c r="CG1" s="259"/>
      <c r="CH1" s="259"/>
      <c r="CI1" s="259"/>
      <c r="CJ1" s="259"/>
      <c r="CK1" s="259"/>
      <c r="CL1" s="259"/>
      <c r="CM1" s="259"/>
      <c r="CN1" s="259"/>
      <c r="CO1" s="259"/>
      <c r="CP1" s="259"/>
      <c r="CQ1" s="259"/>
      <c r="CR1" s="259"/>
      <c r="CS1" s="259"/>
      <c r="CT1" s="259"/>
      <c r="CU1" s="259"/>
      <c r="CV1" s="259"/>
      <c r="CW1" s="259"/>
      <c r="CX1" s="259"/>
      <c r="CY1" s="259"/>
      <c r="CZ1" s="259"/>
      <c r="DA1" s="259"/>
      <c r="DB1" s="259"/>
      <c r="DC1" s="259"/>
      <c r="DD1" s="259"/>
      <c r="DE1" s="259"/>
      <c r="DF1" s="259"/>
      <c r="DG1" s="259"/>
      <c r="DH1" s="259"/>
      <c r="DI1" s="259"/>
      <c r="DJ1" s="259"/>
      <c r="DK1" s="259"/>
      <c r="DL1" s="259"/>
      <c r="DM1" s="259"/>
      <c r="DN1" s="259"/>
      <c r="DO1" s="259"/>
      <c r="DP1" s="259"/>
      <c r="DQ1" s="259"/>
      <c r="DR1" s="259"/>
      <c r="DS1" s="259"/>
      <c r="DT1" s="259"/>
      <c r="DU1" s="259"/>
      <c r="DV1" s="259"/>
      <c r="DW1" s="259"/>
      <c r="DX1" s="259"/>
      <c r="DY1" s="259"/>
      <c r="DZ1" s="259"/>
      <c r="EA1" s="259"/>
      <c r="EB1" s="259"/>
      <c r="EC1" s="259"/>
      <c r="ED1" s="259"/>
      <c r="EE1" s="259"/>
      <c r="EF1" s="259"/>
      <c r="EG1" s="259"/>
      <c r="EH1" s="259"/>
      <c r="EI1" s="259"/>
      <c r="EJ1" s="259"/>
      <c r="EK1" s="259"/>
      <c r="EL1" s="259"/>
      <c r="EM1" s="259"/>
      <c r="EN1" s="259"/>
      <c r="EO1" s="259"/>
      <c r="EP1" s="259"/>
      <c r="EQ1" s="259"/>
      <c r="ER1" s="259"/>
      <c r="ES1" s="259"/>
      <c r="ET1" s="259"/>
      <c r="EU1" s="259"/>
      <c r="EV1" s="259"/>
      <c r="EW1" s="259"/>
      <c r="EX1" s="259"/>
      <c r="EY1" s="259"/>
      <c r="EZ1" s="259"/>
      <c r="FA1" s="259"/>
      <c r="FB1" s="259"/>
      <c r="FC1" s="259"/>
      <c r="FD1" s="259"/>
      <c r="FE1" s="259"/>
      <c r="FF1" s="259"/>
      <c r="FG1" s="259"/>
      <c r="FH1" s="259"/>
    </row>
    <row r="2" s="406" customFormat="true" ht="59.25" hidden="false" customHeight="true" outlineLevel="0" collapsed="false">
      <c r="C2" s="407" t="s">
        <v>412</v>
      </c>
      <c r="D2" s="407"/>
      <c r="E2" s="407"/>
      <c r="F2" s="408" t="s">
        <v>413</v>
      </c>
      <c r="G2" s="408"/>
      <c r="H2" s="408"/>
      <c r="I2" s="408"/>
      <c r="J2" s="409" t="s">
        <v>414</v>
      </c>
      <c r="K2" s="409"/>
      <c r="L2" s="409"/>
      <c r="O2" s="259"/>
      <c r="P2" s="259"/>
      <c r="Q2" s="259"/>
      <c r="R2" s="259"/>
      <c r="S2" s="259"/>
      <c r="T2" s="259"/>
      <c r="U2" s="259"/>
      <c r="V2" s="259"/>
      <c r="W2" s="259"/>
      <c r="X2" s="259"/>
      <c r="Y2" s="259"/>
      <c r="Z2" s="259"/>
      <c r="AA2" s="259"/>
      <c r="AB2" s="259"/>
      <c r="AC2" s="259"/>
      <c r="AD2" s="259"/>
      <c r="AE2" s="259"/>
      <c r="AF2" s="259"/>
      <c r="AG2" s="259"/>
      <c r="AH2" s="259"/>
      <c r="AI2" s="259"/>
      <c r="AJ2" s="259"/>
      <c r="AK2" s="259"/>
      <c r="AL2" s="259"/>
      <c r="AM2" s="259"/>
      <c r="AN2" s="259"/>
      <c r="AO2" s="259"/>
      <c r="AP2" s="259"/>
      <c r="AQ2" s="259"/>
      <c r="AR2" s="259"/>
      <c r="AS2" s="259"/>
      <c r="AT2" s="259"/>
      <c r="AU2" s="259"/>
      <c r="AV2" s="259"/>
      <c r="AW2" s="259"/>
      <c r="AX2" s="259"/>
      <c r="AY2" s="259"/>
      <c r="AZ2" s="259"/>
      <c r="BA2" s="259"/>
      <c r="BB2" s="259"/>
      <c r="BC2" s="259"/>
      <c r="BD2" s="259"/>
      <c r="BE2" s="259"/>
      <c r="BF2" s="259"/>
      <c r="BG2" s="259"/>
      <c r="BH2" s="259"/>
      <c r="BI2" s="259"/>
      <c r="BJ2" s="259"/>
      <c r="BK2" s="259"/>
      <c r="BL2" s="259"/>
      <c r="BM2" s="259"/>
      <c r="BN2" s="259"/>
      <c r="BO2" s="259"/>
      <c r="BP2" s="259"/>
      <c r="BQ2" s="259"/>
      <c r="BR2" s="259"/>
      <c r="BS2" s="259"/>
      <c r="BT2" s="259"/>
      <c r="BU2" s="259"/>
      <c r="BV2" s="259"/>
      <c r="BW2" s="259"/>
      <c r="BX2" s="259"/>
      <c r="BY2" s="259"/>
      <c r="BZ2" s="259"/>
      <c r="CA2" s="259"/>
      <c r="CB2" s="259"/>
      <c r="CC2" s="259"/>
      <c r="CD2" s="259"/>
      <c r="CE2" s="259"/>
      <c r="CF2" s="259"/>
      <c r="CG2" s="259"/>
      <c r="CH2" s="259"/>
      <c r="CI2" s="259"/>
      <c r="CJ2" s="259"/>
      <c r="CK2" s="259"/>
      <c r="CL2" s="259"/>
      <c r="CM2" s="259"/>
      <c r="CN2" s="259"/>
      <c r="CO2" s="259"/>
      <c r="CP2" s="259"/>
      <c r="CQ2" s="259"/>
      <c r="CR2" s="259"/>
      <c r="CS2" s="259"/>
      <c r="CT2" s="259"/>
      <c r="CU2" s="259"/>
      <c r="CV2" s="259"/>
      <c r="CW2" s="259"/>
      <c r="CX2" s="259"/>
      <c r="CY2" s="259"/>
      <c r="CZ2" s="259"/>
      <c r="DA2" s="259"/>
      <c r="DB2" s="259"/>
      <c r="DC2" s="259"/>
      <c r="DD2" s="259"/>
      <c r="DE2" s="259"/>
      <c r="DF2" s="259"/>
      <c r="DG2" s="259"/>
      <c r="DH2" s="259"/>
      <c r="DI2" s="259"/>
      <c r="DJ2" s="259"/>
      <c r="DK2" s="259"/>
      <c r="DL2" s="259"/>
      <c r="DM2" s="259"/>
      <c r="DN2" s="259"/>
      <c r="DO2" s="259"/>
      <c r="DP2" s="259"/>
      <c r="DQ2" s="259"/>
      <c r="DR2" s="259"/>
      <c r="DS2" s="259"/>
      <c r="DT2" s="259"/>
      <c r="DU2" s="259"/>
      <c r="DV2" s="259"/>
      <c r="DW2" s="259"/>
      <c r="DX2" s="259"/>
      <c r="DY2" s="259"/>
      <c r="DZ2" s="259"/>
      <c r="EA2" s="259"/>
      <c r="EB2" s="259"/>
      <c r="EC2" s="259"/>
      <c r="ED2" s="259"/>
      <c r="EE2" s="259"/>
      <c r="EF2" s="259"/>
      <c r="EG2" s="259"/>
      <c r="EH2" s="259"/>
      <c r="EI2" s="259"/>
      <c r="EJ2" s="259"/>
      <c r="EK2" s="259"/>
      <c r="EL2" s="259"/>
      <c r="EM2" s="259"/>
      <c r="EN2" s="259"/>
      <c r="EO2" s="259"/>
      <c r="EP2" s="259"/>
      <c r="EQ2" s="259"/>
      <c r="ER2" s="259"/>
      <c r="ES2" s="259"/>
      <c r="ET2" s="259"/>
      <c r="EU2" s="259"/>
      <c r="EV2" s="259"/>
      <c r="EW2" s="259"/>
      <c r="EX2" s="259"/>
      <c r="EY2" s="259"/>
      <c r="EZ2" s="259"/>
      <c r="FA2" s="259"/>
      <c r="FB2" s="259"/>
      <c r="FC2" s="259"/>
      <c r="FD2" s="259"/>
      <c r="FE2" s="259"/>
      <c r="FF2" s="259"/>
      <c r="FG2" s="259"/>
      <c r="FH2" s="259"/>
    </row>
    <row r="3" s="417" customFormat="true" ht="51" hidden="false" customHeight="true" outlineLevel="0" collapsed="false">
      <c r="A3" s="410" t="s">
        <v>315</v>
      </c>
      <c r="B3" s="410" t="s">
        <v>17</v>
      </c>
      <c r="C3" s="410" t="s">
        <v>317</v>
      </c>
      <c r="D3" s="411" t="s">
        <v>318</v>
      </c>
      <c r="E3" s="412" t="s">
        <v>415</v>
      </c>
      <c r="F3" s="413" t="s">
        <v>416</v>
      </c>
      <c r="G3" s="413" t="s">
        <v>417</v>
      </c>
      <c r="H3" s="413" t="s">
        <v>418</v>
      </c>
      <c r="I3" s="414" t="s">
        <v>419</v>
      </c>
      <c r="J3" s="323" t="s">
        <v>343</v>
      </c>
      <c r="K3" s="415" t="s">
        <v>131</v>
      </c>
      <c r="L3" s="415" t="s">
        <v>132</v>
      </c>
      <c r="M3" s="416" t="s">
        <v>362</v>
      </c>
      <c r="N3" s="416"/>
      <c r="O3" s="312"/>
      <c r="P3" s="312"/>
      <c r="Q3" s="312"/>
      <c r="R3" s="312"/>
      <c r="S3" s="312"/>
      <c r="T3" s="312"/>
      <c r="U3" s="312"/>
      <c r="V3" s="312"/>
      <c r="W3" s="312"/>
      <c r="X3" s="312"/>
      <c r="Y3" s="312"/>
      <c r="Z3" s="312"/>
      <c r="AA3" s="312"/>
      <c r="AB3" s="312"/>
      <c r="AC3" s="312"/>
      <c r="AD3" s="312"/>
      <c r="AE3" s="312"/>
      <c r="AF3" s="312"/>
      <c r="AG3" s="312"/>
      <c r="AH3" s="312"/>
      <c r="AI3" s="312"/>
      <c r="AJ3" s="312"/>
      <c r="AK3" s="312"/>
      <c r="AL3" s="312"/>
      <c r="AM3" s="312"/>
      <c r="AN3" s="312"/>
      <c r="AO3" s="312"/>
      <c r="AP3" s="312"/>
      <c r="AQ3" s="312"/>
      <c r="AR3" s="312"/>
      <c r="AS3" s="312"/>
      <c r="AT3" s="312"/>
      <c r="AU3" s="312"/>
      <c r="AV3" s="312"/>
      <c r="AW3" s="312"/>
      <c r="AX3" s="312"/>
      <c r="AY3" s="312"/>
      <c r="AZ3" s="312"/>
      <c r="BA3" s="312"/>
      <c r="BB3" s="312"/>
      <c r="BC3" s="312"/>
      <c r="BD3" s="312"/>
      <c r="BE3" s="312"/>
      <c r="BF3" s="312"/>
      <c r="BG3" s="312"/>
      <c r="BH3" s="312"/>
      <c r="BI3" s="312"/>
      <c r="BJ3" s="312"/>
      <c r="BK3" s="312"/>
      <c r="BL3" s="312"/>
      <c r="BM3" s="312"/>
      <c r="BN3" s="312"/>
      <c r="BO3" s="312"/>
      <c r="BP3" s="312"/>
      <c r="BQ3" s="312"/>
      <c r="BR3" s="312"/>
      <c r="BS3" s="312"/>
      <c r="BT3" s="312"/>
      <c r="BU3" s="312"/>
      <c r="BV3" s="312"/>
      <c r="BW3" s="312"/>
      <c r="BX3" s="312"/>
      <c r="BY3" s="312"/>
      <c r="BZ3" s="312"/>
      <c r="CA3" s="312"/>
      <c r="CB3" s="312"/>
      <c r="CC3" s="312"/>
      <c r="CD3" s="312"/>
      <c r="CE3" s="312"/>
      <c r="CF3" s="312"/>
      <c r="CG3" s="312"/>
      <c r="CH3" s="312"/>
      <c r="CI3" s="312"/>
      <c r="CJ3" s="312"/>
      <c r="CK3" s="312"/>
      <c r="CL3" s="312"/>
      <c r="CM3" s="312"/>
      <c r="CN3" s="312"/>
      <c r="CO3" s="312"/>
      <c r="CP3" s="312"/>
      <c r="CQ3" s="312"/>
      <c r="CR3" s="312"/>
      <c r="CS3" s="312"/>
      <c r="CT3" s="312"/>
      <c r="CU3" s="312"/>
      <c r="CV3" s="312"/>
      <c r="CW3" s="312"/>
      <c r="CX3" s="312"/>
      <c r="CY3" s="312"/>
      <c r="CZ3" s="312"/>
      <c r="DA3" s="312"/>
      <c r="DB3" s="312"/>
      <c r="DC3" s="312"/>
      <c r="DD3" s="312"/>
      <c r="DE3" s="312"/>
      <c r="DF3" s="312"/>
      <c r="DG3" s="312"/>
      <c r="DH3" s="312"/>
      <c r="DI3" s="312"/>
      <c r="DJ3" s="312"/>
      <c r="DK3" s="312"/>
      <c r="DL3" s="312"/>
      <c r="DM3" s="312"/>
      <c r="DN3" s="312"/>
      <c r="DO3" s="312"/>
      <c r="DP3" s="312"/>
      <c r="DQ3" s="312"/>
      <c r="DR3" s="312"/>
      <c r="DS3" s="312"/>
      <c r="DT3" s="312"/>
      <c r="DU3" s="312"/>
      <c r="DV3" s="312"/>
      <c r="DW3" s="312"/>
      <c r="DX3" s="312"/>
      <c r="DY3" s="312"/>
      <c r="DZ3" s="312"/>
      <c r="EA3" s="312"/>
      <c r="EB3" s="312"/>
      <c r="EC3" s="312"/>
      <c r="ED3" s="312"/>
      <c r="EE3" s="312"/>
      <c r="EF3" s="312"/>
      <c r="EG3" s="312"/>
      <c r="EH3" s="312"/>
      <c r="EI3" s="312"/>
      <c r="EJ3" s="312"/>
      <c r="EK3" s="312"/>
      <c r="EL3" s="312"/>
      <c r="EM3" s="312"/>
      <c r="EN3" s="312"/>
      <c r="EO3" s="312"/>
      <c r="EP3" s="312"/>
      <c r="EQ3" s="312"/>
      <c r="ER3" s="312"/>
      <c r="ES3" s="312"/>
      <c r="ET3" s="312"/>
      <c r="EU3" s="312"/>
      <c r="EV3" s="312"/>
      <c r="EW3" s="312"/>
      <c r="EX3" s="312"/>
      <c r="EY3" s="312"/>
      <c r="EZ3" s="312"/>
      <c r="FA3" s="312"/>
      <c r="FB3" s="312"/>
      <c r="FC3" s="312"/>
      <c r="FD3" s="312"/>
      <c r="FE3" s="312"/>
      <c r="FF3" s="312"/>
      <c r="FG3" s="312"/>
      <c r="FH3" s="312"/>
    </row>
    <row r="4" s="331" customFormat="true" ht="119.25" hidden="false" customHeight="true" outlineLevel="0" collapsed="false">
      <c r="A4" s="410"/>
      <c r="B4" s="410"/>
      <c r="C4" s="410"/>
      <c r="D4" s="411"/>
      <c r="E4" s="412"/>
      <c r="F4" s="413"/>
      <c r="G4" s="413"/>
      <c r="H4" s="413"/>
      <c r="I4" s="414"/>
      <c r="J4" s="323"/>
      <c r="K4" s="415"/>
      <c r="L4" s="415"/>
      <c r="M4" s="416"/>
      <c r="N4" s="416"/>
    </row>
    <row r="5" customFormat="false" ht="25.5" hidden="false" customHeight="true" outlineLevel="0" collapsed="false">
      <c r="A5" s="418" t="str">
        <f aca="false">'Listado CAPS'!A3</f>
        <v>Madriz</v>
      </c>
      <c r="B5" s="418" t="str">
        <f aca="false">'Listado CAPS'!B3</f>
        <v>Yalaguina</v>
      </c>
      <c r="C5" s="418" t="str">
        <f aca="false">'Listado CAPS'!C3</f>
        <v>Los Encuentros</v>
      </c>
      <c r="D5" s="419" t="str">
        <f aca="false">'Listado CAPS'!D3</f>
        <v>Los Encuentros</v>
      </c>
      <c r="E5" s="420" t="n">
        <v>1</v>
      </c>
      <c r="F5" s="421" t="s">
        <v>420</v>
      </c>
      <c r="G5" s="420" t="n">
        <v>1</v>
      </c>
      <c r="H5" s="421" t="n">
        <v>1</v>
      </c>
      <c r="I5" s="422" t="s">
        <v>421</v>
      </c>
      <c r="J5" s="328" t="n">
        <f aca="false">IF(I5="&lt;5%",((E5+G5+H5+1)/4),((E5+G5+H5)/4))</f>
        <v>0.75</v>
      </c>
      <c r="K5" s="423"/>
      <c r="L5" s="424"/>
      <c r="M5" s="423"/>
      <c r="N5" s="423"/>
      <c r="O5" s="425" t="s">
        <v>420</v>
      </c>
    </row>
    <row r="6" customFormat="false" ht="22.5" hidden="false" customHeight="true" outlineLevel="0" collapsed="false">
      <c r="A6" s="418" t="n">
        <f aca="false">'Listado CAPS'!A4</f>
        <v>0</v>
      </c>
      <c r="B6" s="418" t="n">
        <f aca="false">'Listado CAPS'!B4</f>
        <v>0</v>
      </c>
      <c r="C6" s="418" t="n">
        <f aca="false">'Listado CAPS'!C4</f>
        <v>0</v>
      </c>
      <c r="D6" s="419" t="str">
        <f aca="false">'Listado CAPS'!D4</f>
        <v>B</v>
      </c>
      <c r="E6" s="420"/>
      <c r="F6" s="421"/>
      <c r="G6" s="420"/>
      <c r="H6" s="421"/>
      <c r="I6" s="422"/>
      <c r="J6" s="328" t="n">
        <f aca="false">IF(I6="&lt;5%",((E6+G6+H6+1)/4),((E6+G6+H6)/4))</f>
        <v>0</v>
      </c>
      <c r="K6" s="423"/>
      <c r="L6" s="424"/>
      <c r="M6" s="423"/>
      <c r="N6" s="423"/>
      <c r="O6" s="426" t="s">
        <v>422</v>
      </c>
    </row>
    <row r="7" customFormat="false" ht="22.5" hidden="false" customHeight="true" outlineLevel="0" collapsed="false">
      <c r="A7" s="418" t="n">
        <f aca="false">'Listado CAPS'!A5</f>
        <v>0</v>
      </c>
      <c r="B7" s="418" t="n">
        <f aca="false">'Listado CAPS'!B5</f>
        <v>0</v>
      </c>
      <c r="C7" s="418" t="n">
        <f aca="false">'Listado CAPS'!C5</f>
        <v>0</v>
      </c>
      <c r="D7" s="419" t="str">
        <f aca="false">'Listado CAPS'!D5</f>
        <v>C</v>
      </c>
      <c r="E7" s="420"/>
      <c r="F7" s="421"/>
      <c r="G7" s="420"/>
      <c r="H7" s="421"/>
      <c r="I7" s="422"/>
      <c r="J7" s="328" t="n">
        <f aca="false">IF(I7="&lt;5%",((E7+G7+H7+1)/4),((E7+G7+H7)/4))</f>
        <v>0</v>
      </c>
      <c r="K7" s="423"/>
      <c r="L7" s="423"/>
      <c r="M7" s="423"/>
      <c r="N7" s="423"/>
      <c r="O7" s="426" t="s">
        <v>423</v>
      </c>
    </row>
    <row r="8" customFormat="false" ht="22.5" hidden="false" customHeight="true" outlineLevel="0" collapsed="false">
      <c r="A8" s="418" t="n">
        <f aca="false">'Listado CAPS'!A6</f>
        <v>0</v>
      </c>
      <c r="B8" s="418" t="n">
        <f aca="false">'Listado CAPS'!B6</f>
        <v>0</v>
      </c>
      <c r="C8" s="418" t="n">
        <f aca="false">'Listado CAPS'!C6</f>
        <v>0</v>
      </c>
      <c r="D8" s="419" t="str">
        <f aca="false">'Listado CAPS'!D6</f>
        <v>D</v>
      </c>
      <c r="E8" s="420"/>
      <c r="F8" s="421"/>
      <c r="G8" s="420"/>
      <c r="H8" s="421"/>
      <c r="I8" s="422"/>
      <c r="J8" s="328" t="n">
        <f aca="false">IF(I8="&lt;5%",((E8+G8+H8+1)/4),((E8+G8+H8)/4))</f>
        <v>0</v>
      </c>
      <c r="K8" s="423"/>
      <c r="L8" s="423"/>
      <c r="M8" s="423"/>
      <c r="N8" s="423"/>
      <c r="O8" s="427" t="s">
        <v>424</v>
      </c>
    </row>
    <row r="9" customFormat="false" ht="22.5" hidden="false" customHeight="true" outlineLevel="0" collapsed="false">
      <c r="A9" s="418" t="n">
        <f aca="false">'Listado CAPS'!A7</f>
        <v>0</v>
      </c>
      <c r="B9" s="418" t="n">
        <f aca="false">'Listado CAPS'!B7</f>
        <v>0</v>
      </c>
      <c r="C9" s="418" t="n">
        <f aca="false">'Listado CAPS'!C7</f>
        <v>0</v>
      </c>
      <c r="D9" s="419" t="str">
        <f aca="false">'Listado CAPS'!D7</f>
        <v>E</v>
      </c>
      <c r="E9" s="420"/>
      <c r="F9" s="421"/>
      <c r="G9" s="420"/>
      <c r="H9" s="421"/>
      <c r="I9" s="422"/>
      <c r="J9" s="328" t="n">
        <f aca="false">IF(I9="&lt;5%",((E9+G9+H9+1)/4),((E9+G9+H9)/4))</f>
        <v>0</v>
      </c>
      <c r="K9" s="423"/>
      <c r="L9" s="423"/>
      <c r="M9" s="423"/>
      <c r="N9" s="423"/>
      <c r="O9" s="425" t="s">
        <v>425</v>
      </c>
    </row>
    <row r="10" customFormat="false" ht="22.5" hidden="false" customHeight="true" outlineLevel="0" collapsed="false">
      <c r="A10" s="418" t="n">
        <f aca="false">'Listado CAPS'!A8</f>
        <v>0</v>
      </c>
      <c r="B10" s="418" t="n">
        <f aca="false">'Listado CAPS'!B8</f>
        <v>0</v>
      </c>
      <c r="C10" s="418" t="n">
        <f aca="false">'Listado CAPS'!C8</f>
        <v>0</v>
      </c>
      <c r="D10" s="419" t="str">
        <f aca="false">'Listado CAPS'!D8</f>
        <v>F</v>
      </c>
      <c r="E10" s="420"/>
      <c r="F10" s="421"/>
      <c r="G10" s="420"/>
      <c r="H10" s="421"/>
      <c r="I10" s="422"/>
      <c r="J10" s="328" t="n">
        <f aca="false">IF(I10="&lt;5%",((E10+G10+H10+1)/4),((E10+G10+H10)/4))</f>
        <v>0</v>
      </c>
      <c r="K10" s="423"/>
      <c r="L10" s="423"/>
      <c r="M10" s="423"/>
      <c r="N10" s="423"/>
      <c r="O10" s="427" t="s">
        <v>426</v>
      </c>
    </row>
    <row r="11" customFormat="false" ht="22.5" hidden="false" customHeight="true" outlineLevel="0" collapsed="false">
      <c r="A11" s="418" t="n">
        <f aca="false">'Listado CAPS'!A9</f>
        <v>0</v>
      </c>
      <c r="B11" s="418" t="n">
        <f aca="false">'Listado CAPS'!B9</f>
        <v>0</v>
      </c>
      <c r="C11" s="418" t="n">
        <f aca="false">'Listado CAPS'!C9</f>
        <v>0</v>
      </c>
      <c r="D11" s="419" t="str">
        <f aca="false">'Listado CAPS'!D9</f>
        <v>G</v>
      </c>
      <c r="E11" s="420"/>
      <c r="F11" s="421"/>
      <c r="G11" s="420"/>
      <c r="H11" s="421"/>
      <c r="I11" s="422"/>
      <c r="J11" s="328" t="n">
        <f aca="false">IF(I11="&lt;5%",((E11+G11+H11+1)/4),((E11+G11+H11)/4))</f>
        <v>0</v>
      </c>
      <c r="K11" s="423"/>
      <c r="L11" s="423"/>
      <c r="M11" s="423"/>
      <c r="N11" s="423"/>
      <c r="O11" s="425" t="s">
        <v>427</v>
      </c>
    </row>
    <row r="12" customFormat="false" ht="22.5" hidden="false" customHeight="true" outlineLevel="0" collapsed="false">
      <c r="A12" s="418" t="n">
        <f aca="false">'Listado CAPS'!A10</f>
        <v>0</v>
      </c>
      <c r="B12" s="418" t="n">
        <f aca="false">'Listado CAPS'!B10</f>
        <v>0</v>
      </c>
      <c r="C12" s="418" t="n">
        <f aca="false">'Listado CAPS'!C10</f>
        <v>0</v>
      </c>
      <c r="D12" s="419" t="str">
        <f aca="false">'Listado CAPS'!D10</f>
        <v>H</v>
      </c>
      <c r="E12" s="420"/>
      <c r="F12" s="421"/>
      <c r="G12" s="420"/>
      <c r="H12" s="421"/>
      <c r="I12" s="422"/>
      <c r="J12" s="328" t="n">
        <f aca="false">IF(I12="&lt;5%",((E12+G12+H12+1)/4),((E12+G12+H12)/4))</f>
        <v>0</v>
      </c>
      <c r="K12" s="423"/>
      <c r="L12" s="423"/>
      <c r="M12" s="423"/>
      <c r="N12" s="423"/>
      <c r="O12" s="426" t="s">
        <v>421</v>
      </c>
    </row>
    <row r="13" customFormat="false" ht="22.5" hidden="false" customHeight="true" outlineLevel="0" collapsed="false">
      <c r="A13" s="418" t="n">
        <f aca="false">'Listado CAPS'!A11</f>
        <v>0</v>
      </c>
      <c r="B13" s="418" t="n">
        <f aca="false">'Listado CAPS'!B11</f>
        <v>0</v>
      </c>
      <c r="C13" s="418" t="n">
        <f aca="false">'Listado CAPS'!C11</f>
        <v>0</v>
      </c>
      <c r="D13" s="419" t="str">
        <f aca="false">'Listado CAPS'!D11</f>
        <v>I</v>
      </c>
      <c r="E13" s="420"/>
      <c r="F13" s="421"/>
      <c r="G13" s="420"/>
      <c r="H13" s="421"/>
      <c r="I13" s="422"/>
      <c r="J13" s="328" t="n">
        <f aca="false">IF(I13="&lt;5%",((E13+G13+H13+1)/4),((E13+G13+H13)/4))</f>
        <v>0</v>
      </c>
      <c r="K13" s="423"/>
      <c r="L13" s="423"/>
      <c r="M13" s="423"/>
      <c r="N13" s="423"/>
      <c r="O13" s="427" t="s">
        <v>428</v>
      </c>
    </row>
    <row r="14" customFormat="false" ht="22.5" hidden="false" customHeight="true" outlineLevel="0" collapsed="false">
      <c r="A14" s="418" t="n">
        <f aca="false">'Listado CAPS'!A12</f>
        <v>0</v>
      </c>
      <c r="B14" s="418" t="n">
        <f aca="false">'Listado CAPS'!B12</f>
        <v>0</v>
      </c>
      <c r="C14" s="418" t="n">
        <f aca="false">'Listado CAPS'!C12</f>
        <v>0</v>
      </c>
      <c r="D14" s="419" t="str">
        <f aca="false">'Listado CAPS'!D12</f>
        <v>J</v>
      </c>
      <c r="E14" s="420"/>
      <c r="F14" s="421"/>
      <c r="G14" s="420"/>
      <c r="H14" s="421"/>
      <c r="I14" s="422"/>
      <c r="J14" s="328" t="n">
        <f aca="false">IF(I14="&lt;5%",((E14+G14+H14+1)/4),((E14+G14+H14)/4))</f>
        <v>0</v>
      </c>
      <c r="K14" s="423"/>
      <c r="L14" s="424"/>
      <c r="M14" s="423"/>
      <c r="N14" s="423"/>
    </row>
    <row r="15" s="428" customFormat="true" ht="22.5" hidden="false" customHeight="true" outlineLevel="0" collapsed="false">
      <c r="A15" s="418" t="n">
        <f aca="false">'Listado CAPS'!A13</f>
        <v>0</v>
      </c>
      <c r="B15" s="418" t="n">
        <f aca="false">'Listado CAPS'!B13</f>
        <v>0</v>
      </c>
      <c r="C15" s="418" t="n">
        <f aca="false">'Listado CAPS'!C13</f>
        <v>0</v>
      </c>
      <c r="D15" s="419" t="str">
        <f aca="false">'Listado CAPS'!D13</f>
        <v>K</v>
      </c>
      <c r="E15" s="420"/>
      <c r="F15" s="421"/>
      <c r="G15" s="420"/>
      <c r="H15" s="421"/>
      <c r="I15" s="422"/>
      <c r="J15" s="328" t="n">
        <f aca="false">IF(I15="&lt;5%",((E15+G15+H15+1)/4),((E15+G15+H15)/4))</f>
        <v>0</v>
      </c>
      <c r="K15" s="423"/>
      <c r="L15" s="424"/>
      <c r="M15" s="423"/>
      <c r="N15" s="423"/>
      <c r="O15" s="259"/>
      <c r="P15" s="259"/>
      <c r="Q15" s="259"/>
      <c r="R15" s="259"/>
      <c r="S15" s="259"/>
      <c r="T15" s="259"/>
      <c r="U15" s="259"/>
      <c r="V15" s="259"/>
      <c r="W15" s="259"/>
      <c r="X15" s="259"/>
      <c r="Y15" s="259"/>
      <c r="Z15" s="259"/>
      <c r="AA15" s="259"/>
      <c r="AB15" s="259"/>
      <c r="AC15" s="259"/>
      <c r="AD15" s="259"/>
      <c r="AE15" s="259"/>
      <c r="AF15" s="259"/>
      <c r="AG15" s="259"/>
      <c r="AH15" s="259"/>
      <c r="AI15" s="259"/>
      <c r="AJ15" s="259"/>
      <c r="AK15" s="259"/>
      <c r="AL15" s="259"/>
      <c r="AM15" s="259"/>
      <c r="AN15" s="259"/>
      <c r="AO15" s="259"/>
      <c r="AP15" s="259"/>
      <c r="AQ15" s="259"/>
      <c r="AR15" s="259"/>
      <c r="AS15" s="259"/>
      <c r="AT15" s="259"/>
      <c r="AU15" s="259"/>
      <c r="AV15" s="259"/>
      <c r="AW15" s="259"/>
      <c r="AX15" s="259"/>
      <c r="AY15" s="259"/>
      <c r="AZ15" s="259"/>
      <c r="BA15" s="259"/>
      <c r="BB15" s="259"/>
      <c r="BC15" s="259"/>
      <c r="BD15" s="259"/>
      <c r="BE15" s="259"/>
      <c r="BF15" s="259"/>
      <c r="BG15" s="259"/>
      <c r="BH15" s="259"/>
      <c r="BI15" s="259"/>
      <c r="BJ15" s="259"/>
      <c r="BK15" s="259"/>
      <c r="BL15" s="259"/>
      <c r="BM15" s="259"/>
      <c r="BN15" s="259"/>
      <c r="BO15" s="259"/>
      <c r="BP15" s="259"/>
      <c r="BQ15" s="259"/>
      <c r="BR15" s="259"/>
      <c r="BS15" s="259"/>
      <c r="BT15" s="259"/>
      <c r="BU15" s="259"/>
      <c r="BV15" s="259"/>
      <c r="BW15" s="259"/>
      <c r="BX15" s="259"/>
      <c r="BY15" s="259"/>
      <c r="BZ15" s="259"/>
      <c r="CA15" s="259"/>
      <c r="CB15" s="259"/>
      <c r="CC15" s="259"/>
      <c r="CD15" s="259"/>
      <c r="CE15" s="259"/>
      <c r="CF15" s="259"/>
      <c r="CG15" s="259"/>
      <c r="CH15" s="259"/>
      <c r="CI15" s="259"/>
      <c r="CJ15" s="259"/>
      <c r="CK15" s="259"/>
      <c r="CL15" s="259"/>
      <c r="CM15" s="259"/>
      <c r="CN15" s="259"/>
      <c r="CO15" s="259"/>
      <c r="CP15" s="259"/>
      <c r="CQ15" s="259"/>
      <c r="CR15" s="259"/>
      <c r="CS15" s="259"/>
      <c r="CT15" s="259"/>
      <c r="CU15" s="259"/>
      <c r="CV15" s="259"/>
      <c r="CW15" s="259"/>
      <c r="CX15" s="259"/>
      <c r="CY15" s="259"/>
      <c r="CZ15" s="259"/>
      <c r="DA15" s="259"/>
      <c r="DB15" s="259"/>
      <c r="DC15" s="259"/>
      <c r="DD15" s="259"/>
      <c r="DE15" s="259"/>
      <c r="DF15" s="259"/>
      <c r="DG15" s="259"/>
      <c r="DH15" s="259"/>
      <c r="DI15" s="259"/>
      <c r="DJ15" s="259"/>
      <c r="DK15" s="259"/>
      <c r="DL15" s="259"/>
      <c r="DM15" s="259"/>
      <c r="DN15" s="259"/>
      <c r="DO15" s="259"/>
      <c r="DP15" s="259"/>
      <c r="DQ15" s="259"/>
      <c r="DR15" s="259"/>
      <c r="DS15" s="259"/>
      <c r="DT15" s="259"/>
      <c r="DU15" s="259"/>
      <c r="DV15" s="259"/>
      <c r="DW15" s="259"/>
      <c r="DX15" s="259"/>
      <c r="DY15" s="259"/>
      <c r="DZ15" s="259"/>
      <c r="EA15" s="259"/>
      <c r="EB15" s="259"/>
      <c r="EC15" s="259"/>
      <c r="ED15" s="259"/>
      <c r="EE15" s="259"/>
      <c r="EF15" s="259"/>
      <c r="EG15" s="259"/>
      <c r="EH15" s="259"/>
      <c r="EI15" s="259"/>
      <c r="EJ15" s="259"/>
      <c r="EK15" s="259"/>
      <c r="EL15" s="259"/>
      <c r="EM15" s="259"/>
      <c r="EN15" s="259"/>
      <c r="EO15" s="259"/>
      <c r="EP15" s="259"/>
      <c r="EQ15" s="259"/>
      <c r="ER15" s="259"/>
      <c r="ES15" s="259"/>
      <c r="ET15" s="259"/>
      <c r="EU15" s="259"/>
      <c r="EV15" s="259"/>
      <c r="EW15" s="259"/>
      <c r="EX15" s="259"/>
      <c r="EY15" s="259"/>
      <c r="EZ15" s="259"/>
      <c r="FA15" s="259"/>
      <c r="FB15" s="259"/>
      <c r="FC15" s="259"/>
      <c r="FD15" s="259"/>
      <c r="FE15" s="259"/>
      <c r="FF15" s="259"/>
      <c r="FG15" s="259"/>
      <c r="FH15" s="259"/>
    </row>
    <row r="16" s="428" customFormat="true" ht="22.5" hidden="false" customHeight="true" outlineLevel="0" collapsed="false">
      <c r="A16" s="418" t="n">
        <f aca="false">'Listado CAPS'!A14</f>
        <v>0</v>
      </c>
      <c r="B16" s="418" t="n">
        <f aca="false">'Listado CAPS'!B14</f>
        <v>0</v>
      </c>
      <c r="C16" s="418" t="n">
        <f aca="false">'Listado CAPS'!C14</f>
        <v>0</v>
      </c>
      <c r="D16" s="419" t="str">
        <f aca="false">'Listado CAPS'!D14</f>
        <v>L</v>
      </c>
      <c r="E16" s="420"/>
      <c r="F16" s="421"/>
      <c r="G16" s="420"/>
      <c r="H16" s="421"/>
      <c r="I16" s="422"/>
      <c r="J16" s="328" t="n">
        <f aca="false">IF(I16="&lt;5%",((E16+G16+H16+1)/4),((E16+G16+H16)/4))</f>
        <v>0</v>
      </c>
      <c r="K16" s="423"/>
      <c r="L16" s="424"/>
      <c r="M16" s="423"/>
      <c r="N16" s="423"/>
      <c r="O16" s="259"/>
      <c r="P16" s="259"/>
      <c r="Q16" s="259"/>
      <c r="R16" s="259"/>
      <c r="S16" s="259"/>
      <c r="T16" s="259"/>
      <c r="U16" s="259"/>
      <c r="V16" s="259"/>
      <c r="W16" s="259"/>
      <c r="X16" s="259"/>
      <c r="Y16" s="259"/>
      <c r="Z16" s="259"/>
      <c r="AA16" s="259"/>
      <c r="AB16" s="259"/>
      <c r="AC16" s="259"/>
      <c r="AD16" s="259"/>
      <c r="AE16" s="259"/>
      <c r="AF16" s="259"/>
      <c r="AG16" s="259"/>
      <c r="AH16" s="259"/>
      <c r="AI16" s="259"/>
      <c r="AJ16" s="259"/>
      <c r="AK16" s="259"/>
      <c r="AL16" s="259"/>
      <c r="AM16" s="259"/>
      <c r="AN16" s="259"/>
      <c r="AO16" s="259"/>
      <c r="AP16" s="259"/>
      <c r="AQ16" s="259"/>
      <c r="AR16" s="259"/>
      <c r="AS16" s="259"/>
      <c r="AT16" s="259"/>
      <c r="AU16" s="259"/>
      <c r="AV16" s="259"/>
      <c r="AW16" s="259"/>
      <c r="AX16" s="259"/>
      <c r="AY16" s="259"/>
      <c r="AZ16" s="259"/>
      <c r="BA16" s="259"/>
      <c r="BB16" s="259"/>
      <c r="BC16" s="259"/>
      <c r="BD16" s="259"/>
      <c r="BE16" s="259"/>
      <c r="BF16" s="259"/>
      <c r="BG16" s="259"/>
      <c r="BH16" s="259"/>
      <c r="BI16" s="259"/>
      <c r="BJ16" s="259"/>
      <c r="BK16" s="259"/>
      <c r="BL16" s="259"/>
      <c r="BM16" s="259"/>
      <c r="BN16" s="259"/>
      <c r="BO16" s="259"/>
      <c r="BP16" s="259"/>
      <c r="BQ16" s="259"/>
      <c r="BR16" s="259"/>
      <c r="BS16" s="259"/>
      <c r="BT16" s="259"/>
      <c r="BU16" s="259"/>
      <c r="BV16" s="259"/>
      <c r="BW16" s="259"/>
      <c r="BX16" s="259"/>
      <c r="BY16" s="259"/>
      <c r="BZ16" s="259"/>
      <c r="CA16" s="259"/>
      <c r="CB16" s="259"/>
      <c r="CC16" s="259"/>
      <c r="CD16" s="259"/>
      <c r="CE16" s="259"/>
      <c r="CF16" s="259"/>
      <c r="CG16" s="259"/>
      <c r="CH16" s="259"/>
      <c r="CI16" s="259"/>
      <c r="CJ16" s="259"/>
      <c r="CK16" s="259"/>
      <c r="CL16" s="259"/>
      <c r="CM16" s="259"/>
      <c r="CN16" s="259"/>
      <c r="CO16" s="259"/>
      <c r="CP16" s="259"/>
      <c r="CQ16" s="259"/>
      <c r="CR16" s="259"/>
      <c r="CS16" s="259"/>
      <c r="CT16" s="259"/>
      <c r="CU16" s="259"/>
      <c r="CV16" s="259"/>
      <c r="CW16" s="259"/>
      <c r="CX16" s="259"/>
      <c r="CY16" s="259"/>
      <c r="CZ16" s="259"/>
      <c r="DA16" s="259"/>
      <c r="DB16" s="259"/>
      <c r="DC16" s="259"/>
      <c r="DD16" s="259"/>
      <c r="DE16" s="259"/>
      <c r="DF16" s="259"/>
      <c r="DG16" s="259"/>
      <c r="DH16" s="259"/>
      <c r="DI16" s="259"/>
      <c r="DJ16" s="259"/>
      <c r="DK16" s="259"/>
      <c r="DL16" s="259"/>
      <c r="DM16" s="259"/>
      <c r="DN16" s="259"/>
      <c r="DO16" s="259"/>
      <c r="DP16" s="259"/>
      <c r="DQ16" s="259"/>
      <c r="DR16" s="259"/>
      <c r="DS16" s="259"/>
      <c r="DT16" s="259"/>
      <c r="DU16" s="259"/>
      <c r="DV16" s="259"/>
      <c r="DW16" s="259"/>
      <c r="DX16" s="259"/>
      <c r="DY16" s="259"/>
      <c r="DZ16" s="259"/>
      <c r="EA16" s="259"/>
      <c r="EB16" s="259"/>
      <c r="EC16" s="259"/>
      <c r="ED16" s="259"/>
      <c r="EE16" s="259"/>
      <c r="EF16" s="259"/>
      <c r="EG16" s="259"/>
      <c r="EH16" s="259"/>
      <c r="EI16" s="259"/>
      <c r="EJ16" s="259"/>
      <c r="EK16" s="259"/>
      <c r="EL16" s="259"/>
      <c r="EM16" s="259"/>
      <c r="EN16" s="259"/>
      <c r="EO16" s="259"/>
      <c r="EP16" s="259"/>
      <c r="EQ16" s="259"/>
      <c r="ER16" s="259"/>
      <c r="ES16" s="259"/>
      <c r="ET16" s="259"/>
      <c r="EU16" s="259"/>
      <c r="EV16" s="259"/>
      <c r="EW16" s="259"/>
      <c r="EX16" s="259"/>
      <c r="EY16" s="259"/>
      <c r="EZ16" s="259"/>
      <c r="FA16" s="259"/>
      <c r="FB16" s="259"/>
      <c r="FC16" s="259"/>
      <c r="FD16" s="259"/>
      <c r="FE16" s="259"/>
      <c r="FF16" s="259"/>
      <c r="FG16" s="259"/>
      <c r="FH16" s="259"/>
    </row>
    <row r="17" s="428" customFormat="true" ht="22.5" hidden="false" customHeight="true" outlineLevel="0" collapsed="false">
      <c r="A17" s="418" t="n">
        <f aca="false">'Listado CAPS'!A15</f>
        <v>0</v>
      </c>
      <c r="B17" s="418" t="n">
        <f aca="false">'Listado CAPS'!B15</f>
        <v>0</v>
      </c>
      <c r="C17" s="418" t="n">
        <f aca="false">'Listado CAPS'!C15</f>
        <v>0</v>
      </c>
      <c r="D17" s="419" t="str">
        <f aca="false">'Listado CAPS'!D15</f>
        <v>M</v>
      </c>
      <c r="E17" s="420"/>
      <c r="F17" s="421"/>
      <c r="G17" s="420"/>
      <c r="H17" s="421"/>
      <c r="I17" s="422"/>
      <c r="J17" s="328" t="n">
        <f aca="false">IF(I17="&lt;5%",((E17+G17+H17+1)/4),((E17+G17+H17)/4))</f>
        <v>0</v>
      </c>
      <c r="K17" s="423"/>
      <c r="L17" s="424"/>
      <c r="M17" s="423"/>
      <c r="N17" s="423"/>
      <c r="O17" s="259"/>
      <c r="P17" s="259"/>
      <c r="Q17" s="259"/>
      <c r="R17" s="259"/>
      <c r="S17" s="259"/>
      <c r="T17" s="259"/>
      <c r="U17" s="259"/>
      <c r="V17" s="259"/>
      <c r="W17" s="259"/>
      <c r="X17" s="259"/>
      <c r="Y17" s="259"/>
      <c r="Z17" s="259"/>
      <c r="AA17" s="259"/>
      <c r="AB17" s="259"/>
      <c r="AC17" s="259"/>
      <c r="AD17" s="259"/>
      <c r="AE17" s="259"/>
      <c r="AF17" s="259"/>
      <c r="AG17" s="259"/>
      <c r="AH17" s="259"/>
      <c r="AI17" s="259"/>
      <c r="AJ17" s="259"/>
      <c r="AK17" s="259"/>
      <c r="AL17" s="259"/>
      <c r="AM17" s="259"/>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59"/>
      <c r="BK17" s="259"/>
      <c r="BL17" s="259"/>
      <c r="BM17" s="259"/>
      <c r="BN17" s="259"/>
      <c r="BO17" s="259"/>
      <c r="BP17" s="259"/>
      <c r="BQ17" s="259"/>
      <c r="BR17" s="259"/>
      <c r="BS17" s="259"/>
      <c r="BT17" s="259"/>
      <c r="BU17" s="259"/>
      <c r="BV17" s="259"/>
      <c r="BW17" s="259"/>
      <c r="BX17" s="259"/>
      <c r="BY17" s="259"/>
      <c r="BZ17" s="259"/>
      <c r="CA17" s="259"/>
      <c r="CB17" s="259"/>
      <c r="CC17" s="259"/>
      <c r="CD17" s="259"/>
      <c r="CE17" s="259"/>
      <c r="CF17" s="259"/>
      <c r="CG17" s="259"/>
      <c r="CH17" s="259"/>
      <c r="CI17" s="259"/>
      <c r="CJ17" s="259"/>
      <c r="CK17" s="259"/>
      <c r="CL17" s="259"/>
      <c r="CM17" s="259"/>
      <c r="CN17" s="259"/>
      <c r="CO17" s="259"/>
      <c r="CP17" s="259"/>
      <c r="CQ17" s="259"/>
      <c r="CR17" s="259"/>
      <c r="CS17" s="259"/>
      <c r="CT17" s="259"/>
      <c r="CU17" s="259"/>
      <c r="CV17" s="259"/>
      <c r="CW17" s="259"/>
      <c r="CX17" s="259"/>
      <c r="CY17" s="259"/>
      <c r="CZ17" s="259"/>
      <c r="DA17" s="259"/>
      <c r="DB17" s="259"/>
      <c r="DC17" s="259"/>
      <c r="DD17" s="259"/>
      <c r="DE17" s="259"/>
      <c r="DF17" s="259"/>
      <c r="DG17" s="259"/>
      <c r="DH17" s="259"/>
      <c r="DI17" s="259"/>
      <c r="DJ17" s="259"/>
      <c r="DK17" s="259"/>
      <c r="DL17" s="259"/>
      <c r="DM17" s="259"/>
      <c r="DN17" s="259"/>
      <c r="DO17" s="259"/>
      <c r="DP17" s="259"/>
      <c r="DQ17" s="259"/>
      <c r="DR17" s="259"/>
      <c r="DS17" s="259"/>
      <c r="DT17" s="259"/>
      <c r="DU17" s="259"/>
      <c r="DV17" s="259"/>
      <c r="DW17" s="259"/>
      <c r="DX17" s="259"/>
      <c r="DY17" s="259"/>
      <c r="DZ17" s="259"/>
      <c r="EA17" s="259"/>
      <c r="EB17" s="259"/>
      <c r="EC17" s="259"/>
      <c r="ED17" s="259"/>
      <c r="EE17" s="259"/>
      <c r="EF17" s="259"/>
      <c r="EG17" s="259"/>
      <c r="EH17" s="259"/>
      <c r="EI17" s="259"/>
      <c r="EJ17" s="259"/>
      <c r="EK17" s="259"/>
      <c r="EL17" s="259"/>
      <c r="EM17" s="259"/>
      <c r="EN17" s="259"/>
      <c r="EO17" s="259"/>
      <c r="EP17" s="259"/>
      <c r="EQ17" s="259"/>
      <c r="ER17" s="259"/>
      <c r="ES17" s="259"/>
      <c r="ET17" s="259"/>
      <c r="EU17" s="259"/>
      <c r="EV17" s="259"/>
      <c r="EW17" s="259"/>
      <c r="EX17" s="259"/>
      <c r="EY17" s="259"/>
      <c r="EZ17" s="259"/>
      <c r="FA17" s="259"/>
      <c r="FB17" s="259"/>
      <c r="FC17" s="259"/>
      <c r="FD17" s="259"/>
      <c r="FE17" s="259"/>
      <c r="FF17" s="259"/>
      <c r="FG17" s="259"/>
      <c r="FH17" s="259"/>
    </row>
    <row r="18" s="428" customFormat="true" ht="22.5" hidden="false" customHeight="true" outlineLevel="0" collapsed="false">
      <c r="A18" s="418" t="n">
        <f aca="false">'Listado CAPS'!A16</f>
        <v>0</v>
      </c>
      <c r="B18" s="418" t="n">
        <f aca="false">'Listado CAPS'!B16</f>
        <v>0</v>
      </c>
      <c r="C18" s="418" t="n">
        <f aca="false">'Listado CAPS'!C16</f>
        <v>0</v>
      </c>
      <c r="D18" s="419" t="str">
        <f aca="false">'Listado CAPS'!D16</f>
        <v>N</v>
      </c>
      <c r="E18" s="420"/>
      <c r="F18" s="421"/>
      <c r="G18" s="420"/>
      <c r="H18" s="421"/>
      <c r="I18" s="422"/>
      <c r="J18" s="328" t="n">
        <f aca="false">IF(I18="&lt;5%",((E18+G18+H18+1)/4),((E18+G18+H18)/4))</f>
        <v>0</v>
      </c>
      <c r="K18" s="423"/>
      <c r="L18" s="423"/>
      <c r="M18" s="423"/>
      <c r="N18" s="423"/>
      <c r="O18" s="259"/>
      <c r="P18" s="259"/>
      <c r="Q18" s="259"/>
      <c r="R18" s="259"/>
      <c r="S18" s="259"/>
      <c r="T18" s="259"/>
      <c r="U18" s="259"/>
      <c r="V18" s="259"/>
      <c r="W18" s="259"/>
      <c r="X18" s="259"/>
      <c r="Y18" s="259"/>
      <c r="Z18" s="259"/>
      <c r="AA18" s="259"/>
      <c r="AB18" s="259"/>
      <c r="AC18" s="259"/>
      <c r="AD18" s="259"/>
      <c r="AE18" s="259"/>
      <c r="AF18" s="259"/>
      <c r="AG18" s="259"/>
      <c r="AH18" s="259"/>
      <c r="AI18" s="259"/>
      <c r="AJ18" s="259"/>
      <c r="AK18" s="259"/>
      <c r="AL18" s="259"/>
      <c r="AM18" s="259"/>
      <c r="AN18" s="259"/>
      <c r="AO18" s="259"/>
      <c r="AP18" s="259"/>
      <c r="AQ18" s="259"/>
      <c r="AR18" s="259"/>
      <c r="AS18" s="259"/>
      <c r="AT18" s="259"/>
      <c r="AU18" s="259"/>
      <c r="AV18" s="259"/>
      <c r="AW18" s="259"/>
      <c r="AX18" s="259"/>
      <c r="AY18" s="259"/>
      <c r="AZ18" s="259"/>
      <c r="BA18" s="259"/>
      <c r="BB18" s="259"/>
      <c r="BC18" s="259"/>
      <c r="BD18" s="259"/>
      <c r="BE18" s="259"/>
      <c r="BF18" s="259"/>
      <c r="BG18" s="259"/>
      <c r="BH18" s="259"/>
      <c r="BI18" s="259"/>
      <c r="BJ18" s="259"/>
      <c r="BK18" s="259"/>
      <c r="BL18" s="259"/>
      <c r="BM18" s="259"/>
      <c r="BN18" s="259"/>
      <c r="BO18" s="259"/>
      <c r="BP18" s="259"/>
      <c r="BQ18" s="259"/>
      <c r="BR18" s="259"/>
      <c r="BS18" s="259"/>
      <c r="BT18" s="259"/>
      <c r="BU18" s="259"/>
      <c r="BV18" s="259"/>
      <c r="BW18" s="259"/>
      <c r="BX18" s="259"/>
      <c r="BY18" s="259"/>
      <c r="BZ18" s="259"/>
      <c r="CA18" s="259"/>
      <c r="CB18" s="259"/>
      <c r="CC18" s="259"/>
      <c r="CD18" s="259"/>
      <c r="CE18" s="259"/>
      <c r="CF18" s="259"/>
      <c r="CG18" s="259"/>
      <c r="CH18" s="259"/>
      <c r="CI18" s="259"/>
      <c r="CJ18" s="259"/>
      <c r="CK18" s="259"/>
      <c r="CL18" s="259"/>
      <c r="CM18" s="259"/>
      <c r="CN18" s="259"/>
      <c r="CO18" s="259"/>
      <c r="CP18" s="259"/>
      <c r="CQ18" s="259"/>
      <c r="CR18" s="259"/>
      <c r="CS18" s="259"/>
      <c r="CT18" s="259"/>
      <c r="CU18" s="259"/>
      <c r="CV18" s="259"/>
      <c r="CW18" s="259"/>
      <c r="CX18" s="259"/>
      <c r="CY18" s="259"/>
      <c r="CZ18" s="259"/>
      <c r="DA18" s="259"/>
      <c r="DB18" s="259"/>
      <c r="DC18" s="259"/>
      <c r="DD18" s="259"/>
      <c r="DE18" s="259"/>
      <c r="DF18" s="259"/>
      <c r="DG18" s="259"/>
      <c r="DH18" s="259"/>
      <c r="DI18" s="259"/>
      <c r="DJ18" s="259"/>
      <c r="DK18" s="259"/>
      <c r="DL18" s="259"/>
      <c r="DM18" s="259"/>
      <c r="DN18" s="259"/>
      <c r="DO18" s="259"/>
      <c r="DP18" s="259"/>
      <c r="DQ18" s="259"/>
      <c r="DR18" s="259"/>
      <c r="DS18" s="259"/>
      <c r="DT18" s="259"/>
      <c r="DU18" s="259"/>
      <c r="DV18" s="259"/>
      <c r="DW18" s="259"/>
      <c r="DX18" s="259"/>
      <c r="DY18" s="259"/>
      <c r="DZ18" s="259"/>
      <c r="EA18" s="259"/>
      <c r="EB18" s="259"/>
      <c r="EC18" s="259"/>
      <c r="ED18" s="259"/>
      <c r="EE18" s="259"/>
      <c r="EF18" s="259"/>
      <c r="EG18" s="259"/>
      <c r="EH18" s="259"/>
      <c r="EI18" s="259"/>
      <c r="EJ18" s="259"/>
      <c r="EK18" s="259"/>
      <c r="EL18" s="259"/>
      <c r="EM18" s="259"/>
      <c r="EN18" s="259"/>
      <c r="EO18" s="259"/>
      <c r="EP18" s="259"/>
      <c r="EQ18" s="259"/>
      <c r="ER18" s="259"/>
      <c r="ES18" s="259"/>
      <c r="ET18" s="259"/>
      <c r="EU18" s="259"/>
      <c r="EV18" s="259"/>
      <c r="EW18" s="259"/>
      <c r="EX18" s="259"/>
      <c r="EY18" s="259"/>
      <c r="EZ18" s="259"/>
      <c r="FA18" s="259"/>
      <c r="FB18" s="259"/>
      <c r="FC18" s="259"/>
      <c r="FD18" s="259"/>
      <c r="FE18" s="259"/>
      <c r="FF18" s="259"/>
      <c r="FG18" s="259"/>
      <c r="FH18" s="259"/>
    </row>
    <row r="19" customFormat="false" ht="22.5" hidden="false" customHeight="true" outlineLevel="0" collapsed="false">
      <c r="A19" s="418" t="n">
        <f aca="false">'Listado CAPS'!A17</f>
        <v>0</v>
      </c>
      <c r="B19" s="418" t="n">
        <f aca="false">'Listado CAPS'!B17</f>
        <v>0</v>
      </c>
      <c r="C19" s="418" t="n">
        <f aca="false">'Listado CAPS'!C17</f>
        <v>0</v>
      </c>
      <c r="D19" s="419" t="str">
        <f aca="false">'Listado CAPS'!D17</f>
        <v>Ñ</v>
      </c>
      <c r="E19" s="420"/>
      <c r="F19" s="421"/>
      <c r="G19" s="420"/>
      <c r="H19" s="421"/>
      <c r="I19" s="422"/>
      <c r="J19" s="328" t="n">
        <f aca="false">IF(I19="&lt;5%",((E19+G19+H19+1)/4),((E19+G19+H19)/4))</f>
        <v>0</v>
      </c>
      <c r="K19" s="423"/>
      <c r="L19" s="424"/>
      <c r="M19" s="423"/>
      <c r="N19" s="423"/>
    </row>
    <row r="20" s="428" customFormat="true" ht="22.5" hidden="false" customHeight="true" outlineLevel="0" collapsed="false">
      <c r="A20" s="418" t="n">
        <f aca="false">'Listado CAPS'!A18</f>
        <v>0</v>
      </c>
      <c r="B20" s="418" t="n">
        <f aca="false">'Listado CAPS'!B18</f>
        <v>0</v>
      </c>
      <c r="C20" s="418" t="n">
        <f aca="false">'Listado CAPS'!C18</f>
        <v>0</v>
      </c>
      <c r="D20" s="419" t="str">
        <f aca="false">'Listado CAPS'!D18</f>
        <v>O</v>
      </c>
      <c r="E20" s="420"/>
      <c r="F20" s="421"/>
      <c r="G20" s="420"/>
      <c r="H20" s="421"/>
      <c r="I20" s="422"/>
      <c r="J20" s="328" t="n">
        <f aca="false">IF(I20="&lt;5%",((E20+G20+H20+1)/4),((E20+G20+H20)/4))</f>
        <v>0</v>
      </c>
      <c r="K20" s="423"/>
      <c r="L20" s="423"/>
      <c r="M20" s="423"/>
      <c r="N20" s="423"/>
      <c r="O20" s="259"/>
      <c r="P20" s="259"/>
      <c r="Q20" s="259"/>
      <c r="R20" s="259"/>
      <c r="S20" s="259"/>
      <c r="T20" s="259"/>
      <c r="U20" s="259"/>
      <c r="V20" s="259"/>
      <c r="W20" s="259"/>
      <c r="X20" s="259"/>
      <c r="Y20" s="259"/>
      <c r="Z20" s="259"/>
      <c r="AA20" s="259"/>
      <c r="AB20" s="259"/>
      <c r="AC20" s="259"/>
      <c r="AD20" s="259"/>
      <c r="AE20" s="259"/>
      <c r="AF20" s="259"/>
      <c r="AG20" s="259"/>
      <c r="AH20" s="259"/>
      <c r="AI20" s="259"/>
      <c r="AJ20" s="259"/>
      <c r="AK20" s="259"/>
      <c r="AL20" s="259"/>
      <c r="AM20" s="259"/>
      <c r="AN20" s="259"/>
      <c r="AO20" s="259"/>
      <c r="AP20" s="259"/>
      <c r="AQ20" s="259"/>
      <c r="AR20" s="259"/>
      <c r="AS20" s="259"/>
      <c r="AT20" s="259"/>
      <c r="AU20" s="259"/>
      <c r="AV20" s="259"/>
      <c r="AW20" s="259"/>
      <c r="AX20" s="259"/>
      <c r="AY20" s="259"/>
      <c r="AZ20" s="259"/>
      <c r="BA20" s="259"/>
      <c r="BB20" s="259"/>
      <c r="BC20" s="259"/>
      <c r="BD20" s="259"/>
      <c r="BE20" s="259"/>
      <c r="BF20" s="259"/>
      <c r="BG20" s="259"/>
      <c r="BH20" s="259"/>
      <c r="BI20" s="259"/>
      <c r="BJ20" s="259"/>
      <c r="BK20" s="259"/>
      <c r="BL20" s="259"/>
      <c r="BM20" s="259"/>
      <c r="BN20" s="259"/>
      <c r="BO20" s="259"/>
      <c r="BP20" s="259"/>
      <c r="BQ20" s="259"/>
      <c r="BR20" s="259"/>
      <c r="BS20" s="259"/>
      <c r="BT20" s="259"/>
      <c r="BU20" s="259"/>
      <c r="BV20" s="259"/>
      <c r="BW20" s="259"/>
      <c r="BX20" s="259"/>
      <c r="BY20" s="259"/>
      <c r="BZ20" s="259"/>
      <c r="CA20" s="259"/>
      <c r="CB20" s="259"/>
      <c r="CC20" s="259"/>
      <c r="CD20" s="259"/>
      <c r="CE20" s="259"/>
      <c r="CF20" s="259"/>
      <c r="CG20" s="259"/>
      <c r="CH20" s="259"/>
      <c r="CI20" s="259"/>
      <c r="CJ20" s="259"/>
      <c r="CK20" s="259"/>
      <c r="CL20" s="259"/>
      <c r="CM20" s="259"/>
      <c r="CN20" s="259"/>
      <c r="CO20" s="259"/>
      <c r="CP20" s="259"/>
      <c r="CQ20" s="259"/>
      <c r="CR20" s="259"/>
      <c r="CS20" s="259"/>
      <c r="CT20" s="259"/>
      <c r="CU20" s="259"/>
      <c r="CV20" s="259"/>
      <c r="CW20" s="259"/>
      <c r="CX20" s="259"/>
      <c r="CY20" s="259"/>
      <c r="CZ20" s="259"/>
      <c r="DA20" s="259"/>
      <c r="DB20" s="259"/>
      <c r="DC20" s="259"/>
      <c r="DD20" s="259"/>
      <c r="DE20" s="259"/>
      <c r="DF20" s="259"/>
      <c r="DG20" s="259"/>
      <c r="DH20" s="259"/>
      <c r="DI20" s="259"/>
      <c r="DJ20" s="259"/>
      <c r="DK20" s="259"/>
      <c r="DL20" s="259"/>
      <c r="DM20" s="259"/>
      <c r="DN20" s="259"/>
      <c r="DO20" s="259"/>
      <c r="DP20" s="259"/>
      <c r="DQ20" s="259"/>
      <c r="DR20" s="259"/>
      <c r="DS20" s="259"/>
      <c r="DT20" s="259"/>
      <c r="DU20" s="259"/>
      <c r="DV20" s="259"/>
      <c r="DW20" s="259"/>
      <c r="DX20" s="259"/>
      <c r="DY20" s="259"/>
      <c r="DZ20" s="259"/>
      <c r="EA20" s="259"/>
      <c r="EB20" s="259"/>
      <c r="EC20" s="259"/>
      <c r="ED20" s="259"/>
      <c r="EE20" s="259"/>
      <c r="EF20" s="259"/>
      <c r="EG20" s="259"/>
      <c r="EH20" s="259"/>
      <c r="EI20" s="259"/>
      <c r="EJ20" s="259"/>
      <c r="EK20" s="259"/>
      <c r="EL20" s="259"/>
      <c r="EM20" s="259"/>
      <c r="EN20" s="259"/>
      <c r="EO20" s="259"/>
      <c r="EP20" s="259"/>
      <c r="EQ20" s="259"/>
      <c r="ER20" s="259"/>
      <c r="ES20" s="259"/>
      <c r="ET20" s="259"/>
      <c r="EU20" s="259"/>
      <c r="EV20" s="259"/>
      <c r="EW20" s="259"/>
      <c r="EX20" s="259"/>
      <c r="EY20" s="259"/>
      <c r="EZ20" s="259"/>
      <c r="FA20" s="259"/>
      <c r="FB20" s="259"/>
      <c r="FC20" s="259"/>
      <c r="FD20" s="259"/>
      <c r="FE20" s="259"/>
      <c r="FF20" s="259"/>
      <c r="FG20" s="259"/>
      <c r="FH20" s="259"/>
    </row>
    <row r="21" customFormat="false" ht="22.5" hidden="false" customHeight="true" outlineLevel="0" collapsed="false">
      <c r="A21" s="418" t="n">
        <f aca="false">'Listado CAPS'!A19</f>
        <v>0</v>
      </c>
      <c r="B21" s="418" t="n">
        <f aca="false">'Listado CAPS'!B19</f>
        <v>0</v>
      </c>
      <c r="C21" s="418" t="n">
        <f aca="false">'Listado CAPS'!C19</f>
        <v>0</v>
      </c>
      <c r="D21" s="419" t="str">
        <f aca="false">'Listado CAPS'!D19</f>
        <v>P</v>
      </c>
      <c r="E21" s="420"/>
      <c r="F21" s="421"/>
      <c r="G21" s="420"/>
      <c r="H21" s="421"/>
      <c r="I21" s="429"/>
      <c r="J21" s="328" t="n">
        <f aca="false">IF(I21="&lt;5%",((E21+G21+H21+1)/4),((E21+G21+H21)/4))</f>
        <v>0</v>
      </c>
      <c r="K21" s="430"/>
      <c r="L21" s="431"/>
      <c r="M21" s="423"/>
      <c r="N21" s="423"/>
    </row>
    <row r="22" s="280" customFormat="true" ht="22.5" hidden="false" customHeight="true" outlineLevel="0" collapsed="false">
      <c r="A22" s="418" t="n">
        <f aca="false">'Listado CAPS'!A20</f>
        <v>0</v>
      </c>
      <c r="B22" s="418" t="n">
        <f aca="false">'Listado CAPS'!B20</f>
        <v>0</v>
      </c>
      <c r="C22" s="418" t="n">
        <f aca="false">'Listado CAPS'!C20</f>
        <v>0</v>
      </c>
      <c r="D22" s="419" t="str">
        <f aca="false">'Listado CAPS'!D20</f>
        <v>Q</v>
      </c>
      <c r="E22" s="420"/>
      <c r="F22" s="421"/>
      <c r="G22" s="420"/>
      <c r="H22" s="421"/>
      <c r="I22" s="429"/>
      <c r="J22" s="328" t="n">
        <f aca="false">IF(I22="&lt;5%",((E22+G22+H22+1)/4),((E22+G22+H22)/4))</f>
        <v>0</v>
      </c>
      <c r="K22" s="430"/>
      <c r="L22" s="423"/>
      <c r="M22" s="423"/>
      <c r="N22" s="423"/>
      <c r="O22" s="259"/>
      <c r="P22" s="259"/>
      <c r="Q22" s="259"/>
      <c r="R22" s="259"/>
      <c r="S22" s="259"/>
      <c r="T22" s="259"/>
      <c r="U22" s="259"/>
      <c r="V22" s="259"/>
      <c r="W22" s="259"/>
      <c r="X22" s="259"/>
      <c r="Y22" s="259"/>
      <c r="Z22" s="259"/>
      <c r="AA22" s="259"/>
      <c r="AB22" s="259"/>
      <c r="AC22" s="259"/>
      <c r="AD22" s="259"/>
      <c r="AE22" s="259"/>
      <c r="AF22" s="259"/>
      <c r="AG22" s="259"/>
      <c r="AH22" s="259"/>
      <c r="AI22" s="259"/>
      <c r="AJ22" s="259"/>
      <c r="AK22" s="259"/>
      <c r="AL22" s="259"/>
      <c r="AM22" s="259"/>
      <c r="AN22" s="259"/>
      <c r="AO22" s="259"/>
      <c r="AP22" s="259"/>
      <c r="AQ22" s="259"/>
      <c r="AR22" s="259"/>
      <c r="AS22" s="259"/>
      <c r="AT22" s="259"/>
      <c r="AU22" s="259"/>
      <c r="AV22" s="259"/>
      <c r="AW22" s="259"/>
      <c r="AX22" s="259"/>
      <c r="AY22" s="259"/>
      <c r="AZ22" s="259"/>
      <c r="BA22" s="259"/>
      <c r="BB22" s="259"/>
      <c r="BC22" s="259"/>
      <c r="BD22" s="259"/>
      <c r="BE22" s="259"/>
      <c r="BF22" s="259"/>
      <c r="BG22" s="259"/>
      <c r="BH22" s="259"/>
      <c r="BI22" s="259"/>
      <c r="BJ22" s="259"/>
      <c r="BK22" s="259"/>
      <c r="BL22" s="259"/>
      <c r="BM22" s="259"/>
      <c r="BN22" s="259"/>
      <c r="BO22" s="259"/>
      <c r="BP22" s="259"/>
      <c r="BQ22" s="259"/>
      <c r="BR22" s="259"/>
      <c r="BS22" s="259"/>
      <c r="BT22" s="259"/>
      <c r="BU22" s="259"/>
      <c r="BV22" s="259"/>
      <c r="BW22" s="259"/>
      <c r="BX22" s="259"/>
      <c r="BY22" s="259"/>
      <c r="BZ22" s="259"/>
      <c r="CA22" s="259"/>
      <c r="CB22" s="259"/>
      <c r="CC22" s="259"/>
      <c r="CD22" s="259"/>
      <c r="CE22" s="259"/>
      <c r="CF22" s="259"/>
      <c r="CG22" s="259"/>
      <c r="CH22" s="259"/>
      <c r="CI22" s="259"/>
      <c r="CJ22" s="259"/>
      <c r="CK22" s="259"/>
      <c r="CL22" s="259"/>
      <c r="CM22" s="259"/>
      <c r="CN22" s="259"/>
      <c r="CO22" s="259"/>
      <c r="CP22" s="259"/>
      <c r="CQ22" s="259"/>
      <c r="CR22" s="259"/>
      <c r="CS22" s="259"/>
      <c r="CT22" s="259"/>
      <c r="CU22" s="259"/>
      <c r="CV22" s="259"/>
      <c r="CW22" s="259"/>
      <c r="CX22" s="259"/>
      <c r="CY22" s="259"/>
      <c r="CZ22" s="259"/>
      <c r="DA22" s="259"/>
      <c r="DB22" s="259"/>
      <c r="DC22" s="259"/>
      <c r="DD22" s="259"/>
      <c r="DE22" s="259"/>
      <c r="DF22" s="259"/>
      <c r="DG22" s="259"/>
      <c r="DH22" s="259"/>
      <c r="DI22" s="259"/>
      <c r="DJ22" s="259"/>
      <c r="DK22" s="259"/>
      <c r="DL22" s="259"/>
      <c r="DM22" s="259"/>
      <c r="DN22" s="259"/>
      <c r="DO22" s="259"/>
      <c r="DP22" s="259"/>
      <c r="DQ22" s="259"/>
      <c r="DR22" s="259"/>
      <c r="DS22" s="259"/>
      <c r="DT22" s="259"/>
      <c r="DU22" s="259"/>
      <c r="DV22" s="259"/>
      <c r="DW22" s="259"/>
      <c r="DX22" s="259"/>
      <c r="DY22" s="259"/>
      <c r="DZ22" s="259"/>
      <c r="EA22" s="259"/>
      <c r="EB22" s="259"/>
      <c r="EC22" s="259"/>
      <c r="ED22" s="259"/>
      <c r="EE22" s="259"/>
      <c r="EF22" s="259"/>
      <c r="EG22" s="259"/>
      <c r="EH22" s="259"/>
      <c r="EI22" s="259"/>
      <c r="EJ22" s="259"/>
      <c r="EK22" s="259"/>
      <c r="EL22" s="259"/>
      <c r="EM22" s="259"/>
      <c r="EN22" s="259"/>
      <c r="EO22" s="259"/>
      <c r="EP22" s="259"/>
      <c r="EQ22" s="259"/>
      <c r="ER22" s="259"/>
      <c r="ES22" s="259"/>
      <c r="ET22" s="259"/>
      <c r="EU22" s="259"/>
      <c r="EV22" s="259"/>
      <c r="EW22" s="259"/>
      <c r="EX22" s="259"/>
      <c r="EY22" s="259"/>
      <c r="EZ22" s="259"/>
      <c r="FA22" s="259"/>
      <c r="FB22" s="259"/>
      <c r="FC22" s="259"/>
      <c r="FD22" s="259"/>
      <c r="FE22" s="259"/>
      <c r="FF22" s="259"/>
      <c r="FG22" s="259"/>
      <c r="FH22" s="259"/>
    </row>
    <row r="23" customFormat="false" ht="22.5" hidden="false" customHeight="true" outlineLevel="0" collapsed="false">
      <c r="A23" s="418" t="n">
        <f aca="false">'Listado CAPS'!A21</f>
        <v>0</v>
      </c>
      <c r="B23" s="418" t="n">
        <f aca="false">'Listado CAPS'!B21</f>
        <v>0</v>
      </c>
      <c r="C23" s="418" t="n">
        <f aca="false">'Listado CAPS'!C21</f>
        <v>0</v>
      </c>
      <c r="D23" s="419" t="str">
        <f aca="false">'Listado CAPS'!D21</f>
        <v>R</v>
      </c>
      <c r="E23" s="420"/>
      <c r="F23" s="421"/>
      <c r="G23" s="420"/>
      <c r="H23" s="421"/>
      <c r="I23" s="429"/>
      <c r="J23" s="328" t="n">
        <f aca="false">IF(I23="&lt;5%",((E23+G23+H23+1)/4),((E23+G23+H23)/4))</f>
        <v>0</v>
      </c>
      <c r="K23" s="423"/>
      <c r="L23" s="423"/>
      <c r="M23" s="423"/>
      <c r="N23" s="423"/>
    </row>
    <row r="24" customFormat="false" ht="22.5" hidden="false" customHeight="true" outlineLevel="0" collapsed="false">
      <c r="A24" s="418" t="n">
        <f aca="false">'Listado CAPS'!A22</f>
        <v>0</v>
      </c>
      <c r="B24" s="418" t="n">
        <f aca="false">'Listado CAPS'!B22</f>
        <v>0</v>
      </c>
      <c r="C24" s="418" t="n">
        <f aca="false">'Listado CAPS'!C22</f>
        <v>0</v>
      </c>
      <c r="D24" s="419" t="str">
        <f aca="false">'Listado CAPS'!D22</f>
        <v>S</v>
      </c>
      <c r="E24" s="420"/>
      <c r="F24" s="421"/>
      <c r="G24" s="420"/>
      <c r="H24" s="421"/>
      <c r="I24" s="429"/>
      <c r="J24" s="328" t="n">
        <f aca="false">IF(I24="&lt;5%",((E24+G24+H24+1)/4),((E24+G24+H24)/4))</f>
        <v>0</v>
      </c>
      <c r="K24" s="423"/>
      <c r="L24" s="423"/>
      <c r="M24" s="423"/>
      <c r="N24" s="423"/>
    </row>
    <row r="25" customFormat="false" ht="22.5" hidden="false" customHeight="true" outlineLevel="0" collapsed="false">
      <c r="A25" s="418" t="n">
        <f aca="false">'Listado CAPS'!A23</f>
        <v>0</v>
      </c>
      <c r="B25" s="418" t="n">
        <f aca="false">'Listado CAPS'!B23</f>
        <v>0</v>
      </c>
      <c r="C25" s="418" t="n">
        <f aca="false">'Listado CAPS'!C23</f>
        <v>0</v>
      </c>
      <c r="D25" s="419" t="str">
        <f aca="false">'Listado CAPS'!D23</f>
        <v>T</v>
      </c>
      <c r="E25" s="420"/>
      <c r="F25" s="421"/>
      <c r="G25" s="420"/>
      <c r="H25" s="421"/>
      <c r="I25" s="429"/>
      <c r="J25" s="328" t="n">
        <f aca="false">IF(I25="&lt;5%",((E25+G25+H25+1)/4),((E25+G25+H25)/4))</f>
        <v>0</v>
      </c>
      <c r="K25" s="423"/>
      <c r="L25" s="423"/>
      <c r="M25" s="423"/>
      <c r="N25" s="423"/>
    </row>
    <row r="26" customFormat="false" ht="22.5" hidden="false" customHeight="true" outlineLevel="0" collapsed="false">
      <c r="A26" s="418" t="n">
        <f aca="false">'Listado CAPS'!A24</f>
        <v>0</v>
      </c>
      <c r="B26" s="418" t="n">
        <f aca="false">'Listado CAPS'!B24</f>
        <v>0</v>
      </c>
      <c r="C26" s="418" t="n">
        <f aca="false">'Listado CAPS'!C24</f>
        <v>0</v>
      </c>
      <c r="D26" s="419" t="str">
        <f aca="false">'Listado CAPS'!D24</f>
        <v>U</v>
      </c>
      <c r="E26" s="420"/>
      <c r="F26" s="421"/>
      <c r="G26" s="420"/>
      <c r="H26" s="421"/>
      <c r="I26" s="429"/>
      <c r="J26" s="328" t="n">
        <f aca="false">IF(I26="&lt;5%",((E26+G26+H26+1)/4),((E26+G26+H26)/4))</f>
        <v>0</v>
      </c>
      <c r="K26" s="423"/>
      <c r="L26" s="423"/>
      <c r="M26" s="423"/>
      <c r="N26" s="423"/>
    </row>
    <row r="27" customFormat="false" ht="22.5" hidden="false" customHeight="true" outlineLevel="0" collapsed="false">
      <c r="A27" s="418" t="n">
        <f aca="false">'Listado CAPS'!A25</f>
        <v>0</v>
      </c>
      <c r="B27" s="418" t="n">
        <f aca="false">'Listado CAPS'!B25</f>
        <v>0</v>
      </c>
      <c r="C27" s="418" t="n">
        <f aca="false">'Listado CAPS'!C25</f>
        <v>0</v>
      </c>
      <c r="D27" s="419" t="str">
        <f aca="false">'Listado CAPS'!D25</f>
        <v>V</v>
      </c>
      <c r="E27" s="420"/>
      <c r="F27" s="421"/>
      <c r="G27" s="420"/>
      <c r="H27" s="421"/>
      <c r="I27" s="429"/>
      <c r="J27" s="328" t="n">
        <f aca="false">IF(I27="&lt;5%",((E27+G27+H27+1)/4),((E27+G27+H27)/4))</f>
        <v>0</v>
      </c>
      <c r="K27" s="423"/>
      <c r="L27" s="423"/>
      <c r="M27" s="423"/>
      <c r="N27" s="423"/>
    </row>
    <row r="28" customFormat="false" ht="22.5" hidden="false" customHeight="true" outlineLevel="0" collapsed="false">
      <c r="A28" s="418" t="n">
        <f aca="false">'Listado CAPS'!A26</f>
        <v>0</v>
      </c>
      <c r="B28" s="418" t="n">
        <f aca="false">'Listado CAPS'!B26</f>
        <v>0</v>
      </c>
      <c r="C28" s="418" t="n">
        <f aca="false">'Listado CAPS'!C26</f>
        <v>0</v>
      </c>
      <c r="D28" s="419" t="str">
        <f aca="false">'Listado CAPS'!D26</f>
        <v>W</v>
      </c>
      <c r="E28" s="420"/>
      <c r="F28" s="421"/>
      <c r="G28" s="420"/>
      <c r="H28" s="421"/>
      <c r="I28" s="429"/>
      <c r="J28" s="328" t="n">
        <f aca="false">IF(I28="&lt;5%",((E28+G28+H28+1)/4),((E28+G28+H28)/4))</f>
        <v>0</v>
      </c>
      <c r="K28" s="423"/>
      <c r="L28" s="423"/>
      <c r="M28" s="423"/>
      <c r="N28" s="423"/>
    </row>
    <row r="29" customFormat="false" ht="22.5" hidden="false" customHeight="true" outlineLevel="0" collapsed="false">
      <c r="A29" s="418" t="n">
        <f aca="false">'Listado CAPS'!A27</f>
        <v>0</v>
      </c>
      <c r="B29" s="418" t="n">
        <f aca="false">'Listado CAPS'!B27</f>
        <v>0</v>
      </c>
      <c r="C29" s="418" t="n">
        <f aca="false">'Listado CAPS'!C27</f>
        <v>0</v>
      </c>
      <c r="D29" s="419" t="str">
        <f aca="false">'Listado CAPS'!D27</f>
        <v>X</v>
      </c>
      <c r="E29" s="420"/>
      <c r="F29" s="421"/>
      <c r="G29" s="420"/>
      <c r="H29" s="421"/>
      <c r="I29" s="429"/>
      <c r="J29" s="328" t="n">
        <f aca="false">IF(I29="&lt;5%",((E29+G29+H29+1)/4),((E29+G29+H29)/4))</f>
        <v>0</v>
      </c>
      <c r="K29" s="423"/>
      <c r="L29" s="423"/>
      <c r="M29" s="423"/>
      <c r="N29" s="423"/>
    </row>
    <row r="30" customFormat="false" ht="22.5" hidden="false" customHeight="true" outlineLevel="0" collapsed="false">
      <c r="A30" s="418" t="n">
        <f aca="false">'Listado CAPS'!A28</f>
        <v>0</v>
      </c>
      <c r="B30" s="418" t="n">
        <f aca="false">'Listado CAPS'!B28</f>
        <v>0</v>
      </c>
      <c r="C30" s="418" t="n">
        <f aca="false">'Listado CAPS'!C28</f>
        <v>0</v>
      </c>
      <c r="D30" s="419" t="str">
        <f aca="false">'Listado CAPS'!D28</f>
        <v>Y</v>
      </c>
      <c r="E30" s="420"/>
      <c r="F30" s="421"/>
      <c r="G30" s="420"/>
      <c r="H30" s="421"/>
      <c r="I30" s="432"/>
      <c r="J30" s="328" t="n">
        <f aca="false">IF(I30="&lt;5%",((E30+G30+H30+1)/4),((E30+G30+H30)/4))</f>
        <v>0</v>
      </c>
      <c r="K30" s="423"/>
      <c r="L30" s="423"/>
      <c r="M30" s="423"/>
      <c r="N30" s="423"/>
    </row>
    <row r="31" customFormat="false" ht="22.5" hidden="false" customHeight="true" outlineLevel="0" collapsed="false">
      <c r="F31" s="402"/>
      <c r="G31" s="402"/>
      <c r="H31" s="402"/>
      <c r="I31" s="402"/>
      <c r="J31" s="402"/>
    </row>
    <row r="32" customFormat="false" ht="22.5" hidden="false" customHeight="true" outlineLevel="0" collapsed="false">
      <c r="F32" s="402"/>
      <c r="G32" s="402"/>
      <c r="H32" s="402"/>
      <c r="I32" s="402"/>
      <c r="J32" s="402"/>
    </row>
    <row r="33" customFormat="false" ht="15" hidden="false" customHeight="true" outlineLevel="0" collapsed="false">
      <c r="F33" s="402"/>
      <c r="G33" s="402"/>
      <c r="H33" s="402"/>
      <c r="I33" s="402"/>
      <c r="J33" s="402"/>
    </row>
    <row r="34" customFormat="false" ht="15" hidden="false" customHeight="true" outlineLevel="0" collapsed="false">
      <c r="F34" s="402"/>
      <c r="G34" s="402"/>
      <c r="H34" s="402"/>
      <c r="I34" s="402"/>
      <c r="J34" s="402"/>
    </row>
    <row r="35" customFormat="false" ht="22.5" hidden="false" customHeight="true" outlineLevel="0" collapsed="false">
      <c r="F35" s="402"/>
      <c r="G35" s="402"/>
      <c r="H35" s="402"/>
      <c r="I35" s="402"/>
      <c r="J35" s="402"/>
    </row>
    <row r="36" customFormat="false" ht="22.5" hidden="false" customHeight="true" outlineLevel="0" collapsed="false">
      <c r="F36" s="402"/>
      <c r="G36" s="402"/>
      <c r="H36" s="402"/>
      <c r="I36" s="402"/>
      <c r="J36" s="402"/>
    </row>
    <row r="37" customFormat="false" ht="22.5" hidden="false" customHeight="true" outlineLevel="0" collapsed="false"/>
    <row r="38" customFormat="false" ht="22.5" hidden="false" customHeight="true" outlineLevel="0" collapsed="false"/>
  </sheetData>
  <mergeCells count="45">
    <mergeCell ref="B1:C1"/>
    <mergeCell ref="D1:L1"/>
    <mergeCell ref="M1:N1"/>
    <mergeCell ref="C2:E2"/>
    <mergeCell ref="F2:I2"/>
    <mergeCell ref="J2:L2"/>
    <mergeCell ref="A3:A4"/>
    <mergeCell ref="B3:B4"/>
    <mergeCell ref="C3:C4"/>
    <mergeCell ref="D3:D4"/>
    <mergeCell ref="E3:E4"/>
    <mergeCell ref="F3:F4"/>
    <mergeCell ref="G3:G4"/>
    <mergeCell ref="H3:H4"/>
    <mergeCell ref="I3:I4"/>
    <mergeCell ref="J3:J4"/>
    <mergeCell ref="K3:K4"/>
    <mergeCell ref="L3:L4"/>
    <mergeCell ref="M3:N4"/>
    <mergeCell ref="M5:N5"/>
    <mergeCell ref="M6:N6"/>
    <mergeCell ref="M7:N7"/>
    <mergeCell ref="M8:N8"/>
    <mergeCell ref="M9:N9"/>
    <mergeCell ref="M10:N10"/>
    <mergeCell ref="M11:N11"/>
    <mergeCell ref="M12:N12"/>
    <mergeCell ref="M13:N13"/>
    <mergeCell ref="M14:N14"/>
    <mergeCell ref="M15:N15"/>
    <mergeCell ref="M16:N16"/>
    <mergeCell ref="M17:N17"/>
    <mergeCell ref="M18:N18"/>
    <mergeCell ref="M19:N19"/>
    <mergeCell ref="M20:N20"/>
    <mergeCell ref="M21:N21"/>
    <mergeCell ref="M22:N22"/>
    <mergeCell ref="M23:N23"/>
    <mergeCell ref="M24:N24"/>
    <mergeCell ref="M25:N25"/>
    <mergeCell ref="M26:N26"/>
    <mergeCell ref="M27:N27"/>
    <mergeCell ref="M28:N28"/>
    <mergeCell ref="M29:N29"/>
    <mergeCell ref="M30:N30"/>
  </mergeCells>
  <dataValidations count="4">
    <dataValidation allowBlank="true" errorStyle="stop" operator="between" showDropDown="false" showErrorMessage="true" showInputMessage="true" sqref="F5:F30" type="list">
      <formula1>$O$5:$O$8</formula1>
      <formula2>0</formula2>
    </dataValidation>
    <dataValidation allowBlank="true" errorStyle="stop" operator="between" showDropDown="false" showErrorMessage="true" showInputMessage="true" sqref="G5:H30" type="whole">
      <formula1>0</formula1>
      <formula2>1</formula2>
    </dataValidation>
    <dataValidation allowBlank="true" errorStyle="stop" operator="between" showDropDown="false" showErrorMessage="true" showInputMessage="true" sqref="I5:I20" type="list">
      <formula1>$O$11:$O$13</formula1>
      <formula2>0</formula2>
    </dataValidation>
    <dataValidation allowBlank="false" errorStyle="stop" operator="between" showDropDown="false" showErrorMessage="true" showInputMessage="true" sqref="E5:E30" type="whole">
      <formula1>0</formula1>
      <formula2>1</formula2>
    </dataValidation>
  </dataValidations>
  <hyperlinks>
    <hyperlink ref="B1" location="'Tabla de Contenidos'!A1" display="Volver a Tabla de contenidos"/>
    <hyperlink ref="M1" location="'RESULTADO FINAL SOSTENIBILIDAD'!A1" display="Ir a Resultados Finales"/>
  </hyperlinks>
  <printOptions headings="false" gridLines="false" gridLinesSet="true" horizontalCentered="false" verticalCentered="false"/>
  <pageMargins left="0.708333333333333" right="0.708333333333333" top="0.747916666666667" bottom="0.748611111111111" header="0.511811023622047" footer="0.315277777777778"/>
  <pageSetup paperSize="5" scale="55" fitToWidth="1" fitToHeight="1" pageOrder="downThenOver" orientation="landscape" blackAndWhite="false" draft="false" cellComments="none" horizontalDpi="300" verticalDpi="300" copies="1"/>
  <headerFooter differentFirst="false" differentOddEven="false">
    <oddHeader/>
    <oddFooter>&amp;C&amp;Pde&amp;N&amp;R&amp;F</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EEB"/>
    <pageSetUpPr fitToPage="false"/>
  </sheetPr>
  <dimension ref="A1:FG3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G1" activeCellId="0" sqref="G1"/>
    </sheetView>
  </sheetViews>
  <sheetFormatPr defaultColWidth="11.43359375" defaultRowHeight="15.75" customHeight="false" zeroHeight="false" outlineLevelRow="0" outlineLevelCol="0"/>
  <cols>
    <col collapsed="false" customWidth="true" hidden="false" outlineLevel="0" max="1" min="1" style="259" width="16.43"/>
    <col collapsed="false" customWidth="true" hidden="false" outlineLevel="0" max="2" min="2" style="259" width="12.29"/>
    <col collapsed="false" customWidth="true" hidden="false" outlineLevel="0" max="3" min="3" style="259" width="13.86"/>
    <col collapsed="false" customWidth="true" hidden="false" outlineLevel="0" max="4" min="4" style="259" width="25.29"/>
    <col collapsed="false" customWidth="true" hidden="false" outlineLevel="0" max="5" min="5" style="36" width="19.86"/>
    <col collapsed="false" customWidth="true" hidden="false" outlineLevel="0" max="6" min="6" style="36" width="17.57"/>
    <col collapsed="false" customWidth="true" hidden="false" outlineLevel="0" max="7" min="7" style="401" width="21.29"/>
    <col collapsed="false" customWidth="true" hidden="false" outlineLevel="0" max="8" min="8" style="401" width="17.15"/>
    <col collapsed="false" customWidth="true" hidden="false" outlineLevel="0" max="9" min="9" style="401" width="16.43"/>
    <col collapsed="false" customWidth="true" hidden="false" outlineLevel="0" max="10" min="10" style="402" width="21.43"/>
    <col collapsed="false" customWidth="true" hidden="false" outlineLevel="0" max="11" min="11" style="402" width="16.71"/>
    <col collapsed="false" customWidth="true" hidden="false" outlineLevel="0" max="12" min="12" style="402" width="14.57"/>
    <col collapsed="false" customWidth="true" hidden="false" outlineLevel="0" max="13" min="13" style="402" width="6.57"/>
    <col collapsed="false" customWidth="true" hidden="false" outlineLevel="0" max="14" min="14" style="259" width="13.42"/>
    <col collapsed="false" customWidth="true" hidden="false" outlineLevel="0" max="15" min="15" style="259" width="12.86"/>
    <col collapsed="false" customWidth="true" hidden="false" outlineLevel="0" max="16" min="16" style="259" width="12.42"/>
    <col collapsed="false" customWidth="true" hidden="false" outlineLevel="0" max="17" min="17" style="259" width="14.42"/>
    <col collapsed="false" customWidth="true" hidden="false" outlineLevel="0" max="18" min="18" style="259" width="9.86"/>
    <col collapsed="false" customWidth="true" hidden="false" outlineLevel="0" max="19" min="19" style="259" width="17.15"/>
    <col collapsed="false" customWidth="true" hidden="false" outlineLevel="0" max="21" min="20" style="259" width="4.71"/>
    <col collapsed="false" customWidth="true" hidden="false" outlineLevel="0" max="22" min="22" style="259" width="16.71"/>
    <col collapsed="false" customWidth="true" hidden="false" outlineLevel="0" max="23" min="23" style="259" width="11"/>
    <col collapsed="false" customWidth="false" hidden="false" outlineLevel="0" max="16384" min="24" style="259" width="11.43"/>
  </cols>
  <sheetData>
    <row r="1" s="406" customFormat="true" ht="52.5" hidden="false" customHeight="true" outlineLevel="0" collapsed="false">
      <c r="A1" s="403"/>
      <c r="B1" s="188" t="s">
        <v>246</v>
      </c>
      <c r="C1" s="188"/>
      <c r="D1" s="433" t="s">
        <v>429</v>
      </c>
      <c r="E1" s="433"/>
      <c r="F1" s="433"/>
      <c r="G1" s="434" t="s">
        <v>176</v>
      </c>
      <c r="H1" s="435"/>
      <c r="I1" s="436"/>
      <c r="J1" s="436"/>
      <c r="N1" s="259"/>
      <c r="O1" s="259"/>
      <c r="P1" s="259"/>
      <c r="Q1" s="259"/>
      <c r="R1" s="259"/>
      <c r="S1" s="259"/>
      <c r="T1" s="259"/>
      <c r="U1" s="259"/>
      <c r="V1" s="259"/>
      <c r="W1" s="259"/>
      <c r="X1" s="259"/>
      <c r="Y1" s="259"/>
      <c r="Z1" s="259"/>
      <c r="AA1" s="259"/>
      <c r="AB1" s="259"/>
      <c r="AC1" s="259"/>
      <c r="AD1" s="259"/>
      <c r="AE1" s="259"/>
      <c r="AF1" s="259"/>
      <c r="AG1" s="259"/>
      <c r="AH1" s="259"/>
      <c r="AI1" s="259"/>
      <c r="AJ1" s="259"/>
      <c r="AK1" s="259"/>
      <c r="AL1" s="259"/>
      <c r="AM1" s="259"/>
      <c r="AN1" s="259"/>
      <c r="AO1" s="259"/>
      <c r="AP1" s="259"/>
      <c r="AQ1" s="259"/>
      <c r="AR1" s="259"/>
      <c r="AS1" s="259"/>
      <c r="AT1" s="259"/>
      <c r="AU1" s="259"/>
      <c r="AV1" s="259"/>
      <c r="AW1" s="259"/>
      <c r="AX1" s="259"/>
      <c r="AY1" s="259"/>
      <c r="AZ1" s="259"/>
      <c r="BA1" s="259"/>
      <c r="BB1" s="259"/>
      <c r="BC1" s="259"/>
      <c r="BD1" s="259"/>
      <c r="BE1" s="259"/>
      <c r="BF1" s="259"/>
      <c r="BG1" s="259"/>
      <c r="BH1" s="259"/>
      <c r="BI1" s="259"/>
      <c r="BJ1" s="259"/>
      <c r="BK1" s="259"/>
      <c r="BL1" s="259"/>
      <c r="BM1" s="259"/>
      <c r="BN1" s="259"/>
      <c r="BO1" s="259"/>
      <c r="BP1" s="259"/>
      <c r="BQ1" s="259"/>
      <c r="BR1" s="259"/>
      <c r="BS1" s="259"/>
      <c r="BT1" s="259"/>
      <c r="BU1" s="259"/>
      <c r="BV1" s="259"/>
      <c r="BW1" s="259"/>
      <c r="BX1" s="259"/>
      <c r="BY1" s="259"/>
      <c r="BZ1" s="259"/>
      <c r="CA1" s="259"/>
      <c r="CB1" s="259"/>
      <c r="CC1" s="259"/>
      <c r="CD1" s="259"/>
      <c r="CE1" s="259"/>
      <c r="CF1" s="259"/>
      <c r="CG1" s="259"/>
      <c r="CH1" s="259"/>
      <c r="CI1" s="259"/>
      <c r="CJ1" s="259"/>
      <c r="CK1" s="259"/>
      <c r="CL1" s="259"/>
      <c r="CM1" s="259"/>
      <c r="CN1" s="259"/>
      <c r="CO1" s="259"/>
      <c r="CP1" s="259"/>
      <c r="CQ1" s="259"/>
      <c r="CR1" s="259"/>
      <c r="CS1" s="259"/>
      <c r="CT1" s="259"/>
      <c r="CU1" s="259"/>
      <c r="CV1" s="259"/>
      <c r="CW1" s="259"/>
      <c r="CX1" s="259"/>
      <c r="CY1" s="259"/>
      <c r="CZ1" s="259"/>
      <c r="DA1" s="259"/>
      <c r="DB1" s="259"/>
      <c r="DC1" s="259"/>
      <c r="DD1" s="259"/>
      <c r="DE1" s="259"/>
      <c r="DF1" s="259"/>
      <c r="DG1" s="259"/>
      <c r="DH1" s="259"/>
      <c r="DI1" s="259"/>
      <c r="DJ1" s="259"/>
      <c r="DK1" s="259"/>
      <c r="DL1" s="259"/>
      <c r="DM1" s="259"/>
      <c r="DN1" s="259"/>
      <c r="DO1" s="259"/>
      <c r="DP1" s="259"/>
      <c r="DQ1" s="259"/>
      <c r="DR1" s="259"/>
      <c r="DS1" s="259"/>
      <c r="DT1" s="259"/>
      <c r="DU1" s="259"/>
      <c r="DV1" s="259"/>
      <c r="DW1" s="259"/>
      <c r="DX1" s="259"/>
      <c r="DY1" s="259"/>
      <c r="DZ1" s="259"/>
      <c r="EA1" s="259"/>
      <c r="EB1" s="259"/>
      <c r="EC1" s="259"/>
      <c r="ED1" s="259"/>
      <c r="EE1" s="259"/>
      <c r="EF1" s="259"/>
      <c r="EG1" s="259"/>
      <c r="EH1" s="259"/>
      <c r="EI1" s="259"/>
      <c r="EJ1" s="259"/>
      <c r="EK1" s="259"/>
      <c r="EL1" s="259"/>
      <c r="EM1" s="259"/>
      <c r="EN1" s="259"/>
      <c r="EO1" s="259"/>
      <c r="EP1" s="259"/>
      <c r="EQ1" s="259"/>
      <c r="ER1" s="259"/>
      <c r="ES1" s="259"/>
      <c r="ET1" s="259"/>
      <c r="EU1" s="259"/>
      <c r="EV1" s="259"/>
      <c r="EW1" s="259"/>
      <c r="EX1" s="259"/>
      <c r="EY1" s="259"/>
      <c r="EZ1" s="259"/>
      <c r="FA1" s="259"/>
      <c r="FB1" s="259"/>
      <c r="FC1" s="259"/>
      <c r="FD1" s="259"/>
      <c r="FE1" s="259"/>
      <c r="FF1" s="259"/>
      <c r="FG1" s="259"/>
    </row>
    <row r="2" s="406" customFormat="true" ht="56.25" hidden="false" customHeight="true" outlineLevel="0" collapsed="false">
      <c r="A2" s="315"/>
      <c r="B2" s="315"/>
      <c r="C2" s="437" t="s">
        <v>430</v>
      </c>
      <c r="D2" s="437"/>
      <c r="E2" s="438" t="s">
        <v>431</v>
      </c>
      <c r="F2" s="438"/>
      <c r="G2" s="315"/>
      <c r="H2" s="315"/>
      <c r="I2" s="315"/>
      <c r="J2" s="315"/>
      <c r="K2" s="315"/>
      <c r="N2" s="259"/>
      <c r="O2" s="259"/>
      <c r="P2" s="259"/>
      <c r="Q2" s="259"/>
      <c r="R2" s="259"/>
      <c r="S2" s="259"/>
      <c r="T2" s="259"/>
      <c r="U2" s="259"/>
      <c r="V2" s="259"/>
      <c r="W2" s="259"/>
      <c r="X2" s="259"/>
      <c r="Y2" s="259"/>
      <c r="Z2" s="259"/>
      <c r="AA2" s="259"/>
      <c r="AB2" s="259"/>
      <c r="AC2" s="259"/>
      <c r="AD2" s="259"/>
      <c r="AE2" s="259"/>
      <c r="AF2" s="259"/>
      <c r="AG2" s="259"/>
      <c r="AH2" s="259"/>
      <c r="AI2" s="259"/>
      <c r="AJ2" s="259"/>
      <c r="AK2" s="259"/>
      <c r="AL2" s="259"/>
      <c r="AM2" s="259"/>
      <c r="AN2" s="259"/>
      <c r="AO2" s="259"/>
      <c r="AP2" s="259"/>
      <c r="AQ2" s="259"/>
      <c r="AR2" s="259"/>
      <c r="AS2" s="259"/>
      <c r="AT2" s="259"/>
      <c r="AU2" s="259"/>
      <c r="AV2" s="259"/>
      <c r="AW2" s="259"/>
      <c r="AX2" s="259"/>
      <c r="AY2" s="259"/>
      <c r="AZ2" s="259"/>
      <c r="BA2" s="259"/>
      <c r="BB2" s="259"/>
      <c r="BC2" s="259"/>
      <c r="BD2" s="259"/>
      <c r="BE2" s="259"/>
      <c r="BF2" s="259"/>
      <c r="BG2" s="259"/>
      <c r="BH2" s="259"/>
      <c r="BI2" s="259"/>
      <c r="BJ2" s="259"/>
      <c r="BK2" s="259"/>
      <c r="BL2" s="259"/>
      <c r="BM2" s="259"/>
      <c r="BN2" s="259"/>
      <c r="BO2" s="259"/>
      <c r="BP2" s="259"/>
      <c r="BQ2" s="259"/>
      <c r="BR2" s="259"/>
      <c r="BS2" s="259"/>
      <c r="BT2" s="259"/>
      <c r="BU2" s="259"/>
      <c r="BV2" s="259"/>
      <c r="BW2" s="259"/>
      <c r="BX2" s="259"/>
      <c r="BY2" s="259"/>
      <c r="BZ2" s="259"/>
      <c r="CA2" s="259"/>
      <c r="CB2" s="259"/>
      <c r="CC2" s="259"/>
      <c r="CD2" s="259"/>
      <c r="CE2" s="259"/>
      <c r="CF2" s="259"/>
      <c r="CG2" s="259"/>
      <c r="CH2" s="259"/>
      <c r="CI2" s="259"/>
      <c r="CJ2" s="259"/>
      <c r="CK2" s="259"/>
      <c r="CL2" s="259"/>
      <c r="CM2" s="259"/>
      <c r="CN2" s="259"/>
      <c r="CO2" s="259"/>
      <c r="CP2" s="259"/>
      <c r="CQ2" s="259"/>
      <c r="CR2" s="259"/>
      <c r="CS2" s="259"/>
      <c r="CT2" s="259"/>
      <c r="CU2" s="259"/>
      <c r="CV2" s="259"/>
      <c r="CW2" s="259"/>
      <c r="CX2" s="259"/>
      <c r="CY2" s="259"/>
      <c r="CZ2" s="259"/>
      <c r="DA2" s="259"/>
      <c r="DB2" s="259"/>
      <c r="DC2" s="259"/>
      <c r="DD2" s="259"/>
      <c r="DE2" s="259"/>
      <c r="DF2" s="259"/>
      <c r="DG2" s="259"/>
      <c r="DH2" s="259"/>
      <c r="DI2" s="259"/>
      <c r="DJ2" s="259"/>
      <c r="DK2" s="259"/>
      <c r="DL2" s="259"/>
      <c r="DM2" s="259"/>
      <c r="DN2" s="259"/>
      <c r="DO2" s="259"/>
      <c r="DP2" s="259"/>
      <c r="DQ2" s="259"/>
      <c r="DR2" s="259"/>
      <c r="DS2" s="259"/>
      <c r="DT2" s="259"/>
      <c r="DU2" s="259"/>
      <c r="DV2" s="259"/>
      <c r="DW2" s="259"/>
      <c r="DX2" s="259"/>
      <c r="DY2" s="259"/>
      <c r="DZ2" s="259"/>
      <c r="EA2" s="259"/>
      <c r="EB2" s="259"/>
      <c r="EC2" s="259"/>
      <c r="ED2" s="259"/>
      <c r="EE2" s="259"/>
      <c r="EF2" s="259"/>
      <c r="EG2" s="259"/>
      <c r="EH2" s="259"/>
      <c r="EI2" s="259"/>
      <c r="EJ2" s="259"/>
      <c r="EK2" s="259"/>
      <c r="EL2" s="259"/>
      <c r="EM2" s="259"/>
      <c r="EN2" s="259"/>
      <c r="EO2" s="259"/>
      <c r="EP2" s="259"/>
      <c r="EQ2" s="259"/>
      <c r="ER2" s="259"/>
      <c r="ES2" s="259"/>
      <c r="ET2" s="259"/>
      <c r="EU2" s="259"/>
      <c r="EV2" s="259"/>
      <c r="EW2" s="259"/>
      <c r="EX2" s="259"/>
      <c r="EY2" s="259"/>
      <c r="EZ2" s="259"/>
      <c r="FA2" s="259"/>
      <c r="FB2" s="259"/>
      <c r="FC2" s="259"/>
      <c r="FD2" s="259"/>
      <c r="FE2" s="259"/>
      <c r="FF2" s="259"/>
      <c r="FG2" s="259"/>
    </row>
    <row r="3" s="282" customFormat="true" ht="47.25" hidden="false" customHeight="true" outlineLevel="0" collapsed="false">
      <c r="A3" s="439" t="s">
        <v>315</v>
      </c>
      <c r="B3" s="439" t="s">
        <v>17</v>
      </c>
      <c r="C3" s="439" t="s">
        <v>317</v>
      </c>
      <c r="D3" s="440" t="s">
        <v>318</v>
      </c>
      <c r="E3" s="441" t="s">
        <v>432</v>
      </c>
      <c r="F3" s="441" t="s">
        <v>433</v>
      </c>
      <c r="G3" s="442" t="s">
        <v>131</v>
      </c>
      <c r="H3" s="442" t="s">
        <v>132</v>
      </c>
      <c r="I3" s="442" t="s">
        <v>362</v>
      </c>
      <c r="J3" s="442"/>
      <c r="M3" s="402"/>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59"/>
      <c r="AV3" s="259"/>
      <c r="AW3" s="259"/>
      <c r="AX3" s="259"/>
      <c r="AY3" s="259"/>
      <c r="AZ3" s="259"/>
      <c r="BA3" s="259"/>
      <c r="BB3" s="259"/>
      <c r="BC3" s="259"/>
      <c r="BD3" s="259"/>
      <c r="BE3" s="259"/>
      <c r="BF3" s="259"/>
      <c r="BG3" s="259"/>
      <c r="BH3" s="259"/>
      <c r="BI3" s="259"/>
      <c r="BJ3" s="259"/>
      <c r="BK3" s="259"/>
      <c r="BL3" s="259"/>
      <c r="BM3" s="259"/>
      <c r="BN3" s="259"/>
      <c r="BO3" s="259"/>
      <c r="BP3" s="259"/>
      <c r="BQ3" s="259"/>
      <c r="BR3" s="259"/>
      <c r="BS3" s="259"/>
      <c r="BT3" s="259"/>
      <c r="BU3" s="259"/>
      <c r="BV3" s="259"/>
      <c r="BW3" s="259"/>
      <c r="BX3" s="259"/>
      <c r="BY3" s="259"/>
      <c r="BZ3" s="259"/>
      <c r="CA3" s="259"/>
      <c r="CB3" s="259"/>
      <c r="CC3" s="259"/>
      <c r="CD3" s="259"/>
      <c r="CE3" s="259"/>
      <c r="CF3" s="259"/>
      <c r="CG3" s="259"/>
      <c r="CH3" s="259"/>
      <c r="CI3" s="259"/>
      <c r="CJ3" s="259"/>
      <c r="CK3" s="259"/>
      <c r="CL3" s="259"/>
      <c r="CM3" s="259"/>
      <c r="CN3" s="259"/>
      <c r="CO3" s="259"/>
      <c r="CP3" s="259"/>
      <c r="CQ3" s="259"/>
      <c r="CR3" s="259"/>
      <c r="CS3" s="259"/>
      <c r="CT3" s="259"/>
      <c r="CU3" s="259"/>
      <c r="CV3" s="259"/>
      <c r="CW3" s="259"/>
      <c r="CX3" s="259"/>
      <c r="CY3" s="259"/>
      <c r="CZ3" s="259"/>
      <c r="DA3" s="259"/>
      <c r="DB3" s="259"/>
      <c r="DC3" s="259"/>
      <c r="DD3" s="259"/>
      <c r="DE3" s="259"/>
      <c r="DF3" s="259"/>
      <c r="DG3" s="259"/>
      <c r="DH3" s="259"/>
      <c r="DI3" s="259"/>
      <c r="DJ3" s="259"/>
      <c r="DK3" s="259"/>
      <c r="DL3" s="259"/>
      <c r="DM3" s="259"/>
      <c r="DN3" s="259"/>
      <c r="DO3" s="259"/>
      <c r="DP3" s="259"/>
      <c r="DQ3" s="259"/>
      <c r="DR3" s="259"/>
      <c r="DS3" s="259"/>
      <c r="DT3" s="259"/>
      <c r="DU3" s="259"/>
      <c r="DV3" s="259"/>
      <c r="DW3" s="259"/>
      <c r="DX3" s="259"/>
      <c r="DY3" s="259"/>
      <c r="DZ3" s="259"/>
      <c r="EA3" s="259"/>
      <c r="EB3" s="259"/>
      <c r="EC3" s="259"/>
      <c r="ED3" s="259"/>
      <c r="EE3" s="259"/>
      <c r="EF3" s="259"/>
      <c r="EG3" s="259"/>
      <c r="EH3" s="259"/>
      <c r="EI3" s="259"/>
      <c r="EJ3" s="259"/>
      <c r="EK3" s="259"/>
      <c r="EL3" s="259"/>
      <c r="EM3" s="259"/>
      <c r="EN3" s="259"/>
      <c r="EO3" s="259"/>
      <c r="EP3" s="259"/>
      <c r="EQ3" s="259"/>
      <c r="ER3" s="259"/>
      <c r="ES3" s="259"/>
      <c r="ET3" s="259"/>
      <c r="EU3" s="259"/>
      <c r="EV3" s="259"/>
      <c r="EW3" s="259"/>
      <c r="EX3" s="259"/>
      <c r="EY3" s="259"/>
      <c r="EZ3" s="259"/>
      <c r="FA3" s="259"/>
      <c r="FB3" s="259"/>
      <c r="FC3" s="259"/>
      <c r="FD3" s="259"/>
      <c r="FE3" s="259"/>
      <c r="FF3" s="259"/>
      <c r="FG3" s="259"/>
    </row>
    <row r="4" customFormat="false" ht="82.5" hidden="false" customHeight="true" outlineLevel="0" collapsed="false">
      <c r="A4" s="439"/>
      <c r="B4" s="439"/>
      <c r="C4" s="439"/>
      <c r="D4" s="440"/>
      <c r="E4" s="441"/>
      <c r="F4" s="441"/>
      <c r="G4" s="442"/>
      <c r="H4" s="442"/>
      <c r="I4" s="442"/>
      <c r="J4" s="442"/>
    </row>
    <row r="5" customFormat="false" ht="19.5" hidden="false" customHeight="true" outlineLevel="0" collapsed="false">
      <c r="A5" s="443" t="str">
        <f aca="false">'Listado CAPS'!A3</f>
        <v>Madriz</v>
      </c>
      <c r="B5" s="443" t="str">
        <f aca="false">'Listado CAPS'!B3</f>
        <v>Yalaguina</v>
      </c>
      <c r="C5" s="443" t="str">
        <f aca="false">'Listado CAPS'!C3</f>
        <v>Los Encuentros</v>
      </c>
      <c r="D5" s="419" t="str">
        <f aca="false">'Listado CAPS'!D3</f>
        <v>Los Encuentros</v>
      </c>
      <c r="E5" s="444" t="n">
        <v>1</v>
      </c>
      <c r="F5" s="445" t="n">
        <v>1</v>
      </c>
      <c r="G5" s="446"/>
      <c r="H5" s="447"/>
      <c r="I5" s="448"/>
      <c r="J5" s="448"/>
    </row>
    <row r="6" customFormat="false" ht="22.5" hidden="false" customHeight="true" outlineLevel="0" collapsed="false">
      <c r="A6" s="443" t="n">
        <f aca="false">'Listado CAPS'!A4</f>
        <v>0</v>
      </c>
      <c r="B6" s="443" t="n">
        <f aca="false">'Listado CAPS'!B4</f>
        <v>0</v>
      </c>
      <c r="C6" s="443" t="n">
        <f aca="false">'Listado CAPS'!C4</f>
        <v>0</v>
      </c>
      <c r="D6" s="419" t="str">
        <f aca="false">'Listado CAPS'!D4</f>
        <v>B</v>
      </c>
      <c r="E6" s="449"/>
      <c r="F6" s="450"/>
      <c r="G6" s="446"/>
      <c r="H6" s="447"/>
      <c r="I6" s="448"/>
      <c r="J6" s="448"/>
    </row>
    <row r="7" customFormat="false" ht="22.5" hidden="false" customHeight="true" outlineLevel="0" collapsed="false">
      <c r="A7" s="443" t="n">
        <f aca="false">'Listado CAPS'!A5</f>
        <v>0</v>
      </c>
      <c r="B7" s="443" t="n">
        <f aca="false">'Listado CAPS'!B5</f>
        <v>0</v>
      </c>
      <c r="C7" s="443" t="n">
        <f aca="false">'Listado CAPS'!C5</f>
        <v>0</v>
      </c>
      <c r="D7" s="419" t="str">
        <f aca="false">'Listado CAPS'!D5</f>
        <v>C</v>
      </c>
      <c r="E7" s="449"/>
      <c r="F7" s="450"/>
      <c r="G7" s="451"/>
      <c r="H7" s="452"/>
      <c r="I7" s="448"/>
      <c r="J7" s="448"/>
    </row>
    <row r="8" customFormat="false" ht="22.5" hidden="false" customHeight="true" outlineLevel="0" collapsed="false">
      <c r="A8" s="443" t="n">
        <f aca="false">'Listado CAPS'!A6</f>
        <v>0</v>
      </c>
      <c r="B8" s="443" t="n">
        <f aca="false">'Listado CAPS'!B6</f>
        <v>0</v>
      </c>
      <c r="C8" s="443" t="n">
        <f aca="false">'Listado CAPS'!C6</f>
        <v>0</v>
      </c>
      <c r="D8" s="419" t="str">
        <f aca="false">'Listado CAPS'!D6</f>
        <v>D</v>
      </c>
      <c r="E8" s="449"/>
      <c r="F8" s="450"/>
      <c r="G8" s="453"/>
      <c r="H8" s="454"/>
      <c r="I8" s="448"/>
      <c r="J8" s="448"/>
    </row>
    <row r="9" customFormat="false" ht="22.5" hidden="false" customHeight="true" outlineLevel="0" collapsed="false">
      <c r="A9" s="443" t="n">
        <f aca="false">'Listado CAPS'!A7</f>
        <v>0</v>
      </c>
      <c r="B9" s="443" t="n">
        <f aca="false">'Listado CAPS'!B7</f>
        <v>0</v>
      </c>
      <c r="C9" s="443" t="n">
        <f aca="false">'Listado CAPS'!C7</f>
        <v>0</v>
      </c>
      <c r="D9" s="419" t="str">
        <f aca="false">'Listado CAPS'!D7</f>
        <v>E</v>
      </c>
      <c r="E9" s="449"/>
      <c r="F9" s="450"/>
      <c r="G9" s="453"/>
      <c r="H9" s="454"/>
      <c r="I9" s="448"/>
      <c r="J9" s="448"/>
    </row>
    <row r="10" customFormat="false" ht="22.5" hidden="false" customHeight="true" outlineLevel="0" collapsed="false">
      <c r="A10" s="443" t="n">
        <f aca="false">'Listado CAPS'!A8</f>
        <v>0</v>
      </c>
      <c r="B10" s="443" t="n">
        <f aca="false">'Listado CAPS'!B8</f>
        <v>0</v>
      </c>
      <c r="C10" s="443" t="n">
        <f aca="false">'Listado CAPS'!C8</f>
        <v>0</v>
      </c>
      <c r="D10" s="419" t="str">
        <f aca="false">'Listado CAPS'!D8</f>
        <v>F</v>
      </c>
      <c r="E10" s="449"/>
      <c r="F10" s="450"/>
      <c r="G10" s="453"/>
      <c r="H10" s="454"/>
      <c r="I10" s="448"/>
      <c r="J10" s="448"/>
    </row>
    <row r="11" customFormat="false" ht="22.5" hidden="false" customHeight="true" outlineLevel="0" collapsed="false">
      <c r="A11" s="443" t="n">
        <f aca="false">'Listado CAPS'!A9</f>
        <v>0</v>
      </c>
      <c r="B11" s="443" t="n">
        <f aca="false">'Listado CAPS'!B9</f>
        <v>0</v>
      </c>
      <c r="C11" s="443" t="n">
        <f aca="false">'Listado CAPS'!C9</f>
        <v>0</v>
      </c>
      <c r="D11" s="419" t="str">
        <f aca="false">'Listado CAPS'!D9</f>
        <v>G</v>
      </c>
      <c r="E11" s="449"/>
      <c r="F11" s="450"/>
      <c r="G11" s="453"/>
      <c r="H11" s="454"/>
      <c r="I11" s="448"/>
      <c r="J11" s="448"/>
    </row>
    <row r="12" customFormat="false" ht="22.5" hidden="false" customHeight="true" outlineLevel="0" collapsed="false">
      <c r="A12" s="443" t="n">
        <f aca="false">'Listado CAPS'!A10</f>
        <v>0</v>
      </c>
      <c r="B12" s="443" t="n">
        <f aca="false">'Listado CAPS'!B10</f>
        <v>0</v>
      </c>
      <c r="C12" s="443" t="n">
        <f aca="false">'Listado CAPS'!C10</f>
        <v>0</v>
      </c>
      <c r="D12" s="419" t="str">
        <f aca="false">'Listado CAPS'!D10</f>
        <v>H</v>
      </c>
      <c r="E12" s="449"/>
      <c r="F12" s="450"/>
      <c r="G12" s="453"/>
      <c r="H12" s="454"/>
      <c r="I12" s="448"/>
      <c r="J12" s="448"/>
    </row>
    <row r="13" customFormat="false" ht="22.5" hidden="false" customHeight="true" outlineLevel="0" collapsed="false">
      <c r="A13" s="443" t="n">
        <f aca="false">'Listado CAPS'!A11</f>
        <v>0</v>
      </c>
      <c r="B13" s="443" t="n">
        <f aca="false">'Listado CAPS'!B11</f>
        <v>0</v>
      </c>
      <c r="C13" s="443" t="n">
        <f aca="false">'Listado CAPS'!C11</f>
        <v>0</v>
      </c>
      <c r="D13" s="419" t="str">
        <f aca="false">'Listado CAPS'!D11</f>
        <v>I</v>
      </c>
      <c r="E13" s="449"/>
      <c r="F13" s="450"/>
      <c r="G13" s="453"/>
      <c r="H13" s="454"/>
      <c r="I13" s="448"/>
      <c r="J13" s="448"/>
    </row>
    <row r="14" customFormat="false" ht="22.5" hidden="false" customHeight="true" outlineLevel="0" collapsed="false">
      <c r="A14" s="443" t="n">
        <f aca="false">'Listado CAPS'!A12</f>
        <v>0</v>
      </c>
      <c r="B14" s="443" t="n">
        <f aca="false">'Listado CAPS'!B12</f>
        <v>0</v>
      </c>
      <c r="C14" s="443" t="n">
        <f aca="false">'Listado CAPS'!C12</f>
        <v>0</v>
      </c>
      <c r="D14" s="419" t="str">
        <f aca="false">'Listado CAPS'!D12</f>
        <v>J</v>
      </c>
      <c r="E14" s="455"/>
      <c r="F14" s="450"/>
      <c r="G14" s="446"/>
      <c r="H14" s="447"/>
      <c r="I14" s="448"/>
      <c r="J14" s="448"/>
    </row>
    <row r="15" s="428" customFormat="true" ht="22.5" hidden="false" customHeight="true" outlineLevel="0" collapsed="false">
      <c r="A15" s="443" t="n">
        <f aca="false">'Listado CAPS'!A13</f>
        <v>0</v>
      </c>
      <c r="B15" s="443" t="n">
        <f aca="false">'Listado CAPS'!B13</f>
        <v>0</v>
      </c>
      <c r="C15" s="443" t="n">
        <f aca="false">'Listado CAPS'!C13</f>
        <v>0</v>
      </c>
      <c r="D15" s="419" t="str">
        <f aca="false">'Listado CAPS'!D13</f>
        <v>K</v>
      </c>
      <c r="E15" s="455"/>
      <c r="F15" s="450"/>
      <c r="G15" s="446"/>
      <c r="H15" s="447"/>
      <c r="I15" s="448"/>
      <c r="J15" s="448"/>
      <c r="N15" s="259"/>
      <c r="O15" s="259"/>
      <c r="P15" s="259"/>
      <c r="Q15" s="259"/>
      <c r="R15" s="259"/>
      <c r="S15" s="259"/>
      <c r="T15" s="259"/>
      <c r="U15" s="259"/>
      <c r="V15" s="259"/>
      <c r="W15" s="259"/>
      <c r="X15" s="259"/>
      <c r="Y15" s="259"/>
      <c r="Z15" s="259"/>
      <c r="AA15" s="259"/>
      <c r="AB15" s="259"/>
      <c r="AC15" s="259"/>
      <c r="AD15" s="259"/>
      <c r="AE15" s="259"/>
      <c r="AF15" s="259"/>
      <c r="AG15" s="259"/>
      <c r="AH15" s="259"/>
      <c r="AI15" s="259"/>
      <c r="AJ15" s="259"/>
      <c r="AK15" s="259"/>
      <c r="AL15" s="259"/>
      <c r="AM15" s="259"/>
      <c r="AN15" s="259"/>
      <c r="AO15" s="259"/>
      <c r="AP15" s="259"/>
      <c r="AQ15" s="259"/>
      <c r="AR15" s="259"/>
      <c r="AS15" s="259"/>
      <c r="AT15" s="259"/>
      <c r="AU15" s="259"/>
      <c r="AV15" s="259"/>
      <c r="AW15" s="259"/>
      <c r="AX15" s="259"/>
      <c r="AY15" s="259"/>
      <c r="AZ15" s="259"/>
      <c r="BA15" s="259"/>
      <c r="BB15" s="259"/>
      <c r="BC15" s="259"/>
      <c r="BD15" s="259"/>
      <c r="BE15" s="259"/>
      <c r="BF15" s="259"/>
      <c r="BG15" s="259"/>
      <c r="BH15" s="259"/>
      <c r="BI15" s="259"/>
      <c r="BJ15" s="259"/>
      <c r="BK15" s="259"/>
      <c r="BL15" s="259"/>
      <c r="BM15" s="259"/>
      <c r="BN15" s="259"/>
      <c r="BO15" s="259"/>
      <c r="BP15" s="259"/>
      <c r="BQ15" s="259"/>
      <c r="BR15" s="259"/>
      <c r="BS15" s="259"/>
      <c r="BT15" s="259"/>
      <c r="BU15" s="259"/>
      <c r="BV15" s="259"/>
      <c r="BW15" s="259"/>
      <c r="BX15" s="259"/>
      <c r="BY15" s="259"/>
      <c r="BZ15" s="259"/>
      <c r="CA15" s="259"/>
      <c r="CB15" s="259"/>
      <c r="CC15" s="259"/>
      <c r="CD15" s="259"/>
      <c r="CE15" s="259"/>
      <c r="CF15" s="259"/>
      <c r="CG15" s="259"/>
      <c r="CH15" s="259"/>
      <c r="CI15" s="259"/>
      <c r="CJ15" s="259"/>
      <c r="CK15" s="259"/>
      <c r="CL15" s="259"/>
      <c r="CM15" s="259"/>
      <c r="CN15" s="259"/>
      <c r="CO15" s="259"/>
      <c r="CP15" s="259"/>
      <c r="CQ15" s="259"/>
      <c r="CR15" s="259"/>
      <c r="CS15" s="259"/>
      <c r="CT15" s="259"/>
      <c r="CU15" s="259"/>
      <c r="CV15" s="259"/>
      <c r="CW15" s="259"/>
      <c r="CX15" s="259"/>
      <c r="CY15" s="259"/>
      <c r="CZ15" s="259"/>
      <c r="DA15" s="259"/>
      <c r="DB15" s="259"/>
      <c r="DC15" s="259"/>
      <c r="DD15" s="259"/>
      <c r="DE15" s="259"/>
      <c r="DF15" s="259"/>
      <c r="DG15" s="259"/>
      <c r="DH15" s="259"/>
      <c r="DI15" s="259"/>
      <c r="DJ15" s="259"/>
      <c r="DK15" s="259"/>
      <c r="DL15" s="259"/>
      <c r="DM15" s="259"/>
      <c r="DN15" s="259"/>
      <c r="DO15" s="259"/>
      <c r="DP15" s="259"/>
      <c r="DQ15" s="259"/>
      <c r="DR15" s="259"/>
      <c r="DS15" s="259"/>
      <c r="DT15" s="259"/>
      <c r="DU15" s="259"/>
      <c r="DV15" s="259"/>
      <c r="DW15" s="259"/>
      <c r="DX15" s="259"/>
      <c r="DY15" s="259"/>
      <c r="DZ15" s="259"/>
      <c r="EA15" s="259"/>
      <c r="EB15" s="259"/>
      <c r="EC15" s="259"/>
      <c r="ED15" s="259"/>
      <c r="EE15" s="259"/>
      <c r="EF15" s="259"/>
      <c r="EG15" s="259"/>
      <c r="EH15" s="259"/>
      <c r="EI15" s="259"/>
      <c r="EJ15" s="259"/>
      <c r="EK15" s="259"/>
      <c r="EL15" s="259"/>
      <c r="EM15" s="259"/>
      <c r="EN15" s="259"/>
      <c r="EO15" s="259"/>
      <c r="EP15" s="259"/>
      <c r="EQ15" s="259"/>
      <c r="ER15" s="259"/>
      <c r="ES15" s="259"/>
      <c r="ET15" s="259"/>
      <c r="EU15" s="259"/>
      <c r="EV15" s="259"/>
      <c r="EW15" s="259"/>
      <c r="EX15" s="259"/>
      <c r="EY15" s="259"/>
      <c r="EZ15" s="259"/>
      <c r="FA15" s="259"/>
      <c r="FB15" s="259"/>
      <c r="FC15" s="259"/>
      <c r="FD15" s="259"/>
      <c r="FE15" s="259"/>
      <c r="FF15" s="259"/>
      <c r="FG15" s="259"/>
    </row>
    <row r="16" s="428" customFormat="true" ht="22.5" hidden="false" customHeight="true" outlineLevel="0" collapsed="false">
      <c r="A16" s="443" t="n">
        <f aca="false">'Listado CAPS'!A14</f>
        <v>0</v>
      </c>
      <c r="B16" s="443" t="n">
        <f aca="false">'Listado CAPS'!B14</f>
        <v>0</v>
      </c>
      <c r="C16" s="443" t="n">
        <f aca="false">'Listado CAPS'!C14</f>
        <v>0</v>
      </c>
      <c r="D16" s="419" t="str">
        <f aca="false">'Listado CAPS'!D14</f>
        <v>L</v>
      </c>
      <c r="E16" s="455"/>
      <c r="F16" s="450"/>
      <c r="G16" s="446"/>
      <c r="H16" s="447"/>
      <c r="I16" s="448"/>
      <c r="J16" s="448"/>
      <c r="N16" s="259"/>
      <c r="O16" s="259"/>
      <c r="P16" s="259"/>
      <c r="Q16" s="259"/>
      <c r="R16" s="259"/>
      <c r="S16" s="259"/>
      <c r="T16" s="259"/>
      <c r="U16" s="259"/>
      <c r="V16" s="259"/>
      <c r="W16" s="259"/>
      <c r="X16" s="259"/>
      <c r="Y16" s="259"/>
      <c r="Z16" s="259"/>
      <c r="AA16" s="259"/>
      <c r="AB16" s="259"/>
      <c r="AC16" s="259"/>
      <c r="AD16" s="259"/>
      <c r="AE16" s="259"/>
      <c r="AF16" s="259"/>
      <c r="AG16" s="259"/>
      <c r="AH16" s="259"/>
      <c r="AI16" s="259"/>
      <c r="AJ16" s="259"/>
      <c r="AK16" s="259"/>
      <c r="AL16" s="259"/>
      <c r="AM16" s="259"/>
      <c r="AN16" s="259"/>
      <c r="AO16" s="259"/>
      <c r="AP16" s="259"/>
      <c r="AQ16" s="259"/>
      <c r="AR16" s="259"/>
      <c r="AS16" s="259"/>
      <c r="AT16" s="259"/>
      <c r="AU16" s="259"/>
      <c r="AV16" s="259"/>
      <c r="AW16" s="259"/>
      <c r="AX16" s="259"/>
      <c r="AY16" s="259"/>
      <c r="AZ16" s="259"/>
      <c r="BA16" s="259"/>
      <c r="BB16" s="259"/>
      <c r="BC16" s="259"/>
      <c r="BD16" s="259"/>
      <c r="BE16" s="259"/>
      <c r="BF16" s="259"/>
      <c r="BG16" s="259"/>
      <c r="BH16" s="259"/>
      <c r="BI16" s="259"/>
      <c r="BJ16" s="259"/>
      <c r="BK16" s="259"/>
      <c r="BL16" s="259"/>
      <c r="BM16" s="259"/>
      <c r="BN16" s="259"/>
      <c r="BO16" s="259"/>
      <c r="BP16" s="259"/>
      <c r="BQ16" s="259"/>
      <c r="BR16" s="259"/>
      <c r="BS16" s="259"/>
      <c r="BT16" s="259"/>
      <c r="BU16" s="259"/>
      <c r="BV16" s="259"/>
      <c r="BW16" s="259"/>
      <c r="BX16" s="259"/>
      <c r="BY16" s="259"/>
      <c r="BZ16" s="259"/>
      <c r="CA16" s="259"/>
      <c r="CB16" s="259"/>
      <c r="CC16" s="259"/>
      <c r="CD16" s="259"/>
      <c r="CE16" s="259"/>
      <c r="CF16" s="259"/>
      <c r="CG16" s="259"/>
      <c r="CH16" s="259"/>
      <c r="CI16" s="259"/>
      <c r="CJ16" s="259"/>
      <c r="CK16" s="259"/>
      <c r="CL16" s="259"/>
      <c r="CM16" s="259"/>
      <c r="CN16" s="259"/>
      <c r="CO16" s="259"/>
      <c r="CP16" s="259"/>
      <c r="CQ16" s="259"/>
      <c r="CR16" s="259"/>
      <c r="CS16" s="259"/>
      <c r="CT16" s="259"/>
      <c r="CU16" s="259"/>
      <c r="CV16" s="259"/>
      <c r="CW16" s="259"/>
      <c r="CX16" s="259"/>
      <c r="CY16" s="259"/>
      <c r="CZ16" s="259"/>
      <c r="DA16" s="259"/>
      <c r="DB16" s="259"/>
      <c r="DC16" s="259"/>
      <c r="DD16" s="259"/>
      <c r="DE16" s="259"/>
      <c r="DF16" s="259"/>
      <c r="DG16" s="259"/>
      <c r="DH16" s="259"/>
      <c r="DI16" s="259"/>
      <c r="DJ16" s="259"/>
      <c r="DK16" s="259"/>
      <c r="DL16" s="259"/>
      <c r="DM16" s="259"/>
      <c r="DN16" s="259"/>
      <c r="DO16" s="259"/>
      <c r="DP16" s="259"/>
      <c r="DQ16" s="259"/>
      <c r="DR16" s="259"/>
      <c r="DS16" s="259"/>
      <c r="DT16" s="259"/>
      <c r="DU16" s="259"/>
      <c r="DV16" s="259"/>
      <c r="DW16" s="259"/>
      <c r="DX16" s="259"/>
      <c r="DY16" s="259"/>
      <c r="DZ16" s="259"/>
      <c r="EA16" s="259"/>
      <c r="EB16" s="259"/>
      <c r="EC16" s="259"/>
      <c r="ED16" s="259"/>
      <c r="EE16" s="259"/>
      <c r="EF16" s="259"/>
      <c r="EG16" s="259"/>
      <c r="EH16" s="259"/>
      <c r="EI16" s="259"/>
      <c r="EJ16" s="259"/>
      <c r="EK16" s="259"/>
      <c r="EL16" s="259"/>
      <c r="EM16" s="259"/>
      <c r="EN16" s="259"/>
      <c r="EO16" s="259"/>
      <c r="EP16" s="259"/>
      <c r="EQ16" s="259"/>
      <c r="ER16" s="259"/>
      <c r="ES16" s="259"/>
      <c r="ET16" s="259"/>
      <c r="EU16" s="259"/>
      <c r="EV16" s="259"/>
      <c r="EW16" s="259"/>
      <c r="EX16" s="259"/>
      <c r="EY16" s="259"/>
      <c r="EZ16" s="259"/>
      <c r="FA16" s="259"/>
      <c r="FB16" s="259"/>
      <c r="FC16" s="259"/>
      <c r="FD16" s="259"/>
      <c r="FE16" s="259"/>
      <c r="FF16" s="259"/>
      <c r="FG16" s="259"/>
    </row>
    <row r="17" s="428" customFormat="true" ht="22.5" hidden="false" customHeight="true" outlineLevel="0" collapsed="false">
      <c r="A17" s="443" t="n">
        <f aca="false">'Listado CAPS'!A15</f>
        <v>0</v>
      </c>
      <c r="B17" s="443" t="n">
        <f aca="false">'Listado CAPS'!B15</f>
        <v>0</v>
      </c>
      <c r="C17" s="443" t="n">
        <f aca="false">'Listado CAPS'!C15</f>
        <v>0</v>
      </c>
      <c r="D17" s="419" t="str">
        <f aca="false">'Listado CAPS'!D15</f>
        <v>M</v>
      </c>
      <c r="E17" s="455"/>
      <c r="F17" s="450"/>
      <c r="G17" s="456"/>
      <c r="H17" s="281"/>
      <c r="I17" s="448"/>
      <c r="J17" s="448"/>
      <c r="N17" s="259"/>
      <c r="O17" s="259"/>
      <c r="P17" s="259"/>
      <c r="Q17" s="259"/>
      <c r="R17" s="259"/>
      <c r="S17" s="259"/>
      <c r="T17" s="259"/>
      <c r="U17" s="259"/>
      <c r="V17" s="259"/>
      <c r="W17" s="259"/>
      <c r="X17" s="259"/>
      <c r="Y17" s="259"/>
      <c r="Z17" s="259"/>
      <c r="AA17" s="259"/>
      <c r="AB17" s="259"/>
      <c r="AC17" s="259"/>
      <c r="AD17" s="259"/>
      <c r="AE17" s="259"/>
      <c r="AF17" s="259"/>
      <c r="AG17" s="259"/>
      <c r="AH17" s="259"/>
      <c r="AI17" s="259"/>
      <c r="AJ17" s="259"/>
      <c r="AK17" s="259"/>
      <c r="AL17" s="259"/>
      <c r="AM17" s="259"/>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59"/>
      <c r="BK17" s="259"/>
      <c r="BL17" s="259"/>
      <c r="BM17" s="259"/>
      <c r="BN17" s="259"/>
      <c r="BO17" s="259"/>
      <c r="BP17" s="259"/>
      <c r="BQ17" s="259"/>
      <c r="BR17" s="259"/>
      <c r="BS17" s="259"/>
      <c r="BT17" s="259"/>
      <c r="BU17" s="259"/>
      <c r="BV17" s="259"/>
      <c r="BW17" s="259"/>
      <c r="BX17" s="259"/>
      <c r="BY17" s="259"/>
      <c r="BZ17" s="259"/>
      <c r="CA17" s="259"/>
      <c r="CB17" s="259"/>
      <c r="CC17" s="259"/>
      <c r="CD17" s="259"/>
      <c r="CE17" s="259"/>
      <c r="CF17" s="259"/>
      <c r="CG17" s="259"/>
      <c r="CH17" s="259"/>
      <c r="CI17" s="259"/>
      <c r="CJ17" s="259"/>
      <c r="CK17" s="259"/>
      <c r="CL17" s="259"/>
      <c r="CM17" s="259"/>
      <c r="CN17" s="259"/>
      <c r="CO17" s="259"/>
      <c r="CP17" s="259"/>
      <c r="CQ17" s="259"/>
      <c r="CR17" s="259"/>
      <c r="CS17" s="259"/>
      <c r="CT17" s="259"/>
      <c r="CU17" s="259"/>
      <c r="CV17" s="259"/>
      <c r="CW17" s="259"/>
      <c r="CX17" s="259"/>
      <c r="CY17" s="259"/>
      <c r="CZ17" s="259"/>
      <c r="DA17" s="259"/>
      <c r="DB17" s="259"/>
      <c r="DC17" s="259"/>
      <c r="DD17" s="259"/>
      <c r="DE17" s="259"/>
      <c r="DF17" s="259"/>
      <c r="DG17" s="259"/>
      <c r="DH17" s="259"/>
      <c r="DI17" s="259"/>
      <c r="DJ17" s="259"/>
      <c r="DK17" s="259"/>
      <c r="DL17" s="259"/>
      <c r="DM17" s="259"/>
      <c r="DN17" s="259"/>
      <c r="DO17" s="259"/>
      <c r="DP17" s="259"/>
      <c r="DQ17" s="259"/>
      <c r="DR17" s="259"/>
      <c r="DS17" s="259"/>
      <c r="DT17" s="259"/>
      <c r="DU17" s="259"/>
      <c r="DV17" s="259"/>
      <c r="DW17" s="259"/>
      <c r="DX17" s="259"/>
      <c r="DY17" s="259"/>
      <c r="DZ17" s="259"/>
      <c r="EA17" s="259"/>
      <c r="EB17" s="259"/>
      <c r="EC17" s="259"/>
      <c r="ED17" s="259"/>
      <c r="EE17" s="259"/>
      <c r="EF17" s="259"/>
      <c r="EG17" s="259"/>
      <c r="EH17" s="259"/>
      <c r="EI17" s="259"/>
      <c r="EJ17" s="259"/>
      <c r="EK17" s="259"/>
      <c r="EL17" s="259"/>
      <c r="EM17" s="259"/>
      <c r="EN17" s="259"/>
      <c r="EO17" s="259"/>
      <c r="EP17" s="259"/>
      <c r="EQ17" s="259"/>
      <c r="ER17" s="259"/>
      <c r="ES17" s="259"/>
      <c r="ET17" s="259"/>
      <c r="EU17" s="259"/>
      <c r="EV17" s="259"/>
      <c r="EW17" s="259"/>
      <c r="EX17" s="259"/>
      <c r="EY17" s="259"/>
      <c r="EZ17" s="259"/>
      <c r="FA17" s="259"/>
      <c r="FB17" s="259"/>
      <c r="FC17" s="259"/>
      <c r="FD17" s="259"/>
      <c r="FE17" s="259"/>
      <c r="FF17" s="259"/>
      <c r="FG17" s="259"/>
    </row>
    <row r="18" s="428" customFormat="true" ht="22.5" hidden="false" customHeight="true" outlineLevel="0" collapsed="false">
      <c r="A18" s="443" t="n">
        <f aca="false">'Listado CAPS'!A16</f>
        <v>0</v>
      </c>
      <c r="B18" s="443" t="n">
        <f aca="false">'Listado CAPS'!B16</f>
        <v>0</v>
      </c>
      <c r="C18" s="443" t="n">
        <f aca="false">'Listado CAPS'!C16</f>
        <v>0</v>
      </c>
      <c r="D18" s="419" t="str">
        <f aca="false">'Listado CAPS'!D16</f>
        <v>N</v>
      </c>
      <c r="E18" s="455"/>
      <c r="F18" s="450"/>
      <c r="G18" s="456"/>
      <c r="H18" s="281"/>
      <c r="I18" s="448"/>
      <c r="J18" s="448"/>
      <c r="N18" s="259"/>
      <c r="O18" s="259"/>
      <c r="P18" s="259"/>
      <c r="Q18" s="259"/>
      <c r="R18" s="259"/>
      <c r="S18" s="259"/>
      <c r="T18" s="259"/>
      <c r="U18" s="259"/>
      <c r="V18" s="259"/>
      <c r="W18" s="259"/>
      <c r="X18" s="259"/>
      <c r="Y18" s="259"/>
      <c r="Z18" s="259"/>
      <c r="AA18" s="259"/>
      <c r="AB18" s="259"/>
      <c r="AC18" s="259"/>
      <c r="AD18" s="259"/>
      <c r="AE18" s="259"/>
      <c r="AF18" s="259"/>
      <c r="AG18" s="259"/>
      <c r="AH18" s="259"/>
      <c r="AI18" s="259"/>
      <c r="AJ18" s="259"/>
      <c r="AK18" s="259"/>
      <c r="AL18" s="259"/>
      <c r="AM18" s="259"/>
      <c r="AN18" s="259"/>
      <c r="AO18" s="259"/>
      <c r="AP18" s="259"/>
      <c r="AQ18" s="259"/>
      <c r="AR18" s="259"/>
      <c r="AS18" s="259"/>
      <c r="AT18" s="259"/>
      <c r="AU18" s="259"/>
      <c r="AV18" s="259"/>
      <c r="AW18" s="259"/>
      <c r="AX18" s="259"/>
      <c r="AY18" s="259"/>
      <c r="AZ18" s="259"/>
      <c r="BA18" s="259"/>
      <c r="BB18" s="259"/>
      <c r="BC18" s="259"/>
      <c r="BD18" s="259"/>
      <c r="BE18" s="259"/>
      <c r="BF18" s="259"/>
      <c r="BG18" s="259"/>
      <c r="BH18" s="259"/>
      <c r="BI18" s="259"/>
      <c r="BJ18" s="259"/>
      <c r="BK18" s="259"/>
      <c r="BL18" s="259"/>
      <c r="BM18" s="259"/>
      <c r="BN18" s="259"/>
      <c r="BO18" s="259"/>
      <c r="BP18" s="259"/>
      <c r="BQ18" s="259"/>
      <c r="BR18" s="259"/>
      <c r="BS18" s="259"/>
      <c r="BT18" s="259"/>
      <c r="BU18" s="259"/>
      <c r="BV18" s="259"/>
      <c r="BW18" s="259"/>
      <c r="BX18" s="259"/>
      <c r="BY18" s="259"/>
      <c r="BZ18" s="259"/>
      <c r="CA18" s="259"/>
      <c r="CB18" s="259"/>
      <c r="CC18" s="259"/>
      <c r="CD18" s="259"/>
      <c r="CE18" s="259"/>
      <c r="CF18" s="259"/>
      <c r="CG18" s="259"/>
      <c r="CH18" s="259"/>
      <c r="CI18" s="259"/>
      <c r="CJ18" s="259"/>
      <c r="CK18" s="259"/>
      <c r="CL18" s="259"/>
      <c r="CM18" s="259"/>
      <c r="CN18" s="259"/>
      <c r="CO18" s="259"/>
      <c r="CP18" s="259"/>
      <c r="CQ18" s="259"/>
      <c r="CR18" s="259"/>
      <c r="CS18" s="259"/>
      <c r="CT18" s="259"/>
      <c r="CU18" s="259"/>
      <c r="CV18" s="259"/>
      <c r="CW18" s="259"/>
      <c r="CX18" s="259"/>
      <c r="CY18" s="259"/>
      <c r="CZ18" s="259"/>
      <c r="DA18" s="259"/>
      <c r="DB18" s="259"/>
      <c r="DC18" s="259"/>
      <c r="DD18" s="259"/>
      <c r="DE18" s="259"/>
      <c r="DF18" s="259"/>
      <c r="DG18" s="259"/>
      <c r="DH18" s="259"/>
      <c r="DI18" s="259"/>
      <c r="DJ18" s="259"/>
      <c r="DK18" s="259"/>
      <c r="DL18" s="259"/>
      <c r="DM18" s="259"/>
      <c r="DN18" s="259"/>
      <c r="DO18" s="259"/>
      <c r="DP18" s="259"/>
      <c r="DQ18" s="259"/>
      <c r="DR18" s="259"/>
      <c r="DS18" s="259"/>
      <c r="DT18" s="259"/>
      <c r="DU18" s="259"/>
      <c r="DV18" s="259"/>
      <c r="DW18" s="259"/>
      <c r="DX18" s="259"/>
      <c r="DY18" s="259"/>
      <c r="DZ18" s="259"/>
      <c r="EA18" s="259"/>
      <c r="EB18" s="259"/>
      <c r="EC18" s="259"/>
      <c r="ED18" s="259"/>
      <c r="EE18" s="259"/>
      <c r="EF18" s="259"/>
      <c r="EG18" s="259"/>
      <c r="EH18" s="259"/>
      <c r="EI18" s="259"/>
      <c r="EJ18" s="259"/>
      <c r="EK18" s="259"/>
      <c r="EL18" s="259"/>
      <c r="EM18" s="259"/>
      <c r="EN18" s="259"/>
      <c r="EO18" s="259"/>
      <c r="EP18" s="259"/>
      <c r="EQ18" s="259"/>
      <c r="ER18" s="259"/>
      <c r="ES18" s="259"/>
      <c r="ET18" s="259"/>
      <c r="EU18" s="259"/>
      <c r="EV18" s="259"/>
      <c r="EW18" s="259"/>
      <c r="EX18" s="259"/>
      <c r="EY18" s="259"/>
      <c r="EZ18" s="259"/>
      <c r="FA18" s="259"/>
      <c r="FB18" s="259"/>
      <c r="FC18" s="259"/>
      <c r="FD18" s="259"/>
      <c r="FE18" s="259"/>
      <c r="FF18" s="259"/>
      <c r="FG18" s="259"/>
    </row>
    <row r="19" customFormat="false" ht="22.5" hidden="false" customHeight="true" outlineLevel="0" collapsed="false">
      <c r="A19" s="443" t="n">
        <f aca="false">'Listado CAPS'!A17</f>
        <v>0</v>
      </c>
      <c r="B19" s="443" t="n">
        <f aca="false">'Listado CAPS'!B17</f>
        <v>0</v>
      </c>
      <c r="C19" s="443" t="n">
        <f aca="false">'Listado CAPS'!C17</f>
        <v>0</v>
      </c>
      <c r="D19" s="419" t="str">
        <f aca="false">'Listado CAPS'!D17</f>
        <v>Ñ</v>
      </c>
      <c r="E19" s="455"/>
      <c r="F19" s="450"/>
      <c r="G19" s="446"/>
      <c r="H19" s="457"/>
      <c r="I19" s="448"/>
      <c r="J19" s="448"/>
    </row>
    <row r="20" s="428" customFormat="true" ht="22.5" hidden="false" customHeight="true" outlineLevel="0" collapsed="false">
      <c r="A20" s="443" t="n">
        <f aca="false">'Listado CAPS'!A18</f>
        <v>0</v>
      </c>
      <c r="B20" s="443" t="n">
        <f aca="false">'Listado CAPS'!B18</f>
        <v>0</v>
      </c>
      <c r="C20" s="443" t="n">
        <f aca="false">'Listado CAPS'!C18</f>
        <v>0</v>
      </c>
      <c r="D20" s="419" t="str">
        <f aca="false">'Listado CAPS'!D18</f>
        <v>O</v>
      </c>
      <c r="E20" s="449"/>
      <c r="F20" s="458"/>
      <c r="G20" s="446"/>
      <c r="H20" s="459"/>
      <c r="I20" s="448"/>
      <c r="J20" s="448"/>
      <c r="N20" s="259"/>
      <c r="O20" s="259"/>
      <c r="P20" s="259"/>
      <c r="Q20" s="259"/>
      <c r="R20" s="259"/>
      <c r="S20" s="259"/>
      <c r="T20" s="259"/>
      <c r="U20" s="259"/>
      <c r="V20" s="259"/>
      <c r="W20" s="259"/>
      <c r="X20" s="259"/>
      <c r="Y20" s="259"/>
      <c r="Z20" s="259"/>
      <c r="AA20" s="259"/>
      <c r="AB20" s="259"/>
      <c r="AC20" s="259"/>
      <c r="AD20" s="259"/>
      <c r="AE20" s="259"/>
      <c r="AF20" s="259"/>
      <c r="AG20" s="259"/>
      <c r="AH20" s="259"/>
      <c r="AI20" s="259"/>
      <c r="AJ20" s="259"/>
      <c r="AK20" s="259"/>
      <c r="AL20" s="259"/>
      <c r="AM20" s="259"/>
      <c r="AN20" s="259"/>
      <c r="AO20" s="259"/>
      <c r="AP20" s="259"/>
      <c r="AQ20" s="259"/>
      <c r="AR20" s="259"/>
      <c r="AS20" s="259"/>
      <c r="AT20" s="259"/>
      <c r="AU20" s="259"/>
      <c r="AV20" s="259"/>
      <c r="AW20" s="259"/>
      <c r="AX20" s="259"/>
      <c r="AY20" s="259"/>
      <c r="AZ20" s="259"/>
      <c r="BA20" s="259"/>
      <c r="BB20" s="259"/>
      <c r="BC20" s="259"/>
      <c r="BD20" s="259"/>
      <c r="BE20" s="259"/>
      <c r="BF20" s="259"/>
      <c r="BG20" s="259"/>
      <c r="BH20" s="259"/>
      <c r="BI20" s="259"/>
      <c r="BJ20" s="259"/>
      <c r="BK20" s="259"/>
      <c r="BL20" s="259"/>
      <c r="BM20" s="259"/>
      <c r="BN20" s="259"/>
      <c r="BO20" s="259"/>
      <c r="BP20" s="259"/>
      <c r="BQ20" s="259"/>
      <c r="BR20" s="259"/>
      <c r="BS20" s="259"/>
      <c r="BT20" s="259"/>
      <c r="BU20" s="259"/>
      <c r="BV20" s="259"/>
      <c r="BW20" s="259"/>
      <c r="BX20" s="259"/>
      <c r="BY20" s="259"/>
      <c r="BZ20" s="259"/>
      <c r="CA20" s="259"/>
      <c r="CB20" s="259"/>
      <c r="CC20" s="259"/>
      <c r="CD20" s="259"/>
      <c r="CE20" s="259"/>
      <c r="CF20" s="259"/>
      <c r="CG20" s="259"/>
      <c r="CH20" s="259"/>
      <c r="CI20" s="259"/>
      <c r="CJ20" s="259"/>
      <c r="CK20" s="259"/>
      <c r="CL20" s="259"/>
      <c r="CM20" s="259"/>
      <c r="CN20" s="259"/>
      <c r="CO20" s="259"/>
      <c r="CP20" s="259"/>
      <c r="CQ20" s="259"/>
      <c r="CR20" s="259"/>
      <c r="CS20" s="259"/>
      <c r="CT20" s="259"/>
      <c r="CU20" s="259"/>
      <c r="CV20" s="259"/>
      <c r="CW20" s="259"/>
      <c r="CX20" s="259"/>
      <c r="CY20" s="259"/>
      <c r="CZ20" s="259"/>
      <c r="DA20" s="259"/>
      <c r="DB20" s="259"/>
      <c r="DC20" s="259"/>
      <c r="DD20" s="259"/>
      <c r="DE20" s="259"/>
      <c r="DF20" s="259"/>
      <c r="DG20" s="259"/>
      <c r="DH20" s="259"/>
      <c r="DI20" s="259"/>
      <c r="DJ20" s="259"/>
      <c r="DK20" s="259"/>
      <c r="DL20" s="259"/>
      <c r="DM20" s="259"/>
      <c r="DN20" s="259"/>
      <c r="DO20" s="259"/>
      <c r="DP20" s="259"/>
      <c r="DQ20" s="259"/>
      <c r="DR20" s="259"/>
      <c r="DS20" s="259"/>
      <c r="DT20" s="259"/>
      <c r="DU20" s="259"/>
      <c r="DV20" s="259"/>
      <c r="DW20" s="259"/>
      <c r="DX20" s="259"/>
      <c r="DY20" s="259"/>
      <c r="DZ20" s="259"/>
      <c r="EA20" s="259"/>
      <c r="EB20" s="259"/>
      <c r="EC20" s="259"/>
      <c r="ED20" s="259"/>
      <c r="EE20" s="259"/>
      <c r="EF20" s="259"/>
      <c r="EG20" s="259"/>
      <c r="EH20" s="259"/>
      <c r="EI20" s="259"/>
      <c r="EJ20" s="259"/>
      <c r="EK20" s="259"/>
      <c r="EL20" s="259"/>
      <c r="EM20" s="259"/>
      <c r="EN20" s="259"/>
      <c r="EO20" s="259"/>
      <c r="EP20" s="259"/>
      <c r="EQ20" s="259"/>
      <c r="ER20" s="259"/>
      <c r="ES20" s="259"/>
      <c r="ET20" s="259"/>
      <c r="EU20" s="259"/>
      <c r="EV20" s="259"/>
      <c r="EW20" s="259"/>
      <c r="EX20" s="259"/>
      <c r="EY20" s="259"/>
      <c r="EZ20" s="259"/>
      <c r="FA20" s="259"/>
      <c r="FB20" s="259"/>
      <c r="FC20" s="259"/>
      <c r="FD20" s="259"/>
      <c r="FE20" s="259"/>
      <c r="FF20" s="259"/>
      <c r="FG20" s="259"/>
    </row>
    <row r="21" customFormat="false" ht="22.5" hidden="false" customHeight="true" outlineLevel="0" collapsed="false">
      <c r="A21" s="443" t="n">
        <f aca="false">'Listado CAPS'!A19</f>
        <v>0</v>
      </c>
      <c r="B21" s="443" t="n">
        <f aca="false">'Listado CAPS'!B19</f>
        <v>0</v>
      </c>
      <c r="C21" s="443" t="n">
        <f aca="false">'Listado CAPS'!C19</f>
        <v>0</v>
      </c>
      <c r="D21" s="419" t="str">
        <f aca="false">'Listado CAPS'!D19</f>
        <v>P</v>
      </c>
      <c r="E21" s="460"/>
      <c r="F21" s="461"/>
      <c r="G21" s="140"/>
      <c r="H21" s="462"/>
      <c r="I21" s="448"/>
      <c r="J21" s="448"/>
    </row>
    <row r="22" s="464" customFormat="true" ht="22.5" hidden="false" customHeight="true" outlineLevel="0" collapsed="false">
      <c r="A22" s="443" t="n">
        <f aca="false">'Listado CAPS'!A20</f>
        <v>0</v>
      </c>
      <c r="B22" s="443" t="n">
        <f aca="false">'Listado CAPS'!B20</f>
        <v>0</v>
      </c>
      <c r="C22" s="443" t="n">
        <f aca="false">'Listado CAPS'!C20</f>
        <v>0</v>
      </c>
      <c r="D22" s="419" t="str">
        <f aca="false">'Listado CAPS'!D20</f>
        <v>Q</v>
      </c>
      <c r="E22" s="449"/>
      <c r="F22" s="458"/>
      <c r="G22" s="453"/>
      <c r="H22" s="463"/>
      <c r="I22" s="448"/>
      <c r="J22" s="448"/>
      <c r="N22" s="259"/>
      <c r="O22" s="259"/>
      <c r="P22" s="259"/>
      <c r="Q22" s="259"/>
      <c r="R22" s="259"/>
      <c r="S22" s="259"/>
      <c r="T22" s="259"/>
      <c r="U22" s="259"/>
      <c r="V22" s="259"/>
      <c r="W22" s="259"/>
      <c r="X22" s="259"/>
      <c r="Y22" s="259"/>
      <c r="Z22" s="259"/>
      <c r="AA22" s="259"/>
      <c r="AB22" s="259"/>
      <c r="AC22" s="259"/>
      <c r="AD22" s="259"/>
      <c r="AE22" s="259"/>
      <c r="AF22" s="259"/>
      <c r="AG22" s="259"/>
      <c r="AH22" s="259"/>
      <c r="AI22" s="259"/>
      <c r="AJ22" s="259"/>
      <c r="AK22" s="259"/>
      <c r="AL22" s="259"/>
      <c r="AM22" s="259"/>
      <c r="AN22" s="259"/>
      <c r="AO22" s="259"/>
      <c r="AP22" s="259"/>
      <c r="AQ22" s="259"/>
      <c r="AR22" s="259"/>
      <c r="AS22" s="259"/>
      <c r="AT22" s="259"/>
      <c r="AU22" s="259"/>
      <c r="AV22" s="259"/>
      <c r="AW22" s="259"/>
      <c r="AX22" s="259"/>
      <c r="AY22" s="259"/>
      <c r="AZ22" s="259"/>
      <c r="BA22" s="259"/>
      <c r="BB22" s="259"/>
      <c r="BC22" s="259"/>
      <c r="BD22" s="259"/>
      <c r="BE22" s="259"/>
      <c r="BF22" s="259"/>
      <c r="BG22" s="259"/>
      <c r="BH22" s="259"/>
      <c r="BI22" s="259"/>
      <c r="BJ22" s="259"/>
      <c r="BK22" s="259"/>
      <c r="BL22" s="259"/>
      <c r="BM22" s="259"/>
      <c r="BN22" s="259"/>
      <c r="BO22" s="259"/>
      <c r="BP22" s="259"/>
      <c r="BQ22" s="259"/>
      <c r="BR22" s="259"/>
      <c r="BS22" s="259"/>
      <c r="BT22" s="259"/>
      <c r="BU22" s="259"/>
      <c r="BV22" s="259"/>
      <c r="BW22" s="259"/>
      <c r="BX22" s="259"/>
      <c r="BY22" s="259"/>
      <c r="BZ22" s="259"/>
      <c r="CA22" s="259"/>
      <c r="CB22" s="259"/>
      <c r="CC22" s="259"/>
      <c r="CD22" s="259"/>
      <c r="CE22" s="259"/>
      <c r="CF22" s="259"/>
      <c r="CG22" s="259"/>
      <c r="CH22" s="259"/>
      <c r="CI22" s="259"/>
      <c r="CJ22" s="259"/>
      <c r="CK22" s="259"/>
      <c r="CL22" s="259"/>
      <c r="CM22" s="259"/>
      <c r="CN22" s="259"/>
      <c r="CO22" s="259"/>
      <c r="CP22" s="259"/>
      <c r="CQ22" s="259"/>
      <c r="CR22" s="259"/>
      <c r="CS22" s="259"/>
      <c r="CT22" s="259"/>
      <c r="CU22" s="259"/>
      <c r="CV22" s="259"/>
      <c r="CW22" s="259"/>
      <c r="CX22" s="259"/>
      <c r="CY22" s="259"/>
      <c r="CZ22" s="259"/>
      <c r="DA22" s="259"/>
      <c r="DB22" s="259"/>
      <c r="DC22" s="259"/>
      <c r="DD22" s="259"/>
      <c r="DE22" s="259"/>
      <c r="DF22" s="259"/>
      <c r="DG22" s="259"/>
      <c r="DH22" s="259"/>
      <c r="DI22" s="259"/>
      <c r="DJ22" s="259"/>
      <c r="DK22" s="259"/>
      <c r="DL22" s="259"/>
      <c r="DM22" s="259"/>
      <c r="DN22" s="259"/>
      <c r="DO22" s="259"/>
      <c r="DP22" s="259"/>
      <c r="DQ22" s="259"/>
      <c r="DR22" s="259"/>
      <c r="DS22" s="259"/>
      <c r="DT22" s="259"/>
      <c r="DU22" s="259"/>
      <c r="DV22" s="259"/>
      <c r="DW22" s="259"/>
      <c r="DX22" s="259"/>
      <c r="DY22" s="259"/>
      <c r="DZ22" s="259"/>
      <c r="EA22" s="259"/>
      <c r="EB22" s="259"/>
      <c r="EC22" s="259"/>
      <c r="ED22" s="259"/>
      <c r="EE22" s="259"/>
      <c r="EF22" s="259"/>
      <c r="EG22" s="259"/>
      <c r="EH22" s="259"/>
      <c r="EI22" s="259"/>
      <c r="EJ22" s="259"/>
      <c r="EK22" s="259"/>
      <c r="EL22" s="259"/>
      <c r="EM22" s="259"/>
      <c r="EN22" s="259"/>
      <c r="EO22" s="259"/>
      <c r="EP22" s="259"/>
      <c r="EQ22" s="259"/>
      <c r="ER22" s="259"/>
      <c r="ES22" s="259"/>
      <c r="ET22" s="259"/>
      <c r="EU22" s="259"/>
      <c r="EV22" s="259"/>
      <c r="EW22" s="259"/>
      <c r="EX22" s="259"/>
      <c r="EY22" s="259"/>
      <c r="EZ22" s="259"/>
      <c r="FA22" s="259"/>
      <c r="FB22" s="259"/>
      <c r="FC22" s="259"/>
      <c r="FD22" s="259"/>
      <c r="FE22" s="259"/>
      <c r="FF22" s="259"/>
      <c r="FG22" s="259"/>
    </row>
    <row r="23" customFormat="false" ht="22.5" hidden="false" customHeight="true" outlineLevel="0" collapsed="false">
      <c r="A23" s="443" t="n">
        <f aca="false">'Listado CAPS'!A21</f>
        <v>0</v>
      </c>
      <c r="B23" s="443" t="n">
        <f aca="false">'Listado CAPS'!B21</f>
        <v>0</v>
      </c>
      <c r="C23" s="443" t="n">
        <f aca="false">'Listado CAPS'!C21</f>
        <v>0</v>
      </c>
      <c r="D23" s="419" t="str">
        <f aca="false">'Listado CAPS'!D21</f>
        <v>R</v>
      </c>
      <c r="E23" s="449"/>
      <c r="F23" s="458"/>
      <c r="G23" s="453"/>
      <c r="H23" s="463"/>
      <c r="I23" s="448"/>
      <c r="J23" s="448"/>
    </row>
    <row r="24" customFormat="false" ht="22.5" hidden="false" customHeight="true" outlineLevel="0" collapsed="false">
      <c r="A24" s="443" t="n">
        <f aca="false">'Listado CAPS'!A22</f>
        <v>0</v>
      </c>
      <c r="B24" s="443" t="n">
        <f aca="false">'Listado CAPS'!B22</f>
        <v>0</v>
      </c>
      <c r="C24" s="443" t="n">
        <f aca="false">'Listado CAPS'!C22</f>
        <v>0</v>
      </c>
      <c r="D24" s="419" t="str">
        <f aca="false">'Listado CAPS'!D22</f>
        <v>S</v>
      </c>
      <c r="E24" s="449"/>
      <c r="F24" s="458"/>
      <c r="G24" s="453"/>
      <c r="H24" s="463"/>
      <c r="I24" s="448"/>
      <c r="J24" s="448"/>
    </row>
    <row r="25" customFormat="false" ht="22.5" hidden="false" customHeight="true" outlineLevel="0" collapsed="false">
      <c r="A25" s="443" t="n">
        <f aca="false">'Listado CAPS'!A23</f>
        <v>0</v>
      </c>
      <c r="B25" s="443" t="n">
        <f aca="false">'Listado CAPS'!B23</f>
        <v>0</v>
      </c>
      <c r="C25" s="443" t="n">
        <f aca="false">'Listado CAPS'!C23</f>
        <v>0</v>
      </c>
      <c r="D25" s="419" t="str">
        <f aca="false">'Listado CAPS'!D23</f>
        <v>T</v>
      </c>
      <c r="E25" s="449"/>
      <c r="F25" s="458"/>
      <c r="G25" s="453"/>
      <c r="H25" s="463"/>
      <c r="I25" s="448"/>
      <c r="J25" s="448"/>
    </row>
    <row r="26" customFormat="false" ht="22.5" hidden="false" customHeight="true" outlineLevel="0" collapsed="false">
      <c r="A26" s="443" t="n">
        <f aca="false">'Listado CAPS'!A24</f>
        <v>0</v>
      </c>
      <c r="B26" s="443" t="n">
        <f aca="false">'Listado CAPS'!B24</f>
        <v>0</v>
      </c>
      <c r="C26" s="443" t="n">
        <f aca="false">'Listado CAPS'!C24</f>
        <v>0</v>
      </c>
      <c r="D26" s="419" t="str">
        <f aca="false">'Listado CAPS'!D24</f>
        <v>U</v>
      </c>
      <c r="E26" s="449"/>
      <c r="F26" s="458"/>
      <c r="G26" s="453"/>
      <c r="H26" s="463"/>
      <c r="I26" s="448"/>
      <c r="J26" s="448"/>
    </row>
    <row r="27" customFormat="false" ht="22.5" hidden="false" customHeight="true" outlineLevel="0" collapsed="false">
      <c r="A27" s="443" t="n">
        <f aca="false">'Listado CAPS'!A25</f>
        <v>0</v>
      </c>
      <c r="B27" s="443" t="n">
        <f aca="false">'Listado CAPS'!B25</f>
        <v>0</v>
      </c>
      <c r="C27" s="443" t="n">
        <f aca="false">'Listado CAPS'!C25</f>
        <v>0</v>
      </c>
      <c r="D27" s="419" t="str">
        <f aca="false">'Listado CAPS'!D25</f>
        <v>V</v>
      </c>
      <c r="E27" s="449"/>
      <c r="F27" s="458"/>
      <c r="G27" s="453"/>
      <c r="H27" s="463"/>
      <c r="I27" s="448"/>
      <c r="J27" s="448"/>
    </row>
    <row r="28" customFormat="false" ht="22.5" hidden="false" customHeight="true" outlineLevel="0" collapsed="false">
      <c r="A28" s="443" t="n">
        <f aca="false">'Listado CAPS'!A26</f>
        <v>0</v>
      </c>
      <c r="B28" s="443" t="n">
        <f aca="false">'Listado CAPS'!B26</f>
        <v>0</v>
      </c>
      <c r="C28" s="443" t="n">
        <f aca="false">'Listado CAPS'!C26</f>
        <v>0</v>
      </c>
      <c r="D28" s="419" t="str">
        <f aca="false">'Listado CAPS'!D26</f>
        <v>W</v>
      </c>
      <c r="E28" s="449"/>
      <c r="F28" s="458"/>
      <c r="G28" s="453"/>
      <c r="H28" s="463"/>
      <c r="I28" s="448"/>
      <c r="J28" s="448"/>
    </row>
    <row r="29" customFormat="false" ht="22.5" hidden="false" customHeight="true" outlineLevel="0" collapsed="false">
      <c r="A29" s="443" t="n">
        <f aca="false">'Listado CAPS'!A27</f>
        <v>0</v>
      </c>
      <c r="B29" s="443" t="n">
        <f aca="false">'Listado CAPS'!B27</f>
        <v>0</v>
      </c>
      <c r="C29" s="443" t="n">
        <f aca="false">'Listado CAPS'!C27</f>
        <v>0</v>
      </c>
      <c r="D29" s="419" t="str">
        <f aca="false">'Listado CAPS'!D27</f>
        <v>X</v>
      </c>
      <c r="E29" s="449"/>
      <c r="F29" s="458"/>
      <c r="G29" s="453"/>
      <c r="H29" s="463"/>
      <c r="I29" s="448"/>
      <c r="J29" s="448"/>
    </row>
    <row r="30" s="259" customFormat="true" ht="22.5" hidden="false" customHeight="true" outlineLevel="0" collapsed="false">
      <c r="A30" s="443" t="n">
        <f aca="false">'Listado CAPS'!A28</f>
        <v>0</v>
      </c>
      <c r="B30" s="443" t="n">
        <f aca="false">'Listado CAPS'!B28</f>
        <v>0</v>
      </c>
      <c r="C30" s="443" t="n">
        <f aca="false">'Listado CAPS'!C28</f>
        <v>0</v>
      </c>
      <c r="D30" s="419" t="str">
        <f aca="false">'Listado CAPS'!D28</f>
        <v>Y</v>
      </c>
      <c r="E30" s="465"/>
      <c r="F30" s="466"/>
      <c r="G30" s="453"/>
      <c r="H30" s="463"/>
      <c r="I30" s="448"/>
      <c r="J30" s="448"/>
    </row>
    <row r="31" s="259" customFormat="true" ht="22.5" hidden="false" customHeight="true" outlineLevel="0" collapsed="false">
      <c r="E31" s="36"/>
      <c r="F31" s="36"/>
      <c r="G31" s="401"/>
      <c r="H31" s="401"/>
    </row>
    <row r="32" s="402" customFormat="true" ht="22.5" hidden="false" customHeight="true" outlineLevel="0" collapsed="false">
      <c r="A32" s="259"/>
      <c r="B32" s="259"/>
      <c r="C32" s="259"/>
      <c r="D32" s="259"/>
      <c r="E32" s="36"/>
      <c r="F32" s="36"/>
      <c r="N32" s="259"/>
      <c r="O32" s="259"/>
      <c r="P32" s="259"/>
      <c r="Q32" s="259"/>
      <c r="R32" s="259"/>
      <c r="S32" s="259"/>
      <c r="T32" s="259"/>
      <c r="U32" s="259"/>
      <c r="V32" s="259"/>
      <c r="W32" s="259"/>
      <c r="X32" s="259"/>
      <c r="Y32" s="259"/>
      <c r="Z32" s="259"/>
      <c r="AA32" s="259"/>
      <c r="AB32" s="259"/>
      <c r="AC32" s="259"/>
      <c r="AD32" s="259"/>
      <c r="AE32" s="259"/>
      <c r="AF32" s="259"/>
      <c r="AG32" s="259"/>
      <c r="AH32" s="259"/>
      <c r="AI32" s="259"/>
      <c r="AJ32" s="259"/>
      <c r="AK32" s="259"/>
      <c r="AL32" s="259"/>
      <c r="AM32" s="259"/>
      <c r="AN32" s="259"/>
      <c r="AO32" s="259"/>
      <c r="AP32" s="259"/>
      <c r="AQ32" s="259"/>
      <c r="AR32" s="259"/>
      <c r="AS32" s="259"/>
      <c r="AT32" s="259"/>
      <c r="AU32" s="259"/>
      <c r="AV32" s="259"/>
      <c r="AW32" s="259"/>
      <c r="AX32" s="259"/>
      <c r="AY32" s="259"/>
      <c r="AZ32" s="259"/>
      <c r="BA32" s="259"/>
      <c r="BB32" s="259"/>
      <c r="BC32" s="259"/>
      <c r="BD32" s="259"/>
      <c r="BE32" s="259"/>
      <c r="BF32" s="259"/>
      <c r="BG32" s="259"/>
      <c r="BH32" s="259"/>
      <c r="BI32" s="259"/>
      <c r="BJ32" s="259"/>
      <c r="BK32" s="259"/>
      <c r="BL32" s="259"/>
      <c r="BM32" s="259"/>
      <c r="BN32" s="259"/>
      <c r="BO32" s="259"/>
      <c r="BP32" s="259"/>
      <c r="BQ32" s="259"/>
      <c r="BR32" s="259"/>
      <c r="BS32" s="259"/>
      <c r="BT32" s="259"/>
      <c r="BU32" s="259"/>
      <c r="BV32" s="259"/>
      <c r="BW32" s="259"/>
      <c r="BX32" s="259"/>
      <c r="BY32" s="259"/>
      <c r="BZ32" s="259"/>
      <c r="CA32" s="259"/>
      <c r="CB32" s="259"/>
      <c r="CC32" s="259"/>
      <c r="CD32" s="259"/>
      <c r="CE32" s="259"/>
      <c r="CF32" s="259"/>
      <c r="CG32" s="259"/>
      <c r="CH32" s="259"/>
      <c r="CI32" s="259"/>
      <c r="CJ32" s="259"/>
      <c r="CK32" s="259"/>
      <c r="CL32" s="259"/>
      <c r="CM32" s="259"/>
      <c r="CN32" s="259"/>
      <c r="CO32" s="259"/>
      <c r="CP32" s="259"/>
      <c r="CQ32" s="259"/>
      <c r="CR32" s="259"/>
      <c r="CS32" s="259"/>
      <c r="CT32" s="259"/>
      <c r="CU32" s="259"/>
      <c r="CV32" s="259"/>
      <c r="CW32" s="259"/>
      <c r="CX32" s="259"/>
      <c r="CY32" s="259"/>
      <c r="CZ32" s="259"/>
      <c r="DA32" s="259"/>
      <c r="DB32" s="259"/>
      <c r="DC32" s="259"/>
      <c r="DD32" s="259"/>
      <c r="DE32" s="259"/>
      <c r="DF32" s="259"/>
      <c r="DG32" s="259"/>
      <c r="DH32" s="259"/>
      <c r="DI32" s="259"/>
      <c r="DJ32" s="259"/>
      <c r="DK32" s="259"/>
      <c r="DL32" s="259"/>
      <c r="DM32" s="259"/>
      <c r="DN32" s="259"/>
      <c r="DO32" s="259"/>
      <c r="DP32" s="259"/>
      <c r="DQ32" s="259"/>
      <c r="DR32" s="259"/>
      <c r="DS32" s="259"/>
      <c r="DT32" s="259"/>
      <c r="DU32" s="259"/>
      <c r="DV32" s="259"/>
      <c r="DW32" s="259"/>
      <c r="DX32" s="259"/>
      <c r="DY32" s="259"/>
      <c r="DZ32" s="259"/>
      <c r="EA32" s="259"/>
      <c r="EB32" s="259"/>
      <c r="EC32" s="259"/>
      <c r="ED32" s="259"/>
      <c r="EE32" s="259"/>
      <c r="EF32" s="259"/>
      <c r="EG32" s="259"/>
      <c r="EH32" s="259"/>
      <c r="EI32" s="259"/>
      <c r="EJ32" s="259"/>
      <c r="EK32" s="259"/>
      <c r="EL32" s="259"/>
      <c r="EM32" s="259"/>
      <c r="EN32" s="259"/>
      <c r="EO32" s="259"/>
      <c r="EP32" s="259"/>
      <c r="EQ32" s="259"/>
      <c r="ER32" s="259"/>
      <c r="ES32" s="259"/>
      <c r="ET32" s="259"/>
      <c r="EU32" s="259"/>
      <c r="EV32" s="259"/>
      <c r="EW32" s="259"/>
      <c r="EX32" s="259"/>
      <c r="EY32" s="259"/>
      <c r="EZ32" s="259"/>
      <c r="FA32" s="259"/>
      <c r="FB32" s="259"/>
      <c r="FC32" s="259"/>
      <c r="FD32" s="259"/>
      <c r="FE32" s="259"/>
      <c r="FF32" s="259"/>
      <c r="FG32" s="259"/>
    </row>
    <row r="33" s="402" customFormat="true" ht="22.5" hidden="false" customHeight="true" outlineLevel="0" collapsed="false">
      <c r="A33" s="259"/>
      <c r="B33" s="259"/>
      <c r="C33" s="259"/>
      <c r="D33" s="259"/>
      <c r="E33" s="36"/>
      <c r="F33" s="36"/>
      <c r="N33" s="259"/>
      <c r="O33" s="259"/>
      <c r="P33" s="259"/>
      <c r="Q33" s="259"/>
      <c r="R33" s="259"/>
      <c r="S33" s="259"/>
      <c r="T33" s="259"/>
      <c r="U33" s="259"/>
      <c r="V33" s="259"/>
      <c r="W33" s="259"/>
      <c r="X33" s="259"/>
      <c r="Y33" s="259"/>
      <c r="Z33" s="259"/>
      <c r="AA33" s="259"/>
      <c r="AB33" s="259"/>
      <c r="AC33" s="259"/>
      <c r="AD33" s="259"/>
      <c r="AE33" s="259"/>
      <c r="AF33" s="259"/>
      <c r="AG33" s="259"/>
      <c r="AH33" s="259"/>
      <c r="AI33" s="259"/>
      <c r="AJ33" s="259"/>
      <c r="AK33" s="259"/>
      <c r="AL33" s="259"/>
      <c r="AM33" s="259"/>
      <c r="AN33" s="259"/>
      <c r="AO33" s="259"/>
      <c r="AP33" s="259"/>
      <c r="AQ33" s="259"/>
      <c r="AR33" s="259"/>
      <c r="AS33" s="259"/>
      <c r="AT33" s="259"/>
      <c r="AU33" s="259"/>
      <c r="AV33" s="259"/>
      <c r="AW33" s="259"/>
      <c r="AX33" s="259"/>
      <c r="AY33" s="259"/>
      <c r="AZ33" s="259"/>
      <c r="BA33" s="259"/>
      <c r="BB33" s="259"/>
      <c r="BC33" s="259"/>
      <c r="BD33" s="259"/>
      <c r="BE33" s="259"/>
      <c r="BF33" s="259"/>
      <c r="BG33" s="259"/>
      <c r="BH33" s="259"/>
      <c r="BI33" s="259"/>
      <c r="BJ33" s="259"/>
      <c r="BK33" s="259"/>
      <c r="BL33" s="259"/>
      <c r="BM33" s="259"/>
      <c r="BN33" s="259"/>
      <c r="BO33" s="259"/>
      <c r="BP33" s="259"/>
      <c r="BQ33" s="259"/>
      <c r="BR33" s="259"/>
      <c r="BS33" s="259"/>
      <c r="BT33" s="259"/>
      <c r="BU33" s="259"/>
      <c r="BV33" s="259"/>
      <c r="BW33" s="259"/>
      <c r="BX33" s="259"/>
      <c r="BY33" s="259"/>
      <c r="BZ33" s="259"/>
      <c r="CA33" s="259"/>
      <c r="CB33" s="259"/>
      <c r="CC33" s="259"/>
      <c r="CD33" s="259"/>
      <c r="CE33" s="259"/>
      <c r="CF33" s="259"/>
      <c r="CG33" s="259"/>
      <c r="CH33" s="259"/>
      <c r="CI33" s="259"/>
      <c r="CJ33" s="259"/>
      <c r="CK33" s="259"/>
      <c r="CL33" s="259"/>
      <c r="CM33" s="259"/>
      <c r="CN33" s="259"/>
      <c r="CO33" s="259"/>
      <c r="CP33" s="259"/>
      <c r="CQ33" s="259"/>
      <c r="CR33" s="259"/>
      <c r="CS33" s="259"/>
      <c r="CT33" s="259"/>
      <c r="CU33" s="259"/>
      <c r="CV33" s="259"/>
      <c r="CW33" s="259"/>
      <c r="CX33" s="259"/>
      <c r="CY33" s="259"/>
      <c r="CZ33" s="259"/>
      <c r="DA33" s="259"/>
      <c r="DB33" s="259"/>
      <c r="DC33" s="259"/>
      <c r="DD33" s="259"/>
      <c r="DE33" s="259"/>
      <c r="DF33" s="259"/>
      <c r="DG33" s="259"/>
      <c r="DH33" s="259"/>
      <c r="DI33" s="259"/>
      <c r="DJ33" s="259"/>
      <c r="DK33" s="259"/>
      <c r="DL33" s="259"/>
      <c r="DM33" s="259"/>
      <c r="DN33" s="259"/>
      <c r="DO33" s="259"/>
      <c r="DP33" s="259"/>
      <c r="DQ33" s="259"/>
      <c r="DR33" s="259"/>
      <c r="DS33" s="259"/>
      <c r="DT33" s="259"/>
      <c r="DU33" s="259"/>
      <c r="DV33" s="259"/>
      <c r="DW33" s="259"/>
      <c r="DX33" s="259"/>
      <c r="DY33" s="259"/>
      <c r="DZ33" s="259"/>
      <c r="EA33" s="259"/>
      <c r="EB33" s="259"/>
      <c r="EC33" s="259"/>
      <c r="ED33" s="259"/>
      <c r="EE33" s="259"/>
      <c r="EF33" s="259"/>
      <c r="EG33" s="259"/>
      <c r="EH33" s="259"/>
      <c r="EI33" s="259"/>
      <c r="EJ33" s="259"/>
      <c r="EK33" s="259"/>
      <c r="EL33" s="259"/>
      <c r="EM33" s="259"/>
      <c r="EN33" s="259"/>
      <c r="EO33" s="259"/>
      <c r="EP33" s="259"/>
      <c r="EQ33" s="259"/>
      <c r="ER33" s="259"/>
      <c r="ES33" s="259"/>
      <c r="ET33" s="259"/>
      <c r="EU33" s="259"/>
      <c r="EV33" s="259"/>
      <c r="EW33" s="259"/>
      <c r="EX33" s="259"/>
      <c r="EY33" s="259"/>
      <c r="EZ33" s="259"/>
      <c r="FA33" s="259"/>
      <c r="FB33" s="259"/>
      <c r="FC33" s="259"/>
      <c r="FD33" s="259"/>
      <c r="FE33" s="259"/>
      <c r="FF33" s="259"/>
      <c r="FG33" s="259"/>
    </row>
    <row r="34" s="402" customFormat="true" ht="22.5" hidden="false" customHeight="true" outlineLevel="0" collapsed="false">
      <c r="A34" s="259"/>
      <c r="B34" s="259"/>
      <c r="C34" s="259"/>
      <c r="D34" s="259"/>
      <c r="E34" s="36"/>
      <c r="F34" s="36"/>
      <c r="N34" s="259"/>
      <c r="O34" s="259"/>
      <c r="P34" s="259"/>
      <c r="Q34" s="259"/>
      <c r="R34" s="259"/>
      <c r="S34" s="259"/>
      <c r="T34" s="259"/>
      <c r="U34" s="259"/>
      <c r="V34" s="259"/>
      <c r="W34" s="259"/>
      <c r="X34" s="259"/>
      <c r="Y34" s="259"/>
      <c r="Z34" s="259"/>
      <c r="AA34" s="259"/>
      <c r="AB34" s="259"/>
      <c r="AC34" s="259"/>
      <c r="AD34" s="259"/>
      <c r="AE34" s="259"/>
      <c r="AF34" s="259"/>
      <c r="AG34" s="259"/>
      <c r="AH34" s="259"/>
      <c r="AI34" s="259"/>
      <c r="AJ34" s="259"/>
      <c r="AK34" s="259"/>
      <c r="AL34" s="259"/>
      <c r="AM34" s="259"/>
      <c r="AN34" s="259"/>
      <c r="AO34" s="259"/>
      <c r="AP34" s="259"/>
      <c r="AQ34" s="259"/>
      <c r="AR34" s="259"/>
      <c r="AS34" s="259"/>
      <c r="AT34" s="259"/>
      <c r="AU34" s="259"/>
      <c r="AV34" s="259"/>
      <c r="AW34" s="259"/>
      <c r="AX34" s="259"/>
      <c r="AY34" s="259"/>
      <c r="AZ34" s="259"/>
      <c r="BA34" s="259"/>
      <c r="BB34" s="259"/>
      <c r="BC34" s="259"/>
      <c r="BD34" s="259"/>
      <c r="BE34" s="259"/>
      <c r="BF34" s="259"/>
      <c r="BG34" s="259"/>
      <c r="BH34" s="259"/>
      <c r="BI34" s="259"/>
      <c r="BJ34" s="259"/>
      <c r="BK34" s="259"/>
      <c r="BL34" s="259"/>
      <c r="BM34" s="259"/>
      <c r="BN34" s="259"/>
      <c r="BO34" s="259"/>
      <c r="BP34" s="259"/>
      <c r="BQ34" s="259"/>
      <c r="BR34" s="259"/>
      <c r="BS34" s="259"/>
      <c r="BT34" s="259"/>
      <c r="BU34" s="259"/>
      <c r="BV34" s="259"/>
      <c r="BW34" s="259"/>
      <c r="BX34" s="259"/>
      <c r="BY34" s="259"/>
      <c r="BZ34" s="259"/>
      <c r="CA34" s="259"/>
      <c r="CB34" s="259"/>
      <c r="CC34" s="259"/>
      <c r="CD34" s="259"/>
      <c r="CE34" s="259"/>
      <c r="CF34" s="259"/>
      <c r="CG34" s="259"/>
      <c r="CH34" s="259"/>
      <c r="CI34" s="259"/>
      <c r="CJ34" s="259"/>
      <c r="CK34" s="259"/>
      <c r="CL34" s="259"/>
      <c r="CM34" s="259"/>
      <c r="CN34" s="259"/>
      <c r="CO34" s="259"/>
      <c r="CP34" s="259"/>
      <c r="CQ34" s="259"/>
      <c r="CR34" s="259"/>
      <c r="CS34" s="259"/>
      <c r="CT34" s="259"/>
      <c r="CU34" s="259"/>
      <c r="CV34" s="259"/>
      <c r="CW34" s="259"/>
      <c r="CX34" s="259"/>
      <c r="CY34" s="259"/>
      <c r="CZ34" s="259"/>
      <c r="DA34" s="259"/>
      <c r="DB34" s="259"/>
      <c r="DC34" s="259"/>
      <c r="DD34" s="259"/>
      <c r="DE34" s="259"/>
      <c r="DF34" s="259"/>
      <c r="DG34" s="259"/>
      <c r="DH34" s="259"/>
      <c r="DI34" s="259"/>
      <c r="DJ34" s="259"/>
      <c r="DK34" s="259"/>
      <c r="DL34" s="259"/>
      <c r="DM34" s="259"/>
      <c r="DN34" s="259"/>
      <c r="DO34" s="259"/>
      <c r="DP34" s="259"/>
      <c r="DQ34" s="259"/>
      <c r="DR34" s="259"/>
      <c r="DS34" s="259"/>
      <c r="DT34" s="259"/>
      <c r="DU34" s="259"/>
      <c r="DV34" s="259"/>
      <c r="DW34" s="259"/>
      <c r="DX34" s="259"/>
      <c r="DY34" s="259"/>
      <c r="DZ34" s="259"/>
      <c r="EA34" s="259"/>
      <c r="EB34" s="259"/>
      <c r="EC34" s="259"/>
      <c r="ED34" s="259"/>
      <c r="EE34" s="259"/>
      <c r="EF34" s="259"/>
      <c r="EG34" s="259"/>
      <c r="EH34" s="259"/>
      <c r="EI34" s="259"/>
      <c r="EJ34" s="259"/>
      <c r="EK34" s="259"/>
      <c r="EL34" s="259"/>
      <c r="EM34" s="259"/>
      <c r="EN34" s="259"/>
      <c r="EO34" s="259"/>
      <c r="EP34" s="259"/>
      <c r="EQ34" s="259"/>
      <c r="ER34" s="259"/>
      <c r="ES34" s="259"/>
      <c r="ET34" s="259"/>
      <c r="EU34" s="259"/>
      <c r="EV34" s="259"/>
      <c r="EW34" s="259"/>
      <c r="EX34" s="259"/>
      <c r="EY34" s="259"/>
      <c r="EZ34" s="259"/>
      <c r="FA34" s="259"/>
      <c r="FB34" s="259"/>
      <c r="FC34" s="259"/>
      <c r="FD34" s="259"/>
      <c r="FE34" s="259"/>
      <c r="FF34" s="259"/>
      <c r="FG34" s="259"/>
    </row>
    <row r="35" s="402" customFormat="true" ht="22.5" hidden="false" customHeight="true" outlineLevel="0" collapsed="false">
      <c r="A35" s="259"/>
      <c r="B35" s="259"/>
      <c r="C35" s="259"/>
      <c r="D35" s="259"/>
      <c r="E35" s="36"/>
      <c r="F35" s="36"/>
      <c r="G35" s="401"/>
      <c r="H35" s="401"/>
      <c r="I35" s="401"/>
      <c r="N35" s="259"/>
      <c r="O35" s="259"/>
      <c r="P35" s="259"/>
      <c r="Q35" s="259"/>
      <c r="R35" s="259"/>
      <c r="S35" s="259"/>
      <c r="T35" s="259"/>
      <c r="U35" s="259"/>
      <c r="V35" s="259"/>
      <c r="W35" s="259"/>
      <c r="X35" s="259"/>
      <c r="Y35" s="259"/>
      <c r="Z35" s="259"/>
      <c r="AA35" s="259"/>
      <c r="AB35" s="259"/>
      <c r="AC35" s="259"/>
      <c r="AD35" s="259"/>
      <c r="AE35" s="259"/>
      <c r="AF35" s="259"/>
      <c r="AG35" s="259"/>
      <c r="AH35" s="259"/>
      <c r="AI35" s="259"/>
      <c r="AJ35" s="259"/>
      <c r="AK35" s="259"/>
      <c r="AL35" s="259"/>
      <c r="AM35" s="259"/>
      <c r="AN35" s="259"/>
      <c r="AO35" s="259"/>
      <c r="AP35" s="259"/>
      <c r="AQ35" s="259"/>
      <c r="AR35" s="259"/>
      <c r="AS35" s="259"/>
      <c r="AT35" s="259"/>
      <c r="AU35" s="259"/>
      <c r="AV35" s="259"/>
      <c r="AW35" s="259"/>
      <c r="AX35" s="259"/>
      <c r="AY35" s="259"/>
      <c r="AZ35" s="259"/>
      <c r="BA35" s="259"/>
      <c r="BB35" s="259"/>
      <c r="BC35" s="259"/>
      <c r="BD35" s="259"/>
      <c r="BE35" s="259"/>
      <c r="BF35" s="259"/>
      <c r="BG35" s="259"/>
      <c r="BH35" s="259"/>
      <c r="BI35" s="259"/>
      <c r="BJ35" s="259"/>
      <c r="BK35" s="259"/>
      <c r="BL35" s="259"/>
      <c r="BM35" s="259"/>
      <c r="BN35" s="259"/>
      <c r="BO35" s="259"/>
      <c r="BP35" s="259"/>
      <c r="BQ35" s="259"/>
      <c r="BR35" s="259"/>
      <c r="BS35" s="259"/>
      <c r="BT35" s="259"/>
      <c r="BU35" s="259"/>
      <c r="BV35" s="259"/>
      <c r="BW35" s="259"/>
      <c r="BX35" s="259"/>
      <c r="BY35" s="259"/>
      <c r="BZ35" s="259"/>
      <c r="CA35" s="259"/>
      <c r="CB35" s="259"/>
      <c r="CC35" s="259"/>
      <c r="CD35" s="259"/>
      <c r="CE35" s="259"/>
      <c r="CF35" s="259"/>
      <c r="CG35" s="259"/>
      <c r="CH35" s="259"/>
      <c r="CI35" s="259"/>
      <c r="CJ35" s="259"/>
      <c r="CK35" s="259"/>
      <c r="CL35" s="259"/>
      <c r="CM35" s="259"/>
      <c r="CN35" s="259"/>
      <c r="CO35" s="259"/>
      <c r="CP35" s="259"/>
      <c r="CQ35" s="259"/>
      <c r="CR35" s="259"/>
      <c r="CS35" s="259"/>
      <c r="CT35" s="259"/>
      <c r="CU35" s="259"/>
      <c r="CV35" s="259"/>
      <c r="CW35" s="259"/>
      <c r="CX35" s="259"/>
      <c r="CY35" s="259"/>
      <c r="CZ35" s="259"/>
      <c r="DA35" s="259"/>
      <c r="DB35" s="259"/>
      <c r="DC35" s="259"/>
      <c r="DD35" s="259"/>
      <c r="DE35" s="259"/>
      <c r="DF35" s="259"/>
      <c r="DG35" s="259"/>
      <c r="DH35" s="259"/>
      <c r="DI35" s="259"/>
      <c r="DJ35" s="259"/>
      <c r="DK35" s="259"/>
      <c r="DL35" s="259"/>
      <c r="DM35" s="259"/>
      <c r="DN35" s="259"/>
      <c r="DO35" s="259"/>
      <c r="DP35" s="259"/>
      <c r="DQ35" s="259"/>
      <c r="DR35" s="259"/>
      <c r="DS35" s="259"/>
      <c r="DT35" s="259"/>
      <c r="DU35" s="259"/>
      <c r="DV35" s="259"/>
      <c r="DW35" s="259"/>
      <c r="DX35" s="259"/>
      <c r="DY35" s="259"/>
      <c r="DZ35" s="259"/>
      <c r="EA35" s="259"/>
      <c r="EB35" s="259"/>
      <c r="EC35" s="259"/>
      <c r="ED35" s="259"/>
      <c r="EE35" s="259"/>
      <c r="EF35" s="259"/>
      <c r="EG35" s="259"/>
      <c r="EH35" s="259"/>
      <c r="EI35" s="259"/>
      <c r="EJ35" s="259"/>
      <c r="EK35" s="259"/>
      <c r="EL35" s="259"/>
      <c r="EM35" s="259"/>
      <c r="EN35" s="259"/>
      <c r="EO35" s="259"/>
      <c r="EP35" s="259"/>
      <c r="EQ35" s="259"/>
      <c r="ER35" s="259"/>
      <c r="ES35" s="259"/>
      <c r="ET35" s="259"/>
      <c r="EU35" s="259"/>
      <c r="EV35" s="259"/>
      <c r="EW35" s="259"/>
      <c r="EX35" s="259"/>
      <c r="EY35" s="259"/>
      <c r="EZ35" s="259"/>
      <c r="FA35" s="259"/>
      <c r="FB35" s="259"/>
      <c r="FC35" s="259"/>
      <c r="FD35" s="259"/>
      <c r="FE35" s="259"/>
      <c r="FF35" s="259"/>
      <c r="FG35" s="259"/>
    </row>
    <row r="36" s="402" customFormat="true" ht="22.5" hidden="false" customHeight="true" outlineLevel="0" collapsed="false">
      <c r="A36" s="259"/>
      <c r="B36" s="259"/>
      <c r="C36" s="259"/>
      <c r="D36" s="259"/>
      <c r="E36" s="36"/>
      <c r="F36" s="36"/>
      <c r="G36" s="401"/>
      <c r="H36" s="401"/>
      <c r="I36" s="401"/>
      <c r="N36" s="259"/>
      <c r="O36" s="259"/>
      <c r="P36" s="259"/>
      <c r="Q36" s="259"/>
      <c r="R36" s="259"/>
      <c r="S36" s="259"/>
      <c r="T36" s="259"/>
      <c r="U36" s="259"/>
      <c r="V36" s="259"/>
      <c r="W36" s="259"/>
      <c r="X36" s="259"/>
      <c r="Y36" s="259"/>
      <c r="Z36" s="259"/>
      <c r="AA36" s="259"/>
      <c r="AB36" s="259"/>
      <c r="AC36" s="259"/>
      <c r="AD36" s="259"/>
      <c r="AE36" s="259"/>
      <c r="AF36" s="259"/>
      <c r="AG36" s="259"/>
      <c r="AH36" s="259"/>
      <c r="AI36" s="259"/>
      <c r="AJ36" s="259"/>
      <c r="AK36" s="259"/>
      <c r="AL36" s="259"/>
      <c r="AM36" s="259"/>
      <c r="AN36" s="259"/>
      <c r="AO36" s="259"/>
      <c r="AP36" s="259"/>
      <c r="AQ36" s="259"/>
      <c r="AR36" s="259"/>
      <c r="AS36" s="259"/>
      <c r="AT36" s="259"/>
      <c r="AU36" s="259"/>
      <c r="AV36" s="259"/>
      <c r="AW36" s="259"/>
      <c r="AX36" s="259"/>
      <c r="AY36" s="259"/>
      <c r="AZ36" s="259"/>
      <c r="BA36" s="259"/>
      <c r="BB36" s="259"/>
      <c r="BC36" s="259"/>
      <c r="BD36" s="259"/>
      <c r="BE36" s="259"/>
      <c r="BF36" s="259"/>
      <c r="BG36" s="259"/>
      <c r="BH36" s="259"/>
      <c r="BI36" s="259"/>
      <c r="BJ36" s="259"/>
      <c r="BK36" s="259"/>
      <c r="BL36" s="259"/>
      <c r="BM36" s="259"/>
      <c r="BN36" s="259"/>
      <c r="BO36" s="259"/>
      <c r="BP36" s="259"/>
      <c r="BQ36" s="259"/>
      <c r="BR36" s="259"/>
      <c r="BS36" s="259"/>
      <c r="BT36" s="259"/>
      <c r="BU36" s="259"/>
      <c r="BV36" s="259"/>
      <c r="BW36" s="259"/>
      <c r="BX36" s="259"/>
      <c r="BY36" s="259"/>
      <c r="BZ36" s="259"/>
      <c r="CA36" s="259"/>
      <c r="CB36" s="259"/>
      <c r="CC36" s="259"/>
      <c r="CD36" s="259"/>
      <c r="CE36" s="259"/>
      <c r="CF36" s="259"/>
      <c r="CG36" s="259"/>
      <c r="CH36" s="259"/>
      <c r="CI36" s="259"/>
      <c r="CJ36" s="259"/>
      <c r="CK36" s="259"/>
      <c r="CL36" s="259"/>
      <c r="CM36" s="259"/>
      <c r="CN36" s="259"/>
      <c r="CO36" s="259"/>
      <c r="CP36" s="259"/>
      <c r="CQ36" s="259"/>
      <c r="CR36" s="259"/>
      <c r="CS36" s="259"/>
      <c r="CT36" s="259"/>
      <c r="CU36" s="259"/>
      <c r="CV36" s="259"/>
      <c r="CW36" s="259"/>
      <c r="CX36" s="259"/>
      <c r="CY36" s="259"/>
      <c r="CZ36" s="259"/>
      <c r="DA36" s="259"/>
      <c r="DB36" s="259"/>
      <c r="DC36" s="259"/>
      <c r="DD36" s="259"/>
      <c r="DE36" s="259"/>
      <c r="DF36" s="259"/>
      <c r="DG36" s="259"/>
      <c r="DH36" s="259"/>
      <c r="DI36" s="259"/>
      <c r="DJ36" s="259"/>
      <c r="DK36" s="259"/>
      <c r="DL36" s="259"/>
      <c r="DM36" s="259"/>
      <c r="DN36" s="259"/>
      <c r="DO36" s="259"/>
      <c r="DP36" s="259"/>
      <c r="DQ36" s="259"/>
      <c r="DR36" s="259"/>
      <c r="DS36" s="259"/>
      <c r="DT36" s="259"/>
      <c r="DU36" s="259"/>
      <c r="DV36" s="259"/>
      <c r="DW36" s="259"/>
      <c r="DX36" s="259"/>
      <c r="DY36" s="259"/>
      <c r="DZ36" s="259"/>
      <c r="EA36" s="259"/>
      <c r="EB36" s="259"/>
      <c r="EC36" s="259"/>
      <c r="ED36" s="259"/>
      <c r="EE36" s="259"/>
      <c r="EF36" s="259"/>
      <c r="EG36" s="259"/>
      <c r="EH36" s="259"/>
      <c r="EI36" s="259"/>
      <c r="EJ36" s="259"/>
      <c r="EK36" s="259"/>
      <c r="EL36" s="259"/>
      <c r="EM36" s="259"/>
      <c r="EN36" s="259"/>
      <c r="EO36" s="259"/>
      <c r="EP36" s="259"/>
      <c r="EQ36" s="259"/>
      <c r="ER36" s="259"/>
      <c r="ES36" s="259"/>
      <c r="ET36" s="259"/>
      <c r="EU36" s="259"/>
      <c r="EV36" s="259"/>
      <c r="EW36" s="259"/>
      <c r="EX36" s="259"/>
      <c r="EY36" s="259"/>
      <c r="EZ36" s="259"/>
      <c r="FA36" s="259"/>
      <c r="FB36" s="259"/>
      <c r="FC36" s="259"/>
      <c r="FD36" s="259"/>
      <c r="FE36" s="259"/>
      <c r="FF36" s="259"/>
      <c r="FG36" s="259"/>
    </row>
  </sheetData>
  <mergeCells count="39">
    <mergeCell ref="B1:C1"/>
    <mergeCell ref="D1:F1"/>
    <mergeCell ref="C2:D2"/>
    <mergeCell ref="E2:F2"/>
    <mergeCell ref="A3:A4"/>
    <mergeCell ref="B3:B4"/>
    <mergeCell ref="C3:C4"/>
    <mergeCell ref="D3:D4"/>
    <mergeCell ref="E3:E4"/>
    <mergeCell ref="F3:F4"/>
    <mergeCell ref="G3:G4"/>
    <mergeCell ref="H3:H4"/>
    <mergeCell ref="I3:J4"/>
    <mergeCell ref="I5:J5"/>
    <mergeCell ref="I6:J6"/>
    <mergeCell ref="I7:J7"/>
    <mergeCell ref="I8:J8"/>
    <mergeCell ref="I9:J9"/>
    <mergeCell ref="I10:J10"/>
    <mergeCell ref="I11:J11"/>
    <mergeCell ref="I12:J12"/>
    <mergeCell ref="I13:J13"/>
    <mergeCell ref="I14:J14"/>
    <mergeCell ref="I15:J15"/>
    <mergeCell ref="I16:J16"/>
    <mergeCell ref="I17:J17"/>
    <mergeCell ref="I18:J18"/>
    <mergeCell ref="I19:J19"/>
    <mergeCell ref="I20:J20"/>
    <mergeCell ref="I21:J21"/>
    <mergeCell ref="I22:J22"/>
    <mergeCell ref="I23:J23"/>
    <mergeCell ref="I24:J24"/>
    <mergeCell ref="I25:J25"/>
    <mergeCell ref="I26:J26"/>
    <mergeCell ref="I27:J27"/>
    <mergeCell ref="I28:J28"/>
    <mergeCell ref="I29:J29"/>
    <mergeCell ref="I30:J30"/>
  </mergeCells>
  <hyperlinks>
    <hyperlink ref="B1" location="'Tabla de Contenidos'!A1" display="Volver a Tabla de contenidos"/>
    <hyperlink ref="G1" location="'RESULTADO FINAL SOSTENIBILIDAD'!A1" display="Ir a Resultados Finales"/>
  </hyperlinks>
  <printOptions headings="false" gridLines="false" gridLinesSet="true" horizontalCentered="false" verticalCentered="false"/>
  <pageMargins left="0.708333333333333" right="0.708333333333333" top="0.747916666666667" bottom="0.748611111111111" header="0.511811023622047" footer="0.315277777777778"/>
  <pageSetup paperSize="5" scale="55" fitToWidth="1" fitToHeight="1" pageOrder="downThenOver" orientation="landscape" blackAndWhite="false" draft="false" cellComments="none" horizontalDpi="300" verticalDpi="300" copies="1"/>
  <headerFooter differentFirst="false" differentOddEven="false">
    <oddHeader/>
    <oddFooter>&amp;C&amp;Pde&amp;N&amp;R&amp;F</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EEB"/>
    <pageSetUpPr fitToPage="false"/>
  </sheetPr>
  <dimension ref="A1:FO622"/>
  <sheetViews>
    <sheetView showFormulas="false" showGridLines="false" showRowColHeaders="true" showZeros="true" rightToLeft="false" tabSelected="false" showOutlineSymbols="true" defaultGridColor="true" view="normal" topLeftCell="D1" colorId="64" zoomScale="90" zoomScaleNormal="90" zoomScalePageLayoutView="100" workbookViewId="0">
      <selection pane="topLeft" activeCell="I2" activeCellId="0" sqref="I2"/>
    </sheetView>
  </sheetViews>
  <sheetFormatPr defaultColWidth="11.43359375" defaultRowHeight="15.75" customHeight="false" zeroHeight="false" outlineLevelRow="0" outlineLevelCol="0"/>
  <cols>
    <col collapsed="false" customWidth="true" hidden="false" outlineLevel="0" max="1" min="1" style="259" width="13.42"/>
    <col collapsed="false" customWidth="true" hidden="false" outlineLevel="0" max="2" min="2" style="259" width="12.29"/>
    <col collapsed="false" customWidth="true" hidden="false" outlineLevel="0" max="3" min="3" style="259" width="16.71"/>
    <col collapsed="false" customWidth="true" hidden="false" outlineLevel="0" max="4" min="4" style="467" width="25.29"/>
    <col collapsed="false" customWidth="true" hidden="false" outlineLevel="0" max="6" min="5" style="36" width="18.29"/>
    <col collapsed="false" customWidth="true" hidden="false" outlineLevel="0" max="13" min="7" style="91" width="18.29"/>
    <col collapsed="false" customWidth="true" hidden="false" outlineLevel="0" max="14" min="14" style="36" width="18.29"/>
    <col collapsed="false" customWidth="true" hidden="false" outlineLevel="0" max="15" min="15" style="401" width="21.29"/>
    <col collapsed="false" customWidth="true" hidden="false" outlineLevel="0" max="16" min="16" style="401" width="17.15"/>
    <col collapsed="false" customWidth="true" hidden="false" outlineLevel="0" max="17" min="17" style="401" width="16.43"/>
    <col collapsed="false" customWidth="true" hidden="false" outlineLevel="0" max="18" min="18" style="402" width="21.43"/>
    <col collapsed="false" customWidth="true" hidden="false" outlineLevel="0" max="19" min="19" style="402" width="16.71"/>
    <col collapsed="false" customWidth="true" hidden="false" outlineLevel="0" max="20" min="20" style="402" width="14.57"/>
    <col collapsed="false" customWidth="true" hidden="false" outlineLevel="0" max="21" min="21" style="402" width="6.57"/>
    <col collapsed="false" customWidth="true" hidden="false" outlineLevel="0" max="22" min="22" style="259" width="13.42"/>
    <col collapsed="false" customWidth="true" hidden="false" outlineLevel="0" max="23" min="23" style="259" width="12.86"/>
    <col collapsed="false" customWidth="true" hidden="false" outlineLevel="0" max="24" min="24" style="259" width="12.42"/>
    <col collapsed="false" customWidth="true" hidden="false" outlineLevel="0" max="25" min="25" style="259" width="14.42"/>
    <col collapsed="false" customWidth="true" hidden="false" outlineLevel="0" max="26" min="26" style="259" width="9.86"/>
    <col collapsed="false" customWidth="true" hidden="false" outlineLevel="0" max="27" min="27" style="259" width="17.15"/>
    <col collapsed="false" customWidth="true" hidden="false" outlineLevel="0" max="29" min="28" style="259" width="4.71"/>
    <col collapsed="false" customWidth="true" hidden="false" outlineLevel="0" max="30" min="30" style="259" width="16.71"/>
    <col collapsed="false" customWidth="true" hidden="false" outlineLevel="0" max="31" min="31" style="259" width="11"/>
    <col collapsed="false" customWidth="false" hidden="false" outlineLevel="0" max="16384" min="32" style="259" width="11.43"/>
  </cols>
  <sheetData>
    <row r="1" s="406" customFormat="true" ht="52.5" hidden="false" customHeight="true" outlineLevel="0" collapsed="false">
      <c r="A1" s="403"/>
      <c r="B1" s="403"/>
      <c r="C1" s="188" t="s">
        <v>246</v>
      </c>
      <c r="D1" s="468"/>
      <c r="E1" s="469" t="s">
        <v>434</v>
      </c>
      <c r="F1" s="469"/>
      <c r="G1" s="469"/>
      <c r="H1" s="469"/>
      <c r="I1" s="469"/>
      <c r="J1" s="469"/>
      <c r="K1" s="469"/>
      <c r="L1" s="469"/>
      <c r="M1" s="469"/>
      <c r="N1" s="469"/>
      <c r="O1" s="434" t="s">
        <v>176</v>
      </c>
      <c r="P1" s="435"/>
      <c r="Q1" s="436"/>
      <c r="R1" s="436"/>
      <c r="V1" s="259"/>
      <c r="W1" s="259"/>
      <c r="X1" s="259"/>
      <c r="Y1" s="259"/>
      <c r="Z1" s="259"/>
      <c r="AA1" s="259"/>
      <c r="AB1" s="259"/>
      <c r="AC1" s="259"/>
      <c r="AD1" s="259"/>
      <c r="AE1" s="259"/>
      <c r="AF1" s="259"/>
      <c r="AG1" s="259"/>
      <c r="AH1" s="259"/>
      <c r="AI1" s="259"/>
      <c r="AJ1" s="259"/>
      <c r="AK1" s="259"/>
      <c r="AL1" s="259"/>
      <c r="AM1" s="259"/>
      <c r="AN1" s="259"/>
      <c r="AO1" s="259"/>
      <c r="AP1" s="259"/>
      <c r="AQ1" s="259"/>
      <c r="AR1" s="259"/>
      <c r="AS1" s="259"/>
      <c r="AT1" s="259"/>
      <c r="AU1" s="259"/>
      <c r="AV1" s="259"/>
      <c r="AW1" s="259"/>
      <c r="AX1" s="259"/>
      <c r="AY1" s="259"/>
      <c r="AZ1" s="259"/>
      <c r="BA1" s="259"/>
      <c r="BB1" s="259"/>
      <c r="BC1" s="259"/>
      <c r="BD1" s="259"/>
      <c r="BE1" s="259"/>
      <c r="BF1" s="259"/>
      <c r="BG1" s="259"/>
      <c r="BH1" s="259"/>
      <c r="BI1" s="259"/>
      <c r="BJ1" s="259"/>
      <c r="BK1" s="259"/>
      <c r="BL1" s="259"/>
      <c r="BM1" s="259"/>
      <c r="BN1" s="259"/>
      <c r="BO1" s="259"/>
      <c r="BP1" s="259"/>
      <c r="BQ1" s="259"/>
      <c r="BR1" s="259"/>
      <c r="BS1" s="259"/>
      <c r="BT1" s="259"/>
      <c r="BU1" s="259"/>
      <c r="BV1" s="259"/>
      <c r="BW1" s="259"/>
      <c r="BX1" s="259"/>
      <c r="BY1" s="259"/>
      <c r="BZ1" s="259"/>
      <c r="CA1" s="259"/>
      <c r="CB1" s="259"/>
      <c r="CC1" s="259"/>
      <c r="CD1" s="259"/>
      <c r="CE1" s="259"/>
      <c r="CF1" s="259"/>
      <c r="CG1" s="259"/>
      <c r="CH1" s="259"/>
      <c r="CI1" s="259"/>
      <c r="CJ1" s="259"/>
      <c r="CK1" s="259"/>
      <c r="CL1" s="259"/>
      <c r="CM1" s="259"/>
      <c r="CN1" s="259"/>
      <c r="CO1" s="259"/>
      <c r="CP1" s="259"/>
      <c r="CQ1" s="259"/>
      <c r="CR1" s="259"/>
      <c r="CS1" s="259"/>
      <c r="CT1" s="259"/>
      <c r="CU1" s="259"/>
      <c r="CV1" s="259"/>
      <c r="CW1" s="259"/>
      <c r="CX1" s="259"/>
      <c r="CY1" s="259"/>
      <c r="CZ1" s="259"/>
      <c r="DA1" s="259"/>
      <c r="DB1" s="259"/>
      <c r="DC1" s="259"/>
      <c r="DD1" s="259"/>
      <c r="DE1" s="259"/>
      <c r="DF1" s="259"/>
      <c r="DG1" s="259"/>
      <c r="DH1" s="259"/>
      <c r="DI1" s="259"/>
      <c r="DJ1" s="259"/>
      <c r="DK1" s="259"/>
      <c r="DL1" s="259"/>
      <c r="DM1" s="259"/>
      <c r="DN1" s="259"/>
      <c r="DO1" s="259"/>
      <c r="DP1" s="259"/>
      <c r="DQ1" s="259"/>
      <c r="DR1" s="259"/>
      <c r="DS1" s="259"/>
      <c r="DT1" s="259"/>
      <c r="DU1" s="259"/>
      <c r="DV1" s="259"/>
      <c r="DW1" s="259"/>
      <c r="DX1" s="259"/>
      <c r="DY1" s="259"/>
      <c r="DZ1" s="259"/>
      <c r="EA1" s="259"/>
      <c r="EB1" s="259"/>
      <c r="EC1" s="259"/>
      <c r="ED1" s="259"/>
      <c r="EE1" s="259"/>
      <c r="EF1" s="259"/>
      <c r="EG1" s="259"/>
      <c r="EH1" s="259"/>
      <c r="EI1" s="259"/>
      <c r="EJ1" s="259"/>
      <c r="EK1" s="259"/>
      <c r="EL1" s="259"/>
      <c r="EM1" s="259"/>
      <c r="EN1" s="259"/>
      <c r="EO1" s="259"/>
      <c r="EP1" s="259"/>
      <c r="EQ1" s="259"/>
      <c r="ER1" s="259"/>
      <c r="ES1" s="259"/>
      <c r="ET1" s="259"/>
      <c r="EU1" s="259"/>
      <c r="EV1" s="259"/>
      <c r="EW1" s="259"/>
      <c r="EX1" s="259"/>
      <c r="EY1" s="259"/>
      <c r="EZ1" s="259"/>
      <c r="FA1" s="259"/>
      <c r="FB1" s="259"/>
      <c r="FC1" s="259"/>
      <c r="FD1" s="259"/>
      <c r="FE1" s="259"/>
      <c r="FF1" s="259"/>
      <c r="FG1" s="259"/>
      <c r="FH1" s="259"/>
      <c r="FI1" s="259"/>
      <c r="FJ1" s="259"/>
      <c r="FK1" s="259"/>
      <c r="FL1" s="259"/>
      <c r="FM1" s="259"/>
      <c r="FN1" s="259"/>
      <c r="FO1" s="259"/>
    </row>
    <row r="2" s="406" customFormat="true" ht="71.25" hidden="false" customHeight="true" outlineLevel="0" collapsed="false">
      <c r="A2" s="315"/>
      <c r="B2" s="315"/>
      <c r="C2" s="315"/>
      <c r="D2" s="315"/>
      <c r="E2" s="470"/>
      <c r="F2" s="407" t="s">
        <v>435</v>
      </c>
      <c r="G2" s="407"/>
      <c r="H2" s="407"/>
      <c r="I2" s="318" t="s">
        <v>436</v>
      </c>
      <c r="J2" s="318"/>
      <c r="K2" s="318"/>
      <c r="L2" s="318"/>
      <c r="M2" s="318"/>
      <c r="N2" s="318"/>
      <c r="O2" s="315"/>
      <c r="P2" s="315"/>
      <c r="Q2" s="315"/>
      <c r="R2" s="315"/>
      <c r="S2" s="315"/>
      <c r="V2" s="259"/>
      <c r="W2" s="259"/>
      <c r="X2" s="259"/>
      <c r="Y2" s="259"/>
      <c r="Z2" s="259"/>
      <c r="AA2" s="259"/>
      <c r="AB2" s="259"/>
      <c r="AC2" s="259"/>
      <c r="AD2" s="259"/>
      <c r="AE2" s="259"/>
      <c r="AF2" s="259"/>
      <c r="AG2" s="259"/>
      <c r="AH2" s="259"/>
      <c r="AI2" s="259"/>
      <c r="AJ2" s="259"/>
      <c r="AK2" s="259"/>
      <c r="AL2" s="259"/>
      <c r="AM2" s="259"/>
      <c r="AN2" s="259"/>
      <c r="AO2" s="259"/>
      <c r="AP2" s="259"/>
      <c r="AQ2" s="259"/>
      <c r="AR2" s="259"/>
      <c r="AS2" s="259"/>
      <c r="AT2" s="259"/>
      <c r="AU2" s="259"/>
      <c r="AV2" s="259"/>
      <c r="AW2" s="259"/>
      <c r="AX2" s="259"/>
      <c r="AY2" s="259"/>
      <c r="AZ2" s="259"/>
      <c r="BA2" s="259"/>
      <c r="BB2" s="259"/>
      <c r="BC2" s="259"/>
      <c r="BD2" s="259"/>
      <c r="BE2" s="259"/>
      <c r="BF2" s="259"/>
      <c r="BG2" s="259"/>
      <c r="BH2" s="259"/>
      <c r="BI2" s="259"/>
      <c r="BJ2" s="259"/>
      <c r="BK2" s="259"/>
      <c r="BL2" s="259"/>
      <c r="BM2" s="259"/>
      <c r="BN2" s="259"/>
      <c r="BO2" s="259"/>
      <c r="BP2" s="259"/>
      <c r="BQ2" s="259"/>
      <c r="BR2" s="259"/>
      <c r="BS2" s="259"/>
      <c r="BT2" s="259"/>
      <c r="BU2" s="259"/>
      <c r="BV2" s="259"/>
      <c r="BW2" s="259"/>
      <c r="BX2" s="259"/>
      <c r="BY2" s="259"/>
      <c r="BZ2" s="259"/>
      <c r="CA2" s="259"/>
      <c r="CB2" s="259"/>
      <c r="CC2" s="259"/>
      <c r="CD2" s="259"/>
      <c r="CE2" s="259"/>
      <c r="CF2" s="259"/>
      <c r="CG2" s="259"/>
      <c r="CH2" s="259"/>
      <c r="CI2" s="259"/>
      <c r="CJ2" s="259"/>
      <c r="CK2" s="259"/>
      <c r="CL2" s="259"/>
      <c r="CM2" s="259"/>
      <c r="CN2" s="259"/>
      <c r="CO2" s="259"/>
      <c r="CP2" s="259"/>
      <c r="CQ2" s="259"/>
      <c r="CR2" s="259"/>
      <c r="CS2" s="259"/>
      <c r="CT2" s="259"/>
      <c r="CU2" s="259"/>
      <c r="CV2" s="259"/>
      <c r="CW2" s="259"/>
      <c r="CX2" s="259"/>
      <c r="CY2" s="259"/>
      <c r="CZ2" s="259"/>
      <c r="DA2" s="259"/>
      <c r="DB2" s="259"/>
      <c r="DC2" s="259"/>
      <c r="DD2" s="259"/>
      <c r="DE2" s="259"/>
      <c r="DF2" s="259"/>
      <c r="DG2" s="259"/>
      <c r="DH2" s="259"/>
      <c r="DI2" s="259"/>
      <c r="DJ2" s="259"/>
      <c r="DK2" s="259"/>
      <c r="DL2" s="259"/>
      <c r="DM2" s="259"/>
      <c r="DN2" s="259"/>
      <c r="DO2" s="259"/>
      <c r="DP2" s="259"/>
      <c r="DQ2" s="259"/>
      <c r="DR2" s="259"/>
      <c r="DS2" s="259"/>
      <c r="DT2" s="259"/>
      <c r="DU2" s="259"/>
      <c r="DV2" s="259"/>
      <c r="DW2" s="259"/>
      <c r="DX2" s="259"/>
      <c r="DY2" s="259"/>
      <c r="DZ2" s="259"/>
      <c r="EA2" s="259"/>
      <c r="EB2" s="259"/>
      <c r="EC2" s="259"/>
      <c r="ED2" s="259"/>
      <c r="EE2" s="259"/>
      <c r="EF2" s="259"/>
      <c r="EG2" s="259"/>
      <c r="EH2" s="259"/>
      <c r="EI2" s="259"/>
      <c r="EJ2" s="259"/>
      <c r="EK2" s="259"/>
      <c r="EL2" s="259"/>
      <c r="EM2" s="259"/>
      <c r="EN2" s="259"/>
      <c r="EO2" s="259"/>
      <c r="EP2" s="259"/>
      <c r="EQ2" s="259"/>
      <c r="ER2" s="259"/>
      <c r="ES2" s="259"/>
      <c r="ET2" s="259"/>
      <c r="EU2" s="259"/>
      <c r="EV2" s="259"/>
      <c r="EW2" s="259"/>
      <c r="EX2" s="259"/>
      <c r="EY2" s="259"/>
      <c r="EZ2" s="259"/>
      <c r="FA2" s="259"/>
      <c r="FB2" s="259"/>
      <c r="FC2" s="259"/>
      <c r="FD2" s="259"/>
      <c r="FE2" s="259"/>
      <c r="FF2" s="259"/>
      <c r="FG2" s="259"/>
      <c r="FH2" s="259"/>
      <c r="FI2" s="259"/>
      <c r="FJ2" s="259"/>
      <c r="FK2" s="259"/>
      <c r="FL2" s="259"/>
      <c r="FM2" s="259"/>
      <c r="FN2" s="259"/>
      <c r="FO2" s="259"/>
    </row>
    <row r="3" s="282" customFormat="true" ht="47.25" hidden="false" customHeight="true" outlineLevel="0" collapsed="false">
      <c r="A3" s="439" t="s">
        <v>315</v>
      </c>
      <c r="B3" s="439" t="s">
        <v>17</v>
      </c>
      <c r="C3" s="471" t="s">
        <v>317</v>
      </c>
      <c r="D3" s="472" t="s">
        <v>318</v>
      </c>
      <c r="E3" s="473" t="s">
        <v>437</v>
      </c>
      <c r="F3" s="474" t="s">
        <v>438</v>
      </c>
      <c r="G3" s="473" t="s">
        <v>439</v>
      </c>
      <c r="H3" s="473" t="s">
        <v>440</v>
      </c>
      <c r="I3" s="473" t="s">
        <v>441</v>
      </c>
      <c r="J3" s="473" t="s">
        <v>442</v>
      </c>
      <c r="K3" s="473" t="s">
        <v>443</v>
      </c>
      <c r="L3" s="473" t="s">
        <v>444</v>
      </c>
      <c r="M3" s="473" t="s">
        <v>445</v>
      </c>
      <c r="N3" s="473" t="s">
        <v>446</v>
      </c>
      <c r="O3" s="442" t="s">
        <v>131</v>
      </c>
      <c r="P3" s="442" t="s">
        <v>132</v>
      </c>
      <c r="Q3" s="442" t="s">
        <v>362</v>
      </c>
      <c r="R3" s="442"/>
      <c r="U3" s="402"/>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59"/>
      <c r="AV3" s="259"/>
      <c r="AW3" s="259"/>
      <c r="AX3" s="259"/>
      <c r="AY3" s="259"/>
      <c r="AZ3" s="259"/>
      <c r="BA3" s="259"/>
      <c r="BB3" s="259"/>
      <c r="BC3" s="259"/>
      <c r="BD3" s="259"/>
      <c r="BE3" s="259"/>
      <c r="BF3" s="259"/>
      <c r="BG3" s="259"/>
      <c r="BH3" s="259"/>
      <c r="BI3" s="259"/>
      <c r="BJ3" s="259"/>
      <c r="BK3" s="259"/>
      <c r="BL3" s="259"/>
      <c r="BM3" s="259"/>
      <c r="BN3" s="259"/>
      <c r="BO3" s="259"/>
      <c r="BP3" s="259"/>
      <c r="BQ3" s="259"/>
      <c r="BR3" s="259"/>
      <c r="BS3" s="259"/>
      <c r="BT3" s="259"/>
      <c r="BU3" s="259"/>
      <c r="BV3" s="259"/>
      <c r="BW3" s="259"/>
      <c r="BX3" s="259"/>
      <c r="BY3" s="259"/>
      <c r="BZ3" s="259"/>
      <c r="CA3" s="259"/>
      <c r="CB3" s="259"/>
      <c r="CC3" s="259"/>
      <c r="CD3" s="259"/>
      <c r="CE3" s="259"/>
      <c r="CF3" s="259"/>
      <c r="CG3" s="259"/>
      <c r="CH3" s="259"/>
      <c r="CI3" s="259"/>
      <c r="CJ3" s="259"/>
      <c r="CK3" s="259"/>
      <c r="CL3" s="259"/>
      <c r="CM3" s="259"/>
      <c r="CN3" s="259"/>
      <c r="CO3" s="259"/>
      <c r="CP3" s="259"/>
      <c r="CQ3" s="259"/>
      <c r="CR3" s="259"/>
      <c r="CS3" s="259"/>
      <c r="CT3" s="259"/>
      <c r="CU3" s="259"/>
      <c r="CV3" s="259"/>
      <c r="CW3" s="259"/>
      <c r="CX3" s="259"/>
      <c r="CY3" s="259"/>
      <c r="CZ3" s="259"/>
      <c r="DA3" s="259"/>
      <c r="DB3" s="259"/>
      <c r="DC3" s="259"/>
      <c r="DD3" s="259"/>
      <c r="DE3" s="259"/>
      <c r="DF3" s="259"/>
      <c r="DG3" s="259"/>
      <c r="DH3" s="259"/>
      <c r="DI3" s="259"/>
      <c r="DJ3" s="259"/>
      <c r="DK3" s="259"/>
      <c r="DL3" s="259"/>
      <c r="DM3" s="259"/>
      <c r="DN3" s="259"/>
      <c r="DO3" s="259"/>
      <c r="DP3" s="259"/>
      <c r="DQ3" s="259"/>
      <c r="DR3" s="259"/>
      <c r="DS3" s="259"/>
      <c r="DT3" s="259"/>
      <c r="DU3" s="259"/>
      <c r="DV3" s="259"/>
      <c r="DW3" s="259"/>
      <c r="DX3" s="259"/>
      <c r="DY3" s="259"/>
      <c r="DZ3" s="259"/>
      <c r="EA3" s="259"/>
      <c r="EB3" s="259"/>
      <c r="EC3" s="259"/>
      <c r="ED3" s="259"/>
      <c r="EE3" s="259"/>
      <c r="EF3" s="259"/>
      <c r="EG3" s="259"/>
      <c r="EH3" s="259"/>
      <c r="EI3" s="259"/>
      <c r="EJ3" s="259"/>
      <c r="EK3" s="259"/>
      <c r="EL3" s="259"/>
      <c r="EM3" s="259"/>
      <c r="EN3" s="259"/>
      <c r="EO3" s="259"/>
      <c r="EP3" s="259"/>
      <c r="EQ3" s="259"/>
      <c r="ER3" s="259"/>
      <c r="ES3" s="259"/>
      <c r="ET3" s="259"/>
      <c r="EU3" s="259"/>
      <c r="EV3" s="259"/>
      <c r="EW3" s="259"/>
      <c r="EX3" s="259"/>
      <c r="EY3" s="259"/>
      <c r="EZ3" s="259"/>
      <c r="FA3" s="259"/>
      <c r="FB3" s="259"/>
      <c r="FC3" s="259"/>
      <c r="FD3" s="259"/>
      <c r="FE3" s="259"/>
      <c r="FF3" s="259"/>
      <c r="FG3" s="259"/>
      <c r="FH3" s="259"/>
      <c r="FI3" s="259"/>
      <c r="FJ3" s="259"/>
      <c r="FK3" s="259"/>
      <c r="FL3" s="259"/>
      <c r="FM3" s="259"/>
      <c r="FN3" s="259"/>
      <c r="FO3" s="259"/>
    </row>
    <row r="4" customFormat="false" ht="147" hidden="false" customHeight="true" outlineLevel="0" collapsed="false">
      <c r="A4" s="439"/>
      <c r="B4" s="439"/>
      <c r="C4" s="471"/>
      <c r="D4" s="472"/>
      <c r="E4" s="473"/>
      <c r="F4" s="474"/>
      <c r="G4" s="473"/>
      <c r="H4" s="473"/>
      <c r="I4" s="473"/>
      <c r="J4" s="473"/>
      <c r="K4" s="473"/>
      <c r="L4" s="473"/>
      <c r="M4" s="473"/>
      <c r="N4" s="473"/>
      <c r="O4" s="442"/>
      <c r="P4" s="442"/>
      <c r="Q4" s="442"/>
      <c r="R4" s="442"/>
    </row>
    <row r="5" customFormat="false" ht="19.5" hidden="false" customHeight="true" outlineLevel="0" collapsed="false">
      <c r="A5" s="443" t="str">
        <f aca="false">'Listado CAPS'!A3</f>
        <v>Madriz</v>
      </c>
      <c r="B5" s="443" t="str">
        <f aca="false">'Listado CAPS'!B3</f>
        <v>Yalaguina</v>
      </c>
      <c r="C5" s="475" t="str">
        <f aca="false">'Listado CAPS'!C3</f>
        <v>Los Encuentros</v>
      </c>
      <c r="D5" s="418" t="str">
        <f aca="false">'Listado CAPS'!D3</f>
        <v>Los Encuentros</v>
      </c>
      <c r="E5" s="476"/>
      <c r="F5" s="476" t="n">
        <v>1</v>
      </c>
      <c r="G5" s="476"/>
      <c r="H5" s="476" t="n">
        <v>1</v>
      </c>
      <c r="I5" s="476" t="n">
        <v>1</v>
      </c>
      <c r="J5" s="476" t="n">
        <v>1</v>
      </c>
      <c r="K5" s="476"/>
      <c r="L5" s="476"/>
      <c r="M5" s="476"/>
      <c r="N5" s="476"/>
      <c r="O5" s="446"/>
      <c r="P5" s="447"/>
      <c r="Q5" s="448"/>
      <c r="R5" s="448"/>
    </row>
    <row r="6" customFormat="false" ht="22.5" hidden="false" customHeight="true" outlineLevel="0" collapsed="false">
      <c r="A6" s="443" t="n">
        <f aca="false">'Listado CAPS'!A4</f>
        <v>0</v>
      </c>
      <c r="B6" s="443" t="n">
        <f aca="false">'Listado CAPS'!B4</f>
        <v>0</v>
      </c>
      <c r="C6" s="475" t="n">
        <f aca="false">'Listado CAPS'!C4</f>
        <v>0</v>
      </c>
      <c r="D6" s="418" t="str">
        <f aca="false">'Listado CAPS'!D4</f>
        <v>B</v>
      </c>
      <c r="E6" s="476"/>
      <c r="F6" s="476"/>
      <c r="G6" s="476"/>
      <c r="H6" s="476"/>
      <c r="I6" s="476"/>
      <c r="J6" s="477"/>
      <c r="K6" s="477"/>
      <c r="L6" s="477"/>
      <c r="M6" s="477"/>
      <c r="N6" s="477"/>
      <c r="O6" s="446"/>
      <c r="P6" s="447"/>
      <c r="Q6" s="448"/>
      <c r="R6" s="448"/>
    </row>
    <row r="7" customFormat="false" ht="22.5" hidden="false" customHeight="true" outlineLevel="0" collapsed="false">
      <c r="A7" s="443" t="n">
        <f aca="false">'Listado CAPS'!A5</f>
        <v>0</v>
      </c>
      <c r="B7" s="443" t="n">
        <f aca="false">'Listado CAPS'!B5</f>
        <v>0</v>
      </c>
      <c r="C7" s="475" t="n">
        <f aca="false">'Listado CAPS'!C5</f>
        <v>0</v>
      </c>
      <c r="D7" s="418" t="str">
        <f aca="false">'Listado CAPS'!D5</f>
        <v>C</v>
      </c>
      <c r="E7" s="476"/>
      <c r="F7" s="476"/>
      <c r="G7" s="476"/>
      <c r="H7" s="476"/>
      <c r="I7" s="476"/>
      <c r="J7" s="476"/>
      <c r="K7" s="476"/>
      <c r="L7" s="476"/>
      <c r="M7" s="477"/>
      <c r="N7" s="477"/>
      <c r="O7" s="451"/>
      <c r="P7" s="452"/>
      <c r="Q7" s="448"/>
      <c r="R7" s="448"/>
    </row>
    <row r="8" customFormat="false" ht="22.5" hidden="false" customHeight="true" outlineLevel="0" collapsed="false">
      <c r="A8" s="443" t="n">
        <f aca="false">'Listado CAPS'!A6</f>
        <v>0</v>
      </c>
      <c r="B8" s="443" t="n">
        <f aca="false">'Listado CAPS'!B6</f>
        <v>0</v>
      </c>
      <c r="C8" s="475" t="n">
        <f aca="false">'Listado CAPS'!C6</f>
        <v>0</v>
      </c>
      <c r="D8" s="418" t="str">
        <f aca="false">'Listado CAPS'!D6</f>
        <v>D</v>
      </c>
      <c r="E8" s="476"/>
      <c r="F8" s="476"/>
      <c r="G8" s="476"/>
      <c r="H8" s="476"/>
      <c r="I8" s="476"/>
      <c r="J8" s="476"/>
      <c r="K8" s="476"/>
      <c r="L8" s="476"/>
      <c r="M8" s="476"/>
      <c r="N8" s="476"/>
      <c r="O8" s="453"/>
      <c r="P8" s="454"/>
      <c r="Q8" s="448"/>
      <c r="R8" s="448"/>
    </row>
    <row r="9" customFormat="false" ht="22.5" hidden="false" customHeight="true" outlineLevel="0" collapsed="false">
      <c r="A9" s="443" t="n">
        <f aca="false">'Listado CAPS'!A7</f>
        <v>0</v>
      </c>
      <c r="B9" s="443" t="n">
        <f aca="false">'Listado CAPS'!B7</f>
        <v>0</v>
      </c>
      <c r="C9" s="475" t="n">
        <f aca="false">'Listado CAPS'!C7</f>
        <v>0</v>
      </c>
      <c r="D9" s="418" t="str">
        <f aca="false">'Listado CAPS'!D7</f>
        <v>E</v>
      </c>
      <c r="E9" s="478"/>
      <c r="F9" s="479"/>
      <c r="G9" s="480"/>
      <c r="H9" s="480"/>
      <c r="I9" s="479"/>
      <c r="J9" s="479"/>
      <c r="K9" s="479"/>
      <c r="L9" s="479"/>
      <c r="M9" s="479"/>
      <c r="N9" s="479"/>
      <c r="O9" s="453"/>
      <c r="P9" s="454"/>
      <c r="Q9" s="448"/>
      <c r="R9" s="448"/>
    </row>
    <row r="10" customFormat="false" ht="22.5" hidden="false" customHeight="true" outlineLevel="0" collapsed="false">
      <c r="A10" s="443" t="n">
        <f aca="false">'Listado CAPS'!A8</f>
        <v>0</v>
      </c>
      <c r="B10" s="443" t="n">
        <f aca="false">'Listado CAPS'!B8</f>
        <v>0</v>
      </c>
      <c r="C10" s="475" t="n">
        <f aca="false">'Listado CAPS'!C8</f>
        <v>0</v>
      </c>
      <c r="D10" s="418" t="str">
        <f aca="false">'Listado CAPS'!D8</f>
        <v>F</v>
      </c>
      <c r="E10" s="478"/>
      <c r="F10" s="479"/>
      <c r="G10" s="480"/>
      <c r="H10" s="480"/>
      <c r="I10" s="479"/>
      <c r="J10" s="479"/>
      <c r="K10" s="479"/>
      <c r="L10" s="479"/>
      <c r="M10" s="479"/>
      <c r="N10" s="479"/>
      <c r="O10" s="453"/>
      <c r="P10" s="454"/>
      <c r="Q10" s="448"/>
      <c r="R10" s="448"/>
    </row>
    <row r="11" customFormat="false" ht="22.5" hidden="false" customHeight="true" outlineLevel="0" collapsed="false">
      <c r="A11" s="443" t="n">
        <f aca="false">'Listado CAPS'!A9</f>
        <v>0</v>
      </c>
      <c r="B11" s="443" t="n">
        <f aca="false">'Listado CAPS'!B9</f>
        <v>0</v>
      </c>
      <c r="C11" s="475" t="n">
        <f aca="false">'Listado CAPS'!C9</f>
        <v>0</v>
      </c>
      <c r="D11" s="418" t="str">
        <f aca="false">'Listado CAPS'!D9</f>
        <v>G</v>
      </c>
      <c r="E11" s="478"/>
      <c r="F11" s="479"/>
      <c r="G11" s="480"/>
      <c r="H11" s="480"/>
      <c r="I11" s="479"/>
      <c r="J11" s="479"/>
      <c r="K11" s="479"/>
      <c r="L11" s="479"/>
      <c r="M11" s="479"/>
      <c r="N11" s="479"/>
      <c r="O11" s="453"/>
      <c r="P11" s="454"/>
      <c r="Q11" s="448"/>
      <c r="R11" s="448"/>
    </row>
    <row r="12" customFormat="false" ht="22.5" hidden="false" customHeight="true" outlineLevel="0" collapsed="false">
      <c r="A12" s="443" t="n">
        <f aca="false">'Listado CAPS'!A10</f>
        <v>0</v>
      </c>
      <c r="B12" s="443" t="n">
        <f aca="false">'Listado CAPS'!B10</f>
        <v>0</v>
      </c>
      <c r="C12" s="475" t="n">
        <f aca="false">'Listado CAPS'!C10</f>
        <v>0</v>
      </c>
      <c r="D12" s="418" t="str">
        <f aca="false">'Listado CAPS'!D10</f>
        <v>H</v>
      </c>
      <c r="E12" s="478"/>
      <c r="F12" s="479"/>
      <c r="G12" s="480"/>
      <c r="H12" s="480"/>
      <c r="I12" s="479"/>
      <c r="J12" s="479"/>
      <c r="K12" s="479"/>
      <c r="L12" s="479"/>
      <c r="M12" s="479"/>
      <c r="N12" s="479"/>
      <c r="O12" s="453"/>
      <c r="P12" s="454"/>
      <c r="Q12" s="448"/>
      <c r="R12" s="448"/>
    </row>
    <row r="13" customFormat="false" ht="22.5" hidden="false" customHeight="true" outlineLevel="0" collapsed="false">
      <c r="A13" s="443" t="n">
        <f aca="false">'Listado CAPS'!A11</f>
        <v>0</v>
      </c>
      <c r="B13" s="443" t="n">
        <f aca="false">'Listado CAPS'!B11</f>
        <v>0</v>
      </c>
      <c r="C13" s="475" t="n">
        <f aca="false">'Listado CAPS'!C11</f>
        <v>0</v>
      </c>
      <c r="D13" s="418" t="str">
        <f aca="false">'Listado CAPS'!D11</f>
        <v>I</v>
      </c>
      <c r="E13" s="478"/>
      <c r="F13" s="479"/>
      <c r="G13" s="480"/>
      <c r="H13" s="480"/>
      <c r="I13" s="479"/>
      <c r="J13" s="479"/>
      <c r="K13" s="479"/>
      <c r="L13" s="479"/>
      <c r="M13" s="479"/>
      <c r="N13" s="479"/>
      <c r="O13" s="453"/>
      <c r="P13" s="454"/>
      <c r="Q13" s="448"/>
      <c r="R13" s="448"/>
    </row>
    <row r="14" customFormat="false" ht="22.5" hidden="false" customHeight="true" outlineLevel="0" collapsed="false">
      <c r="A14" s="443" t="n">
        <f aca="false">'Listado CAPS'!A12</f>
        <v>0</v>
      </c>
      <c r="B14" s="443" t="n">
        <f aca="false">'Listado CAPS'!B12</f>
        <v>0</v>
      </c>
      <c r="C14" s="475" t="n">
        <f aca="false">'Listado CAPS'!C12</f>
        <v>0</v>
      </c>
      <c r="D14" s="418" t="str">
        <f aca="false">'Listado CAPS'!D12</f>
        <v>J</v>
      </c>
      <c r="E14" s="478"/>
      <c r="F14" s="274"/>
      <c r="G14" s="423"/>
      <c r="H14" s="423"/>
      <c r="I14" s="274"/>
      <c r="J14" s="274"/>
      <c r="K14" s="274"/>
      <c r="L14" s="274"/>
      <c r="M14" s="274"/>
      <c r="N14" s="274"/>
      <c r="O14" s="446"/>
      <c r="P14" s="447"/>
      <c r="Q14" s="448"/>
      <c r="R14" s="448"/>
    </row>
    <row r="15" s="428" customFormat="true" ht="22.5" hidden="false" customHeight="true" outlineLevel="0" collapsed="false">
      <c r="A15" s="443" t="n">
        <f aca="false">'Listado CAPS'!A13</f>
        <v>0</v>
      </c>
      <c r="B15" s="443" t="n">
        <f aca="false">'Listado CAPS'!B13</f>
        <v>0</v>
      </c>
      <c r="C15" s="475" t="n">
        <f aca="false">'Listado CAPS'!C13</f>
        <v>0</v>
      </c>
      <c r="D15" s="418" t="str">
        <f aca="false">'Listado CAPS'!D13</f>
        <v>K</v>
      </c>
      <c r="E15" s="478"/>
      <c r="F15" s="274"/>
      <c r="G15" s="423"/>
      <c r="H15" s="423"/>
      <c r="I15" s="274"/>
      <c r="J15" s="274"/>
      <c r="K15" s="274"/>
      <c r="L15" s="274"/>
      <c r="M15" s="274"/>
      <c r="N15" s="274"/>
      <c r="O15" s="446"/>
      <c r="P15" s="447"/>
      <c r="Q15" s="448"/>
      <c r="R15" s="448"/>
      <c r="V15" s="259"/>
      <c r="W15" s="259"/>
      <c r="X15" s="259"/>
      <c r="Y15" s="259"/>
      <c r="Z15" s="259"/>
      <c r="AA15" s="259"/>
      <c r="AB15" s="259"/>
      <c r="AC15" s="259"/>
      <c r="AD15" s="259"/>
      <c r="AE15" s="259"/>
      <c r="AF15" s="259"/>
      <c r="AG15" s="259"/>
      <c r="AH15" s="259"/>
      <c r="AI15" s="259"/>
      <c r="AJ15" s="259"/>
      <c r="AK15" s="259"/>
      <c r="AL15" s="259"/>
      <c r="AM15" s="259"/>
      <c r="AN15" s="259"/>
      <c r="AO15" s="259"/>
      <c r="AP15" s="259"/>
      <c r="AQ15" s="259"/>
      <c r="AR15" s="259"/>
      <c r="AS15" s="259"/>
      <c r="AT15" s="259"/>
      <c r="AU15" s="259"/>
      <c r="AV15" s="259"/>
      <c r="AW15" s="259"/>
      <c r="AX15" s="259"/>
      <c r="AY15" s="259"/>
      <c r="AZ15" s="259"/>
      <c r="BA15" s="259"/>
      <c r="BB15" s="259"/>
      <c r="BC15" s="259"/>
      <c r="BD15" s="259"/>
      <c r="BE15" s="259"/>
      <c r="BF15" s="259"/>
      <c r="BG15" s="259"/>
      <c r="BH15" s="259"/>
      <c r="BI15" s="259"/>
      <c r="BJ15" s="259"/>
      <c r="BK15" s="259"/>
      <c r="BL15" s="259"/>
      <c r="BM15" s="259"/>
      <c r="BN15" s="259"/>
      <c r="BO15" s="259"/>
      <c r="BP15" s="259"/>
      <c r="BQ15" s="259"/>
      <c r="BR15" s="259"/>
      <c r="BS15" s="259"/>
      <c r="BT15" s="259"/>
      <c r="BU15" s="259"/>
      <c r="BV15" s="259"/>
      <c r="BW15" s="259"/>
      <c r="BX15" s="259"/>
      <c r="BY15" s="259"/>
      <c r="BZ15" s="259"/>
      <c r="CA15" s="259"/>
      <c r="CB15" s="259"/>
      <c r="CC15" s="259"/>
      <c r="CD15" s="259"/>
      <c r="CE15" s="259"/>
      <c r="CF15" s="259"/>
      <c r="CG15" s="259"/>
      <c r="CH15" s="259"/>
      <c r="CI15" s="259"/>
      <c r="CJ15" s="259"/>
      <c r="CK15" s="259"/>
      <c r="CL15" s="259"/>
      <c r="CM15" s="259"/>
      <c r="CN15" s="259"/>
      <c r="CO15" s="259"/>
      <c r="CP15" s="259"/>
      <c r="CQ15" s="259"/>
      <c r="CR15" s="259"/>
      <c r="CS15" s="259"/>
      <c r="CT15" s="259"/>
      <c r="CU15" s="259"/>
      <c r="CV15" s="259"/>
      <c r="CW15" s="259"/>
      <c r="CX15" s="259"/>
      <c r="CY15" s="259"/>
      <c r="CZ15" s="259"/>
      <c r="DA15" s="259"/>
      <c r="DB15" s="259"/>
      <c r="DC15" s="259"/>
      <c r="DD15" s="259"/>
      <c r="DE15" s="259"/>
      <c r="DF15" s="259"/>
      <c r="DG15" s="259"/>
      <c r="DH15" s="259"/>
      <c r="DI15" s="259"/>
      <c r="DJ15" s="259"/>
      <c r="DK15" s="259"/>
      <c r="DL15" s="259"/>
      <c r="DM15" s="259"/>
      <c r="DN15" s="259"/>
      <c r="DO15" s="259"/>
      <c r="DP15" s="259"/>
      <c r="DQ15" s="259"/>
      <c r="DR15" s="259"/>
      <c r="DS15" s="259"/>
      <c r="DT15" s="259"/>
      <c r="DU15" s="259"/>
      <c r="DV15" s="259"/>
      <c r="DW15" s="259"/>
      <c r="DX15" s="259"/>
      <c r="DY15" s="259"/>
      <c r="DZ15" s="259"/>
      <c r="EA15" s="259"/>
      <c r="EB15" s="259"/>
      <c r="EC15" s="259"/>
      <c r="ED15" s="259"/>
      <c r="EE15" s="259"/>
      <c r="EF15" s="259"/>
      <c r="EG15" s="259"/>
      <c r="EH15" s="259"/>
      <c r="EI15" s="259"/>
      <c r="EJ15" s="259"/>
      <c r="EK15" s="259"/>
      <c r="EL15" s="259"/>
      <c r="EM15" s="259"/>
      <c r="EN15" s="259"/>
      <c r="EO15" s="259"/>
      <c r="EP15" s="259"/>
      <c r="EQ15" s="259"/>
      <c r="ER15" s="259"/>
      <c r="ES15" s="259"/>
      <c r="ET15" s="259"/>
      <c r="EU15" s="259"/>
      <c r="EV15" s="259"/>
      <c r="EW15" s="259"/>
      <c r="EX15" s="259"/>
      <c r="EY15" s="259"/>
      <c r="EZ15" s="259"/>
      <c r="FA15" s="259"/>
      <c r="FB15" s="259"/>
      <c r="FC15" s="259"/>
      <c r="FD15" s="259"/>
      <c r="FE15" s="259"/>
      <c r="FF15" s="259"/>
      <c r="FG15" s="259"/>
      <c r="FH15" s="259"/>
      <c r="FI15" s="259"/>
      <c r="FJ15" s="259"/>
      <c r="FK15" s="259"/>
      <c r="FL15" s="259"/>
      <c r="FM15" s="259"/>
      <c r="FN15" s="259"/>
      <c r="FO15" s="259"/>
    </row>
    <row r="16" s="428" customFormat="true" ht="22.5" hidden="false" customHeight="true" outlineLevel="0" collapsed="false">
      <c r="A16" s="443" t="n">
        <f aca="false">'Listado CAPS'!A14</f>
        <v>0</v>
      </c>
      <c r="B16" s="443" t="n">
        <f aca="false">'Listado CAPS'!B14</f>
        <v>0</v>
      </c>
      <c r="C16" s="475" t="n">
        <f aca="false">'Listado CAPS'!C14</f>
        <v>0</v>
      </c>
      <c r="D16" s="418" t="str">
        <f aca="false">'Listado CAPS'!D14</f>
        <v>L</v>
      </c>
      <c r="E16" s="478"/>
      <c r="F16" s="274"/>
      <c r="G16" s="423"/>
      <c r="H16" s="423"/>
      <c r="I16" s="274"/>
      <c r="J16" s="274"/>
      <c r="K16" s="274"/>
      <c r="L16" s="274"/>
      <c r="M16" s="274"/>
      <c r="N16" s="274"/>
      <c r="O16" s="446"/>
      <c r="P16" s="447"/>
      <c r="Q16" s="448"/>
      <c r="R16" s="448"/>
      <c r="V16" s="259"/>
      <c r="W16" s="259"/>
      <c r="X16" s="259"/>
      <c r="Y16" s="259"/>
      <c r="Z16" s="259"/>
      <c r="AA16" s="259"/>
      <c r="AB16" s="259"/>
      <c r="AC16" s="259"/>
      <c r="AD16" s="259"/>
      <c r="AE16" s="259"/>
      <c r="AF16" s="259"/>
      <c r="AG16" s="259"/>
      <c r="AH16" s="259"/>
      <c r="AI16" s="259"/>
      <c r="AJ16" s="259"/>
      <c r="AK16" s="259"/>
      <c r="AL16" s="259"/>
      <c r="AM16" s="259"/>
      <c r="AN16" s="259"/>
      <c r="AO16" s="259"/>
      <c r="AP16" s="259"/>
      <c r="AQ16" s="259"/>
      <c r="AR16" s="259"/>
      <c r="AS16" s="259"/>
      <c r="AT16" s="259"/>
      <c r="AU16" s="259"/>
      <c r="AV16" s="259"/>
      <c r="AW16" s="259"/>
      <c r="AX16" s="259"/>
      <c r="AY16" s="259"/>
      <c r="AZ16" s="259"/>
      <c r="BA16" s="259"/>
      <c r="BB16" s="259"/>
      <c r="BC16" s="259"/>
      <c r="BD16" s="259"/>
      <c r="BE16" s="259"/>
      <c r="BF16" s="259"/>
      <c r="BG16" s="259"/>
      <c r="BH16" s="259"/>
      <c r="BI16" s="259"/>
      <c r="BJ16" s="259"/>
      <c r="BK16" s="259"/>
      <c r="BL16" s="259"/>
      <c r="BM16" s="259"/>
      <c r="BN16" s="259"/>
      <c r="BO16" s="259"/>
      <c r="BP16" s="259"/>
      <c r="BQ16" s="259"/>
      <c r="BR16" s="259"/>
      <c r="BS16" s="259"/>
      <c r="BT16" s="259"/>
      <c r="BU16" s="259"/>
      <c r="BV16" s="259"/>
      <c r="BW16" s="259"/>
      <c r="BX16" s="259"/>
      <c r="BY16" s="259"/>
      <c r="BZ16" s="259"/>
      <c r="CA16" s="259"/>
      <c r="CB16" s="259"/>
      <c r="CC16" s="259"/>
      <c r="CD16" s="259"/>
      <c r="CE16" s="259"/>
      <c r="CF16" s="259"/>
      <c r="CG16" s="259"/>
      <c r="CH16" s="259"/>
      <c r="CI16" s="259"/>
      <c r="CJ16" s="259"/>
      <c r="CK16" s="259"/>
      <c r="CL16" s="259"/>
      <c r="CM16" s="259"/>
      <c r="CN16" s="259"/>
      <c r="CO16" s="259"/>
      <c r="CP16" s="259"/>
      <c r="CQ16" s="259"/>
      <c r="CR16" s="259"/>
      <c r="CS16" s="259"/>
      <c r="CT16" s="259"/>
      <c r="CU16" s="259"/>
      <c r="CV16" s="259"/>
      <c r="CW16" s="259"/>
      <c r="CX16" s="259"/>
      <c r="CY16" s="259"/>
      <c r="CZ16" s="259"/>
      <c r="DA16" s="259"/>
      <c r="DB16" s="259"/>
      <c r="DC16" s="259"/>
      <c r="DD16" s="259"/>
      <c r="DE16" s="259"/>
      <c r="DF16" s="259"/>
      <c r="DG16" s="259"/>
      <c r="DH16" s="259"/>
      <c r="DI16" s="259"/>
      <c r="DJ16" s="259"/>
      <c r="DK16" s="259"/>
      <c r="DL16" s="259"/>
      <c r="DM16" s="259"/>
      <c r="DN16" s="259"/>
      <c r="DO16" s="259"/>
      <c r="DP16" s="259"/>
      <c r="DQ16" s="259"/>
      <c r="DR16" s="259"/>
      <c r="DS16" s="259"/>
      <c r="DT16" s="259"/>
      <c r="DU16" s="259"/>
      <c r="DV16" s="259"/>
      <c r="DW16" s="259"/>
      <c r="DX16" s="259"/>
      <c r="DY16" s="259"/>
      <c r="DZ16" s="259"/>
      <c r="EA16" s="259"/>
      <c r="EB16" s="259"/>
      <c r="EC16" s="259"/>
      <c r="ED16" s="259"/>
      <c r="EE16" s="259"/>
      <c r="EF16" s="259"/>
      <c r="EG16" s="259"/>
      <c r="EH16" s="259"/>
      <c r="EI16" s="259"/>
      <c r="EJ16" s="259"/>
      <c r="EK16" s="259"/>
      <c r="EL16" s="259"/>
      <c r="EM16" s="259"/>
      <c r="EN16" s="259"/>
      <c r="EO16" s="259"/>
      <c r="EP16" s="259"/>
      <c r="EQ16" s="259"/>
      <c r="ER16" s="259"/>
      <c r="ES16" s="259"/>
      <c r="ET16" s="259"/>
      <c r="EU16" s="259"/>
      <c r="EV16" s="259"/>
      <c r="EW16" s="259"/>
      <c r="EX16" s="259"/>
      <c r="EY16" s="259"/>
      <c r="EZ16" s="259"/>
      <c r="FA16" s="259"/>
      <c r="FB16" s="259"/>
      <c r="FC16" s="259"/>
      <c r="FD16" s="259"/>
      <c r="FE16" s="259"/>
      <c r="FF16" s="259"/>
      <c r="FG16" s="259"/>
      <c r="FH16" s="259"/>
      <c r="FI16" s="259"/>
      <c r="FJ16" s="259"/>
      <c r="FK16" s="259"/>
      <c r="FL16" s="259"/>
      <c r="FM16" s="259"/>
      <c r="FN16" s="259"/>
      <c r="FO16" s="259"/>
    </row>
    <row r="17" s="428" customFormat="true" ht="22.5" hidden="false" customHeight="true" outlineLevel="0" collapsed="false">
      <c r="A17" s="443" t="n">
        <f aca="false">'Listado CAPS'!A15</f>
        <v>0</v>
      </c>
      <c r="B17" s="443" t="n">
        <f aca="false">'Listado CAPS'!B15</f>
        <v>0</v>
      </c>
      <c r="C17" s="475" t="n">
        <f aca="false">'Listado CAPS'!C15</f>
        <v>0</v>
      </c>
      <c r="D17" s="418" t="str">
        <f aca="false">'Listado CAPS'!D15</f>
        <v>M</v>
      </c>
      <c r="E17" s="478"/>
      <c r="F17" s="274"/>
      <c r="G17" s="423"/>
      <c r="H17" s="423"/>
      <c r="I17" s="274"/>
      <c r="J17" s="274"/>
      <c r="K17" s="274"/>
      <c r="L17" s="274"/>
      <c r="M17" s="274"/>
      <c r="N17" s="274"/>
      <c r="O17" s="456"/>
      <c r="P17" s="281"/>
      <c r="Q17" s="448"/>
      <c r="R17" s="448"/>
      <c r="V17" s="259"/>
      <c r="W17" s="259"/>
      <c r="X17" s="259"/>
      <c r="Y17" s="259"/>
      <c r="Z17" s="259"/>
      <c r="AA17" s="259"/>
      <c r="AB17" s="259"/>
      <c r="AC17" s="259"/>
      <c r="AD17" s="259"/>
      <c r="AE17" s="259"/>
      <c r="AF17" s="259"/>
      <c r="AG17" s="259"/>
      <c r="AH17" s="259"/>
      <c r="AI17" s="259"/>
      <c r="AJ17" s="259"/>
      <c r="AK17" s="259"/>
      <c r="AL17" s="259"/>
      <c r="AM17" s="259"/>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59"/>
      <c r="BK17" s="259"/>
      <c r="BL17" s="259"/>
      <c r="BM17" s="259"/>
      <c r="BN17" s="259"/>
      <c r="BO17" s="259"/>
      <c r="BP17" s="259"/>
      <c r="BQ17" s="259"/>
      <c r="BR17" s="259"/>
      <c r="BS17" s="259"/>
      <c r="BT17" s="259"/>
      <c r="BU17" s="259"/>
      <c r="BV17" s="259"/>
      <c r="BW17" s="259"/>
      <c r="BX17" s="259"/>
      <c r="BY17" s="259"/>
      <c r="BZ17" s="259"/>
      <c r="CA17" s="259"/>
      <c r="CB17" s="259"/>
      <c r="CC17" s="259"/>
      <c r="CD17" s="259"/>
      <c r="CE17" s="259"/>
      <c r="CF17" s="259"/>
      <c r="CG17" s="259"/>
      <c r="CH17" s="259"/>
      <c r="CI17" s="259"/>
      <c r="CJ17" s="259"/>
      <c r="CK17" s="259"/>
      <c r="CL17" s="259"/>
      <c r="CM17" s="259"/>
      <c r="CN17" s="259"/>
      <c r="CO17" s="259"/>
      <c r="CP17" s="259"/>
      <c r="CQ17" s="259"/>
      <c r="CR17" s="259"/>
      <c r="CS17" s="259"/>
      <c r="CT17" s="259"/>
      <c r="CU17" s="259"/>
      <c r="CV17" s="259"/>
      <c r="CW17" s="259"/>
      <c r="CX17" s="259"/>
      <c r="CY17" s="259"/>
      <c r="CZ17" s="259"/>
      <c r="DA17" s="259"/>
      <c r="DB17" s="259"/>
      <c r="DC17" s="259"/>
      <c r="DD17" s="259"/>
      <c r="DE17" s="259"/>
      <c r="DF17" s="259"/>
      <c r="DG17" s="259"/>
      <c r="DH17" s="259"/>
      <c r="DI17" s="259"/>
      <c r="DJ17" s="259"/>
      <c r="DK17" s="259"/>
      <c r="DL17" s="259"/>
      <c r="DM17" s="259"/>
      <c r="DN17" s="259"/>
      <c r="DO17" s="259"/>
      <c r="DP17" s="259"/>
      <c r="DQ17" s="259"/>
      <c r="DR17" s="259"/>
      <c r="DS17" s="259"/>
      <c r="DT17" s="259"/>
      <c r="DU17" s="259"/>
      <c r="DV17" s="259"/>
      <c r="DW17" s="259"/>
      <c r="DX17" s="259"/>
      <c r="DY17" s="259"/>
      <c r="DZ17" s="259"/>
      <c r="EA17" s="259"/>
      <c r="EB17" s="259"/>
      <c r="EC17" s="259"/>
      <c r="ED17" s="259"/>
      <c r="EE17" s="259"/>
      <c r="EF17" s="259"/>
      <c r="EG17" s="259"/>
      <c r="EH17" s="259"/>
      <c r="EI17" s="259"/>
      <c r="EJ17" s="259"/>
      <c r="EK17" s="259"/>
      <c r="EL17" s="259"/>
      <c r="EM17" s="259"/>
      <c r="EN17" s="259"/>
      <c r="EO17" s="259"/>
      <c r="EP17" s="259"/>
      <c r="EQ17" s="259"/>
      <c r="ER17" s="259"/>
      <c r="ES17" s="259"/>
      <c r="ET17" s="259"/>
      <c r="EU17" s="259"/>
      <c r="EV17" s="259"/>
      <c r="EW17" s="259"/>
      <c r="EX17" s="259"/>
      <c r="EY17" s="259"/>
      <c r="EZ17" s="259"/>
      <c r="FA17" s="259"/>
      <c r="FB17" s="259"/>
      <c r="FC17" s="259"/>
      <c r="FD17" s="259"/>
      <c r="FE17" s="259"/>
      <c r="FF17" s="259"/>
      <c r="FG17" s="259"/>
      <c r="FH17" s="259"/>
      <c r="FI17" s="259"/>
      <c r="FJ17" s="259"/>
      <c r="FK17" s="259"/>
      <c r="FL17" s="259"/>
      <c r="FM17" s="259"/>
      <c r="FN17" s="259"/>
      <c r="FO17" s="259"/>
    </row>
    <row r="18" s="428" customFormat="true" ht="22.5" hidden="false" customHeight="true" outlineLevel="0" collapsed="false">
      <c r="A18" s="443" t="n">
        <f aca="false">'Listado CAPS'!A16</f>
        <v>0</v>
      </c>
      <c r="B18" s="443" t="n">
        <f aca="false">'Listado CAPS'!B16</f>
        <v>0</v>
      </c>
      <c r="C18" s="475" t="n">
        <f aca="false">'Listado CAPS'!C16</f>
        <v>0</v>
      </c>
      <c r="D18" s="418" t="str">
        <f aca="false">'Listado CAPS'!D16</f>
        <v>N</v>
      </c>
      <c r="E18" s="478"/>
      <c r="F18" s="274"/>
      <c r="G18" s="423"/>
      <c r="H18" s="423"/>
      <c r="I18" s="274"/>
      <c r="J18" s="274"/>
      <c r="K18" s="274"/>
      <c r="L18" s="274"/>
      <c r="M18" s="274"/>
      <c r="N18" s="274"/>
      <c r="O18" s="456"/>
      <c r="P18" s="281"/>
      <c r="Q18" s="448"/>
      <c r="R18" s="448"/>
      <c r="V18" s="259"/>
      <c r="W18" s="259"/>
      <c r="X18" s="259"/>
      <c r="Y18" s="259"/>
      <c r="Z18" s="259"/>
      <c r="AA18" s="259"/>
      <c r="AB18" s="259"/>
      <c r="AC18" s="259"/>
      <c r="AD18" s="259"/>
      <c r="AE18" s="259"/>
      <c r="AF18" s="259"/>
      <c r="AG18" s="259"/>
      <c r="AH18" s="259"/>
      <c r="AI18" s="259"/>
      <c r="AJ18" s="259"/>
      <c r="AK18" s="259"/>
      <c r="AL18" s="259"/>
      <c r="AM18" s="259"/>
      <c r="AN18" s="259"/>
      <c r="AO18" s="259"/>
      <c r="AP18" s="259"/>
      <c r="AQ18" s="259"/>
      <c r="AR18" s="259"/>
      <c r="AS18" s="259"/>
      <c r="AT18" s="259"/>
      <c r="AU18" s="259"/>
      <c r="AV18" s="259"/>
      <c r="AW18" s="259"/>
      <c r="AX18" s="259"/>
      <c r="AY18" s="259"/>
      <c r="AZ18" s="259"/>
      <c r="BA18" s="259"/>
      <c r="BB18" s="259"/>
      <c r="BC18" s="259"/>
      <c r="BD18" s="259"/>
      <c r="BE18" s="259"/>
      <c r="BF18" s="259"/>
      <c r="BG18" s="259"/>
      <c r="BH18" s="259"/>
      <c r="BI18" s="259"/>
      <c r="BJ18" s="259"/>
      <c r="BK18" s="259"/>
      <c r="BL18" s="259"/>
      <c r="BM18" s="259"/>
      <c r="BN18" s="259"/>
      <c r="BO18" s="259"/>
      <c r="BP18" s="259"/>
      <c r="BQ18" s="259"/>
      <c r="BR18" s="259"/>
      <c r="BS18" s="259"/>
      <c r="BT18" s="259"/>
      <c r="BU18" s="259"/>
      <c r="BV18" s="259"/>
      <c r="BW18" s="259"/>
      <c r="BX18" s="259"/>
      <c r="BY18" s="259"/>
      <c r="BZ18" s="259"/>
      <c r="CA18" s="259"/>
      <c r="CB18" s="259"/>
      <c r="CC18" s="259"/>
      <c r="CD18" s="259"/>
      <c r="CE18" s="259"/>
      <c r="CF18" s="259"/>
      <c r="CG18" s="259"/>
      <c r="CH18" s="259"/>
      <c r="CI18" s="259"/>
      <c r="CJ18" s="259"/>
      <c r="CK18" s="259"/>
      <c r="CL18" s="259"/>
      <c r="CM18" s="259"/>
      <c r="CN18" s="259"/>
      <c r="CO18" s="259"/>
      <c r="CP18" s="259"/>
      <c r="CQ18" s="259"/>
      <c r="CR18" s="259"/>
      <c r="CS18" s="259"/>
      <c r="CT18" s="259"/>
      <c r="CU18" s="259"/>
      <c r="CV18" s="259"/>
      <c r="CW18" s="259"/>
      <c r="CX18" s="259"/>
      <c r="CY18" s="259"/>
      <c r="CZ18" s="259"/>
      <c r="DA18" s="259"/>
      <c r="DB18" s="259"/>
      <c r="DC18" s="259"/>
      <c r="DD18" s="259"/>
      <c r="DE18" s="259"/>
      <c r="DF18" s="259"/>
      <c r="DG18" s="259"/>
      <c r="DH18" s="259"/>
      <c r="DI18" s="259"/>
      <c r="DJ18" s="259"/>
      <c r="DK18" s="259"/>
      <c r="DL18" s="259"/>
      <c r="DM18" s="259"/>
      <c r="DN18" s="259"/>
      <c r="DO18" s="259"/>
      <c r="DP18" s="259"/>
      <c r="DQ18" s="259"/>
      <c r="DR18" s="259"/>
      <c r="DS18" s="259"/>
      <c r="DT18" s="259"/>
      <c r="DU18" s="259"/>
      <c r="DV18" s="259"/>
      <c r="DW18" s="259"/>
      <c r="DX18" s="259"/>
      <c r="DY18" s="259"/>
      <c r="DZ18" s="259"/>
      <c r="EA18" s="259"/>
      <c r="EB18" s="259"/>
      <c r="EC18" s="259"/>
      <c r="ED18" s="259"/>
      <c r="EE18" s="259"/>
      <c r="EF18" s="259"/>
      <c r="EG18" s="259"/>
      <c r="EH18" s="259"/>
      <c r="EI18" s="259"/>
      <c r="EJ18" s="259"/>
      <c r="EK18" s="259"/>
      <c r="EL18" s="259"/>
      <c r="EM18" s="259"/>
      <c r="EN18" s="259"/>
      <c r="EO18" s="259"/>
      <c r="EP18" s="259"/>
      <c r="EQ18" s="259"/>
      <c r="ER18" s="259"/>
      <c r="ES18" s="259"/>
      <c r="ET18" s="259"/>
      <c r="EU18" s="259"/>
      <c r="EV18" s="259"/>
      <c r="EW18" s="259"/>
      <c r="EX18" s="259"/>
      <c r="EY18" s="259"/>
      <c r="EZ18" s="259"/>
      <c r="FA18" s="259"/>
      <c r="FB18" s="259"/>
      <c r="FC18" s="259"/>
      <c r="FD18" s="259"/>
      <c r="FE18" s="259"/>
      <c r="FF18" s="259"/>
      <c r="FG18" s="259"/>
      <c r="FH18" s="259"/>
      <c r="FI18" s="259"/>
      <c r="FJ18" s="259"/>
      <c r="FK18" s="259"/>
      <c r="FL18" s="259"/>
      <c r="FM18" s="259"/>
      <c r="FN18" s="259"/>
      <c r="FO18" s="259"/>
    </row>
    <row r="19" customFormat="false" ht="22.5" hidden="false" customHeight="true" outlineLevel="0" collapsed="false">
      <c r="A19" s="443" t="n">
        <f aca="false">'Listado CAPS'!A17</f>
        <v>0</v>
      </c>
      <c r="B19" s="443" t="n">
        <f aca="false">'Listado CAPS'!B17</f>
        <v>0</v>
      </c>
      <c r="C19" s="475" t="n">
        <f aca="false">'Listado CAPS'!C17</f>
        <v>0</v>
      </c>
      <c r="D19" s="418" t="str">
        <f aca="false">'Listado CAPS'!D17</f>
        <v>Ñ</v>
      </c>
      <c r="E19" s="478"/>
      <c r="F19" s="274"/>
      <c r="G19" s="423"/>
      <c r="H19" s="423"/>
      <c r="I19" s="274"/>
      <c r="J19" s="274"/>
      <c r="K19" s="274"/>
      <c r="L19" s="274"/>
      <c r="M19" s="274"/>
      <c r="N19" s="274"/>
      <c r="O19" s="446"/>
      <c r="P19" s="457"/>
      <c r="Q19" s="448"/>
      <c r="R19" s="448"/>
    </row>
    <row r="20" s="428" customFormat="true" ht="22.5" hidden="false" customHeight="true" outlineLevel="0" collapsed="false">
      <c r="A20" s="443" t="n">
        <f aca="false">'Listado CAPS'!A18</f>
        <v>0</v>
      </c>
      <c r="B20" s="443" t="n">
        <f aca="false">'Listado CAPS'!B18</f>
        <v>0</v>
      </c>
      <c r="C20" s="475" t="n">
        <f aca="false">'Listado CAPS'!C18</f>
        <v>0</v>
      </c>
      <c r="D20" s="418" t="str">
        <f aca="false">'Listado CAPS'!D18</f>
        <v>O</v>
      </c>
      <c r="E20" s="478"/>
      <c r="F20" s="479"/>
      <c r="G20" s="480"/>
      <c r="H20" s="480"/>
      <c r="I20" s="479"/>
      <c r="J20" s="479"/>
      <c r="K20" s="479"/>
      <c r="L20" s="479"/>
      <c r="M20" s="479"/>
      <c r="N20" s="479"/>
      <c r="O20" s="446"/>
      <c r="P20" s="459"/>
      <c r="Q20" s="448"/>
      <c r="R20" s="448"/>
      <c r="V20" s="259"/>
      <c r="W20" s="259"/>
      <c r="X20" s="259"/>
      <c r="Y20" s="259"/>
      <c r="Z20" s="259"/>
      <c r="AA20" s="259"/>
      <c r="AB20" s="259"/>
      <c r="AC20" s="259"/>
      <c r="AD20" s="259"/>
      <c r="AE20" s="259"/>
      <c r="AF20" s="259"/>
      <c r="AG20" s="259"/>
      <c r="AH20" s="259"/>
      <c r="AI20" s="259"/>
      <c r="AJ20" s="259"/>
      <c r="AK20" s="259"/>
      <c r="AL20" s="259"/>
      <c r="AM20" s="259"/>
      <c r="AN20" s="259"/>
      <c r="AO20" s="259"/>
      <c r="AP20" s="259"/>
      <c r="AQ20" s="259"/>
      <c r="AR20" s="259"/>
      <c r="AS20" s="259"/>
      <c r="AT20" s="259"/>
      <c r="AU20" s="259"/>
      <c r="AV20" s="259"/>
      <c r="AW20" s="259"/>
      <c r="AX20" s="259"/>
      <c r="AY20" s="259"/>
      <c r="AZ20" s="259"/>
      <c r="BA20" s="259"/>
      <c r="BB20" s="259"/>
      <c r="BC20" s="259"/>
      <c r="BD20" s="259"/>
      <c r="BE20" s="259"/>
      <c r="BF20" s="259"/>
      <c r="BG20" s="259"/>
      <c r="BH20" s="259"/>
      <c r="BI20" s="259"/>
      <c r="BJ20" s="259"/>
      <c r="BK20" s="259"/>
      <c r="BL20" s="259"/>
      <c r="BM20" s="259"/>
      <c r="BN20" s="259"/>
      <c r="BO20" s="259"/>
      <c r="BP20" s="259"/>
      <c r="BQ20" s="259"/>
      <c r="BR20" s="259"/>
      <c r="BS20" s="259"/>
      <c r="BT20" s="259"/>
      <c r="BU20" s="259"/>
      <c r="BV20" s="259"/>
      <c r="BW20" s="259"/>
      <c r="BX20" s="259"/>
      <c r="BY20" s="259"/>
      <c r="BZ20" s="259"/>
      <c r="CA20" s="259"/>
      <c r="CB20" s="259"/>
      <c r="CC20" s="259"/>
      <c r="CD20" s="259"/>
      <c r="CE20" s="259"/>
      <c r="CF20" s="259"/>
      <c r="CG20" s="259"/>
      <c r="CH20" s="259"/>
      <c r="CI20" s="259"/>
      <c r="CJ20" s="259"/>
      <c r="CK20" s="259"/>
      <c r="CL20" s="259"/>
      <c r="CM20" s="259"/>
      <c r="CN20" s="259"/>
      <c r="CO20" s="259"/>
      <c r="CP20" s="259"/>
      <c r="CQ20" s="259"/>
      <c r="CR20" s="259"/>
      <c r="CS20" s="259"/>
      <c r="CT20" s="259"/>
      <c r="CU20" s="259"/>
      <c r="CV20" s="259"/>
      <c r="CW20" s="259"/>
      <c r="CX20" s="259"/>
      <c r="CY20" s="259"/>
      <c r="CZ20" s="259"/>
      <c r="DA20" s="259"/>
      <c r="DB20" s="259"/>
      <c r="DC20" s="259"/>
      <c r="DD20" s="259"/>
      <c r="DE20" s="259"/>
      <c r="DF20" s="259"/>
      <c r="DG20" s="259"/>
      <c r="DH20" s="259"/>
      <c r="DI20" s="259"/>
      <c r="DJ20" s="259"/>
      <c r="DK20" s="259"/>
      <c r="DL20" s="259"/>
      <c r="DM20" s="259"/>
      <c r="DN20" s="259"/>
      <c r="DO20" s="259"/>
      <c r="DP20" s="259"/>
      <c r="DQ20" s="259"/>
      <c r="DR20" s="259"/>
      <c r="DS20" s="259"/>
      <c r="DT20" s="259"/>
      <c r="DU20" s="259"/>
      <c r="DV20" s="259"/>
      <c r="DW20" s="259"/>
      <c r="DX20" s="259"/>
      <c r="DY20" s="259"/>
      <c r="DZ20" s="259"/>
      <c r="EA20" s="259"/>
      <c r="EB20" s="259"/>
      <c r="EC20" s="259"/>
      <c r="ED20" s="259"/>
      <c r="EE20" s="259"/>
      <c r="EF20" s="259"/>
      <c r="EG20" s="259"/>
      <c r="EH20" s="259"/>
      <c r="EI20" s="259"/>
      <c r="EJ20" s="259"/>
      <c r="EK20" s="259"/>
      <c r="EL20" s="259"/>
      <c r="EM20" s="259"/>
      <c r="EN20" s="259"/>
      <c r="EO20" s="259"/>
      <c r="EP20" s="259"/>
      <c r="EQ20" s="259"/>
      <c r="ER20" s="259"/>
      <c r="ES20" s="259"/>
      <c r="ET20" s="259"/>
      <c r="EU20" s="259"/>
      <c r="EV20" s="259"/>
      <c r="EW20" s="259"/>
      <c r="EX20" s="259"/>
      <c r="EY20" s="259"/>
      <c r="EZ20" s="259"/>
      <c r="FA20" s="259"/>
      <c r="FB20" s="259"/>
      <c r="FC20" s="259"/>
      <c r="FD20" s="259"/>
      <c r="FE20" s="259"/>
      <c r="FF20" s="259"/>
      <c r="FG20" s="259"/>
      <c r="FH20" s="259"/>
      <c r="FI20" s="259"/>
      <c r="FJ20" s="259"/>
      <c r="FK20" s="259"/>
      <c r="FL20" s="259"/>
      <c r="FM20" s="259"/>
      <c r="FN20" s="259"/>
      <c r="FO20" s="259"/>
    </row>
    <row r="21" customFormat="false" ht="22.5" hidden="false" customHeight="true" outlineLevel="0" collapsed="false">
      <c r="A21" s="443" t="n">
        <f aca="false">'Listado CAPS'!A19</f>
        <v>0</v>
      </c>
      <c r="B21" s="443" t="n">
        <f aca="false">'Listado CAPS'!B19</f>
        <v>0</v>
      </c>
      <c r="C21" s="475" t="n">
        <f aca="false">'Listado CAPS'!C19</f>
        <v>0</v>
      </c>
      <c r="D21" s="418" t="str">
        <f aca="false">'Listado CAPS'!D19</f>
        <v>P</v>
      </c>
      <c r="E21" s="481"/>
      <c r="F21" s="479"/>
      <c r="G21" s="482"/>
      <c r="H21" s="482"/>
      <c r="I21" s="483"/>
      <c r="J21" s="483"/>
      <c r="K21" s="483"/>
      <c r="L21" s="483"/>
      <c r="M21" s="483"/>
      <c r="N21" s="483"/>
      <c r="O21" s="140"/>
      <c r="P21" s="462"/>
      <c r="Q21" s="448"/>
      <c r="R21" s="448"/>
    </row>
    <row r="22" s="464" customFormat="true" ht="22.5" hidden="false" customHeight="true" outlineLevel="0" collapsed="false">
      <c r="A22" s="443" t="n">
        <f aca="false">'Listado CAPS'!A20</f>
        <v>0</v>
      </c>
      <c r="B22" s="443" t="n">
        <f aca="false">'Listado CAPS'!B20</f>
        <v>0</v>
      </c>
      <c r="C22" s="475" t="n">
        <f aca="false">'Listado CAPS'!C20</f>
        <v>0</v>
      </c>
      <c r="D22" s="418" t="str">
        <f aca="false">'Listado CAPS'!D20</f>
        <v>Q</v>
      </c>
      <c r="E22" s="478"/>
      <c r="F22" s="479"/>
      <c r="G22" s="480"/>
      <c r="H22" s="480"/>
      <c r="I22" s="479"/>
      <c r="J22" s="479"/>
      <c r="K22" s="479"/>
      <c r="L22" s="479"/>
      <c r="M22" s="479"/>
      <c r="N22" s="479"/>
      <c r="O22" s="453"/>
      <c r="P22" s="463"/>
      <c r="Q22" s="448"/>
      <c r="R22" s="448"/>
      <c r="V22" s="259"/>
      <c r="W22" s="259"/>
      <c r="X22" s="259"/>
      <c r="Y22" s="259"/>
      <c r="Z22" s="259"/>
      <c r="AA22" s="259"/>
      <c r="AB22" s="259"/>
      <c r="AC22" s="259"/>
      <c r="AD22" s="259"/>
      <c r="AE22" s="259"/>
      <c r="AF22" s="259"/>
      <c r="AG22" s="259"/>
      <c r="AH22" s="259"/>
      <c r="AI22" s="259"/>
      <c r="AJ22" s="259"/>
      <c r="AK22" s="259"/>
      <c r="AL22" s="259"/>
      <c r="AM22" s="259"/>
      <c r="AN22" s="259"/>
      <c r="AO22" s="259"/>
      <c r="AP22" s="259"/>
      <c r="AQ22" s="259"/>
      <c r="AR22" s="259"/>
      <c r="AS22" s="259"/>
      <c r="AT22" s="259"/>
      <c r="AU22" s="259"/>
      <c r="AV22" s="259"/>
      <c r="AW22" s="259"/>
      <c r="AX22" s="259"/>
      <c r="AY22" s="259"/>
      <c r="AZ22" s="259"/>
      <c r="BA22" s="259"/>
      <c r="BB22" s="259"/>
      <c r="BC22" s="259"/>
      <c r="BD22" s="259"/>
      <c r="BE22" s="259"/>
      <c r="BF22" s="259"/>
      <c r="BG22" s="259"/>
      <c r="BH22" s="259"/>
      <c r="BI22" s="259"/>
      <c r="BJ22" s="259"/>
      <c r="BK22" s="259"/>
      <c r="BL22" s="259"/>
      <c r="BM22" s="259"/>
      <c r="BN22" s="259"/>
      <c r="BO22" s="259"/>
      <c r="BP22" s="259"/>
      <c r="BQ22" s="259"/>
      <c r="BR22" s="259"/>
      <c r="BS22" s="259"/>
      <c r="BT22" s="259"/>
      <c r="BU22" s="259"/>
      <c r="BV22" s="259"/>
      <c r="BW22" s="259"/>
      <c r="BX22" s="259"/>
      <c r="BY22" s="259"/>
      <c r="BZ22" s="259"/>
      <c r="CA22" s="259"/>
      <c r="CB22" s="259"/>
      <c r="CC22" s="259"/>
      <c r="CD22" s="259"/>
      <c r="CE22" s="259"/>
      <c r="CF22" s="259"/>
      <c r="CG22" s="259"/>
      <c r="CH22" s="259"/>
      <c r="CI22" s="259"/>
      <c r="CJ22" s="259"/>
      <c r="CK22" s="259"/>
      <c r="CL22" s="259"/>
      <c r="CM22" s="259"/>
      <c r="CN22" s="259"/>
      <c r="CO22" s="259"/>
      <c r="CP22" s="259"/>
      <c r="CQ22" s="259"/>
      <c r="CR22" s="259"/>
      <c r="CS22" s="259"/>
      <c r="CT22" s="259"/>
      <c r="CU22" s="259"/>
      <c r="CV22" s="259"/>
      <c r="CW22" s="259"/>
      <c r="CX22" s="259"/>
      <c r="CY22" s="259"/>
      <c r="CZ22" s="259"/>
      <c r="DA22" s="259"/>
      <c r="DB22" s="259"/>
      <c r="DC22" s="259"/>
      <c r="DD22" s="259"/>
      <c r="DE22" s="259"/>
      <c r="DF22" s="259"/>
      <c r="DG22" s="259"/>
      <c r="DH22" s="259"/>
      <c r="DI22" s="259"/>
      <c r="DJ22" s="259"/>
      <c r="DK22" s="259"/>
      <c r="DL22" s="259"/>
      <c r="DM22" s="259"/>
      <c r="DN22" s="259"/>
      <c r="DO22" s="259"/>
      <c r="DP22" s="259"/>
      <c r="DQ22" s="259"/>
      <c r="DR22" s="259"/>
      <c r="DS22" s="259"/>
      <c r="DT22" s="259"/>
      <c r="DU22" s="259"/>
      <c r="DV22" s="259"/>
      <c r="DW22" s="259"/>
      <c r="DX22" s="259"/>
      <c r="DY22" s="259"/>
      <c r="DZ22" s="259"/>
      <c r="EA22" s="259"/>
      <c r="EB22" s="259"/>
      <c r="EC22" s="259"/>
      <c r="ED22" s="259"/>
      <c r="EE22" s="259"/>
      <c r="EF22" s="259"/>
      <c r="EG22" s="259"/>
      <c r="EH22" s="259"/>
      <c r="EI22" s="259"/>
      <c r="EJ22" s="259"/>
      <c r="EK22" s="259"/>
      <c r="EL22" s="259"/>
      <c r="EM22" s="259"/>
      <c r="EN22" s="259"/>
      <c r="EO22" s="259"/>
      <c r="EP22" s="259"/>
      <c r="EQ22" s="259"/>
      <c r="ER22" s="259"/>
      <c r="ES22" s="259"/>
      <c r="ET22" s="259"/>
      <c r="EU22" s="259"/>
      <c r="EV22" s="259"/>
      <c r="EW22" s="259"/>
      <c r="EX22" s="259"/>
      <c r="EY22" s="259"/>
      <c r="EZ22" s="259"/>
      <c r="FA22" s="259"/>
      <c r="FB22" s="259"/>
      <c r="FC22" s="259"/>
      <c r="FD22" s="259"/>
      <c r="FE22" s="259"/>
      <c r="FF22" s="259"/>
      <c r="FG22" s="259"/>
      <c r="FH22" s="259"/>
      <c r="FI22" s="259"/>
      <c r="FJ22" s="259"/>
      <c r="FK22" s="259"/>
      <c r="FL22" s="259"/>
      <c r="FM22" s="259"/>
      <c r="FN22" s="259"/>
      <c r="FO22" s="259"/>
    </row>
    <row r="23" customFormat="false" ht="22.5" hidden="false" customHeight="true" outlineLevel="0" collapsed="false">
      <c r="A23" s="443" t="n">
        <f aca="false">'Listado CAPS'!A21</f>
        <v>0</v>
      </c>
      <c r="B23" s="443" t="n">
        <f aca="false">'Listado CAPS'!B21</f>
        <v>0</v>
      </c>
      <c r="C23" s="475" t="n">
        <f aca="false">'Listado CAPS'!C21</f>
        <v>0</v>
      </c>
      <c r="D23" s="418" t="str">
        <f aca="false">'Listado CAPS'!D21</f>
        <v>R</v>
      </c>
      <c r="E23" s="478"/>
      <c r="F23" s="479"/>
      <c r="G23" s="480"/>
      <c r="H23" s="480"/>
      <c r="I23" s="479"/>
      <c r="J23" s="479"/>
      <c r="K23" s="479"/>
      <c r="L23" s="479"/>
      <c r="M23" s="479"/>
      <c r="N23" s="479"/>
      <c r="O23" s="453"/>
      <c r="P23" s="463"/>
      <c r="Q23" s="448"/>
      <c r="R23" s="448"/>
    </row>
    <row r="24" customFormat="false" ht="22.5" hidden="false" customHeight="true" outlineLevel="0" collapsed="false">
      <c r="A24" s="443" t="n">
        <f aca="false">'Listado CAPS'!A22</f>
        <v>0</v>
      </c>
      <c r="B24" s="443" t="n">
        <f aca="false">'Listado CAPS'!B22</f>
        <v>0</v>
      </c>
      <c r="C24" s="475" t="n">
        <f aca="false">'Listado CAPS'!C22</f>
        <v>0</v>
      </c>
      <c r="D24" s="418" t="str">
        <f aca="false">'Listado CAPS'!D22</f>
        <v>S</v>
      </c>
      <c r="E24" s="478"/>
      <c r="F24" s="479"/>
      <c r="G24" s="480"/>
      <c r="H24" s="480"/>
      <c r="I24" s="479"/>
      <c r="J24" s="479"/>
      <c r="K24" s="479"/>
      <c r="L24" s="479"/>
      <c r="M24" s="479"/>
      <c r="N24" s="479"/>
      <c r="O24" s="453"/>
      <c r="P24" s="463"/>
      <c r="Q24" s="448"/>
      <c r="R24" s="448"/>
    </row>
    <row r="25" customFormat="false" ht="22.5" hidden="false" customHeight="true" outlineLevel="0" collapsed="false">
      <c r="A25" s="443" t="n">
        <f aca="false">'Listado CAPS'!A23</f>
        <v>0</v>
      </c>
      <c r="B25" s="443" t="n">
        <f aca="false">'Listado CAPS'!B23</f>
        <v>0</v>
      </c>
      <c r="C25" s="475" t="n">
        <f aca="false">'Listado CAPS'!C23</f>
        <v>0</v>
      </c>
      <c r="D25" s="418" t="str">
        <f aca="false">'Listado CAPS'!D23</f>
        <v>T</v>
      </c>
      <c r="E25" s="478"/>
      <c r="F25" s="479"/>
      <c r="G25" s="480"/>
      <c r="H25" s="480"/>
      <c r="I25" s="479"/>
      <c r="J25" s="479"/>
      <c r="K25" s="479"/>
      <c r="L25" s="479"/>
      <c r="M25" s="479"/>
      <c r="N25" s="479"/>
      <c r="O25" s="453"/>
      <c r="P25" s="463"/>
      <c r="Q25" s="448"/>
      <c r="R25" s="448"/>
    </row>
    <row r="26" customFormat="false" ht="22.5" hidden="false" customHeight="true" outlineLevel="0" collapsed="false">
      <c r="A26" s="443" t="n">
        <f aca="false">'Listado CAPS'!A24</f>
        <v>0</v>
      </c>
      <c r="B26" s="443" t="n">
        <f aca="false">'Listado CAPS'!B24</f>
        <v>0</v>
      </c>
      <c r="C26" s="475" t="n">
        <f aca="false">'Listado CAPS'!C24</f>
        <v>0</v>
      </c>
      <c r="D26" s="418" t="str">
        <f aca="false">'Listado CAPS'!D24</f>
        <v>U</v>
      </c>
      <c r="E26" s="478"/>
      <c r="F26" s="479"/>
      <c r="G26" s="480"/>
      <c r="H26" s="480"/>
      <c r="I26" s="479"/>
      <c r="J26" s="479"/>
      <c r="K26" s="479"/>
      <c r="L26" s="479"/>
      <c r="M26" s="479"/>
      <c r="N26" s="479"/>
      <c r="O26" s="453"/>
      <c r="P26" s="463"/>
      <c r="Q26" s="448"/>
      <c r="R26" s="448"/>
    </row>
    <row r="27" customFormat="false" ht="22.5" hidden="false" customHeight="true" outlineLevel="0" collapsed="false">
      <c r="A27" s="443" t="n">
        <f aca="false">'Listado CAPS'!A25</f>
        <v>0</v>
      </c>
      <c r="B27" s="443" t="n">
        <f aca="false">'Listado CAPS'!B25</f>
        <v>0</v>
      </c>
      <c r="C27" s="475" t="n">
        <f aca="false">'Listado CAPS'!C25</f>
        <v>0</v>
      </c>
      <c r="D27" s="418" t="str">
        <f aca="false">'Listado CAPS'!D25</f>
        <v>V</v>
      </c>
      <c r="E27" s="478"/>
      <c r="F27" s="479"/>
      <c r="G27" s="480"/>
      <c r="H27" s="480"/>
      <c r="I27" s="479"/>
      <c r="J27" s="479"/>
      <c r="K27" s="479"/>
      <c r="L27" s="479"/>
      <c r="M27" s="479"/>
      <c r="N27" s="479"/>
      <c r="O27" s="453"/>
      <c r="P27" s="463"/>
      <c r="Q27" s="448"/>
      <c r="R27" s="448"/>
    </row>
    <row r="28" customFormat="false" ht="22.5" hidden="false" customHeight="true" outlineLevel="0" collapsed="false">
      <c r="A28" s="443" t="n">
        <f aca="false">'Listado CAPS'!A26</f>
        <v>0</v>
      </c>
      <c r="B28" s="443" t="n">
        <f aca="false">'Listado CAPS'!B26</f>
        <v>0</v>
      </c>
      <c r="C28" s="475" t="n">
        <f aca="false">'Listado CAPS'!C26</f>
        <v>0</v>
      </c>
      <c r="D28" s="418" t="str">
        <f aca="false">'Listado CAPS'!D26</f>
        <v>W</v>
      </c>
      <c r="E28" s="478"/>
      <c r="F28" s="479"/>
      <c r="G28" s="480"/>
      <c r="H28" s="480"/>
      <c r="I28" s="479"/>
      <c r="J28" s="479"/>
      <c r="K28" s="479"/>
      <c r="L28" s="479"/>
      <c r="M28" s="479"/>
      <c r="N28" s="479"/>
      <c r="O28" s="453"/>
      <c r="P28" s="463"/>
      <c r="Q28" s="448"/>
      <c r="R28" s="448"/>
    </row>
    <row r="29" customFormat="false" ht="22.5" hidden="false" customHeight="true" outlineLevel="0" collapsed="false">
      <c r="A29" s="443" t="n">
        <f aca="false">'Listado CAPS'!A27</f>
        <v>0</v>
      </c>
      <c r="B29" s="443" t="n">
        <f aca="false">'Listado CAPS'!B27</f>
        <v>0</v>
      </c>
      <c r="C29" s="475" t="n">
        <f aca="false">'Listado CAPS'!C27</f>
        <v>0</v>
      </c>
      <c r="D29" s="418" t="str">
        <f aca="false">'Listado CAPS'!D27</f>
        <v>X</v>
      </c>
      <c r="E29" s="478"/>
      <c r="F29" s="479"/>
      <c r="G29" s="480"/>
      <c r="H29" s="480"/>
      <c r="I29" s="479"/>
      <c r="J29" s="479"/>
      <c r="K29" s="479"/>
      <c r="L29" s="479"/>
      <c r="M29" s="479"/>
      <c r="N29" s="479"/>
      <c r="O29" s="453"/>
      <c r="P29" s="463"/>
      <c r="Q29" s="448"/>
      <c r="R29" s="448"/>
    </row>
    <row r="30" s="259" customFormat="true" ht="22.5" hidden="false" customHeight="true" outlineLevel="0" collapsed="false">
      <c r="A30" s="443" t="n">
        <f aca="false">'Listado CAPS'!A28</f>
        <v>0</v>
      </c>
      <c r="B30" s="443" t="n">
        <f aca="false">'Listado CAPS'!B28</f>
        <v>0</v>
      </c>
      <c r="C30" s="475" t="n">
        <f aca="false">'Listado CAPS'!C28</f>
        <v>0</v>
      </c>
      <c r="D30" s="418" t="str">
        <f aca="false">'Listado CAPS'!D28</f>
        <v>Y</v>
      </c>
      <c r="E30" s="478"/>
      <c r="F30" s="479"/>
      <c r="G30" s="480"/>
      <c r="H30" s="480"/>
      <c r="I30" s="479"/>
      <c r="J30" s="479"/>
      <c r="K30" s="479"/>
      <c r="L30" s="479"/>
      <c r="M30" s="479"/>
      <c r="N30" s="479"/>
      <c r="O30" s="453"/>
      <c r="P30" s="463"/>
      <c r="Q30" s="448"/>
      <c r="R30" s="448"/>
    </row>
    <row r="31" customFormat="false" ht="22.5" hidden="false" customHeight="true" outlineLevel="0" collapsed="false">
      <c r="D31" s="259"/>
      <c r="Q31" s="259"/>
      <c r="R31" s="259"/>
      <c r="S31" s="259"/>
      <c r="T31" s="259"/>
      <c r="U31" s="259"/>
    </row>
    <row r="32" s="402" customFormat="true" ht="22.5" hidden="false" customHeight="true" outlineLevel="0" collapsed="false">
      <c r="A32" s="259"/>
      <c r="B32" s="259"/>
      <c r="C32" s="259"/>
      <c r="D32" s="259"/>
      <c r="E32" s="36"/>
      <c r="F32" s="36"/>
      <c r="G32" s="91"/>
      <c r="H32" s="91"/>
      <c r="I32" s="91"/>
      <c r="J32" s="91"/>
      <c r="K32" s="91"/>
      <c r="L32" s="91"/>
      <c r="M32" s="91"/>
      <c r="V32" s="259"/>
      <c r="W32" s="259"/>
      <c r="X32" s="259"/>
      <c r="Y32" s="259"/>
      <c r="Z32" s="259"/>
      <c r="AA32" s="259"/>
      <c r="AB32" s="259"/>
      <c r="AC32" s="259"/>
      <c r="AD32" s="259"/>
      <c r="AE32" s="259"/>
      <c r="AF32" s="259"/>
      <c r="AG32" s="259"/>
      <c r="AH32" s="259"/>
      <c r="AI32" s="259"/>
      <c r="AJ32" s="259"/>
      <c r="AK32" s="259"/>
      <c r="AL32" s="259"/>
      <c r="AM32" s="259"/>
      <c r="AN32" s="259"/>
      <c r="AO32" s="259"/>
      <c r="AP32" s="259"/>
      <c r="AQ32" s="259"/>
      <c r="AR32" s="259"/>
      <c r="AS32" s="259"/>
      <c r="AT32" s="259"/>
      <c r="AU32" s="259"/>
      <c r="AV32" s="259"/>
      <c r="AW32" s="259"/>
      <c r="AX32" s="259"/>
      <c r="AY32" s="259"/>
      <c r="AZ32" s="259"/>
      <c r="BA32" s="259"/>
      <c r="BB32" s="259"/>
      <c r="BC32" s="259"/>
      <c r="BD32" s="259"/>
      <c r="BE32" s="259"/>
      <c r="BF32" s="259"/>
      <c r="BG32" s="259"/>
      <c r="BH32" s="259"/>
      <c r="BI32" s="259"/>
      <c r="BJ32" s="259"/>
      <c r="BK32" s="259"/>
      <c r="BL32" s="259"/>
      <c r="BM32" s="259"/>
      <c r="BN32" s="259"/>
      <c r="BO32" s="259"/>
      <c r="BP32" s="259"/>
      <c r="BQ32" s="259"/>
      <c r="BR32" s="259"/>
      <c r="BS32" s="259"/>
      <c r="BT32" s="259"/>
      <c r="BU32" s="259"/>
      <c r="BV32" s="259"/>
      <c r="BW32" s="259"/>
      <c r="BX32" s="259"/>
      <c r="BY32" s="259"/>
      <c r="BZ32" s="259"/>
      <c r="CA32" s="259"/>
      <c r="CB32" s="259"/>
      <c r="CC32" s="259"/>
      <c r="CD32" s="259"/>
      <c r="CE32" s="259"/>
      <c r="CF32" s="259"/>
      <c r="CG32" s="259"/>
      <c r="CH32" s="259"/>
      <c r="CI32" s="259"/>
      <c r="CJ32" s="259"/>
      <c r="CK32" s="259"/>
      <c r="CL32" s="259"/>
      <c r="CM32" s="259"/>
      <c r="CN32" s="259"/>
      <c r="CO32" s="259"/>
      <c r="CP32" s="259"/>
      <c r="CQ32" s="259"/>
      <c r="CR32" s="259"/>
      <c r="CS32" s="259"/>
      <c r="CT32" s="259"/>
      <c r="CU32" s="259"/>
      <c r="CV32" s="259"/>
      <c r="CW32" s="259"/>
      <c r="CX32" s="259"/>
      <c r="CY32" s="259"/>
      <c r="CZ32" s="259"/>
      <c r="DA32" s="259"/>
      <c r="DB32" s="259"/>
      <c r="DC32" s="259"/>
      <c r="DD32" s="259"/>
      <c r="DE32" s="259"/>
      <c r="DF32" s="259"/>
      <c r="DG32" s="259"/>
      <c r="DH32" s="259"/>
      <c r="DI32" s="259"/>
      <c r="DJ32" s="259"/>
      <c r="DK32" s="259"/>
      <c r="DL32" s="259"/>
      <c r="DM32" s="259"/>
      <c r="DN32" s="259"/>
      <c r="DO32" s="259"/>
      <c r="DP32" s="259"/>
      <c r="DQ32" s="259"/>
      <c r="DR32" s="259"/>
      <c r="DS32" s="259"/>
      <c r="DT32" s="259"/>
      <c r="DU32" s="259"/>
      <c r="DV32" s="259"/>
      <c r="DW32" s="259"/>
      <c r="DX32" s="259"/>
      <c r="DY32" s="259"/>
      <c r="DZ32" s="259"/>
      <c r="EA32" s="259"/>
      <c r="EB32" s="259"/>
      <c r="EC32" s="259"/>
      <c r="ED32" s="259"/>
      <c r="EE32" s="259"/>
      <c r="EF32" s="259"/>
      <c r="EG32" s="259"/>
      <c r="EH32" s="259"/>
      <c r="EI32" s="259"/>
      <c r="EJ32" s="259"/>
      <c r="EK32" s="259"/>
      <c r="EL32" s="259"/>
      <c r="EM32" s="259"/>
      <c r="EN32" s="259"/>
      <c r="EO32" s="259"/>
      <c r="EP32" s="259"/>
      <c r="EQ32" s="259"/>
      <c r="ER32" s="259"/>
      <c r="ES32" s="259"/>
      <c r="ET32" s="259"/>
      <c r="EU32" s="259"/>
      <c r="EV32" s="259"/>
      <c r="EW32" s="259"/>
      <c r="EX32" s="259"/>
      <c r="EY32" s="259"/>
      <c r="EZ32" s="259"/>
      <c r="FA32" s="259"/>
      <c r="FB32" s="259"/>
      <c r="FC32" s="259"/>
      <c r="FD32" s="259"/>
      <c r="FE32" s="259"/>
      <c r="FF32" s="259"/>
      <c r="FG32" s="259"/>
      <c r="FH32" s="259"/>
      <c r="FI32" s="259"/>
      <c r="FJ32" s="259"/>
      <c r="FK32" s="259"/>
      <c r="FL32" s="259"/>
      <c r="FM32" s="259"/>
      <c r="FN32" s="259"/>
      <c r="FO32" s="259"/>
    </row>
    <row r="33" s="402" customFormat="true" ht="22.5" hidden="false" customHeight="true" outlineLevel="0" collapsed="false">
      <c r="A33" s="259"/>
      <c r="B33" s="259"/>
      <c r="C33" s="259"/>
      <c r="D33" s="259"/>
      <c r="E33" s="36"/>
      <c r="F33" s="36"/>
      <c r="G33" s="91"/>
      <c r="H33" s="91"/>
      <c r="I33" s="91"/>
      <c r="J33" s="91"/>
      <c r="K33" s="91"/>
      <c r="L33" s="91"/>
      <c r="M33" s="91"/>
      <c r="V33" s="259"/>
      <c r="W33" s="259"/>
      <c r="X33" s="259"/>
      <c r="Y33" s="259"/>
      <c r="Z33" s="259"/>
      <c r="AA33" s="259"/>
      <c r="AB33" s="259"/>
      <c r="AC33" s="259"/>
      <c r="AD33" s="259"/>
      <c r="AE33" s="259"/>
      <c r="AF33" s="259"/>
      <c r="AG33" s="259"/>
      <c r="AH33" s="259"/>
      <c r="AI33" s="259"/>
      <c r="AJ33" s="259"/>
      <c r="AK33" s="259"/>
      <c r="AL33" s="259"/>
      <c r="AM33" s="259"/>
      <c r="AN33" s="259"/>
      <c r="AO33" s="259"/>
      <c r="AP33" s="259"/>
      <c r="AQ33" s="259"/>
      <c r="AR33" s="259"/>
      <c r="AS33" s="259"/>
      <c r="AT33" s="259"/>
      <c r="AU33" s="259"/>
      <c r="AV33" s="259"/>
      <c r="AW33" s="259"/>
      <c r="AX33" s="259"/>
      <c r="AY33" s="259"/>
      <c r="AZ33" s="259"/>
      <c r="BA33" s="259"/>
      <c r="BB33" s="259"/>
      <c r="BC33" s="259"/>
      <c r="BD33" s="259"/>
      <c r="BE33" s="259"/>
      <c r="BF33" s="259"/>
      <c r="BG33" s="259"/>
      <c r="BH33" s="259"/>
      <c r="BI33" s="259"/>
      <c r="BJ33" s="259"/>
      <c r="BK33" s="259"/>
      <c r="BL33" s="259"/>
      <c r="BM33" s="259"/>
      <c r="BN33" s="259"/>
      <c r="BO33" s="259"/>
      <c r="BP33" s="259"/>
      <c r="BQ33" s="259"/>
      <c r="BR33" s="259"/>
      <c r="BS33" s="259"/>
      <c r="BT33" s="259"/>
      <c r="BU33" s="259"/>
      <c r="BV33" s="259"/>
      <c r="BW33" s="259"/>
      <c r="BX33" s="259"/>
      <c r="BY33" s="259"/>
      <c r="BZ33" s="259"/>
      <c r="CA33" s="259"/>
      <c r="CB33" s="259"/>
      <c r="CC33" s="259"/>
      <c r="CD33" s="259"/>
      <c r="CE33" s="259"/>
      <c r="CF33" s="259"/>
      <c r="CG33" s="259"/>
      <c r="CH33" s="259"/>
      <c r="CI33" s="259"/>
      <c r="CJ33" s="259"/>
      <c r="CK33" s="259"/>
      <c r="CL33" s="259"/>
      <c r="CM33" s="259"/>
      <c r="CN33" s="259"/>
      <c r="CO33" s="259"/>
      <c r="CP33" s="259"/>
      <c r="CQ33" s="259"/>
      <c r="CR33" s="259"/>
      <c r="CS33" s="259"/>
      <c r="CT33" s="259"/>
      <c r="CU33" s="259"/>
      <c r="CV33" s="259"/>
      <c r="CW33" s="259"/>
      <c r="CX33" s="259"/>
      <c r="CY33" s="259"/>
      <c r="CZ33" s="259"/>
      <c r="DA33" s="259"/>
      <c r="DB33" s="259"/>
      <c r="DC33" s="259"/>
      <c r="DD33" s="259"/>
      <c r="DE33" s="259"/>
      <c r="DF33" s="259"/>
      <c r="DG33" s="259"/>
      <c r="DH33" s="259"/>
      <c r="DI33" s="259"/>
      <c r="DJ33" s="259"/>
      <c r="DK33" s="259"/>
      <c r="DL33" s="259"/>
      <c r="DM33" s="259"/>
      <c r="DN33" s="259"/>
      <c r="DO33" s="259"/>
      <c r="DP33" s="259"/>
      <c r="DQ33" s="259"/>
      <c r="DR33" s="259"/>
      <c r="DS33" s="259"/>
      <c r="DT33" s="259"/>
      <c r="DU33" s="259"/>
      <c r="DV33" s="259"/>
      <c r="DW33" s="259"/>
      <c r="DX33" s="259"/>
      <c r="DY33" s="259"/>
      <c r="DZ33" s="259"/>
      <c r="EA33" s="259"/>
      <c r="EB33" s="259"/>
      <c r="EC33" s="259"/>
      <c r="ED33" s="259"/>
      <c r="EE33" s="259"/>
      <c r="EF33" s="259"/>
      <c r="EG33" s="259"/>
      <c r="EH33" s="259"/>
      <c r="EI33" s="259"/>
      <c r="EJ33" s="259"/>
      <c r="EK33" s="259"/>
      <c r="EL33" s="259"/>
      <c r="EM33" s="259"/>
      <c r="EN33" s="259"/>
      <c r="EO33" s="259"/>
      <c r="EP33" s="259"/>
      <c r="EQ33" s="259"/>
      <c r="ER33" s="259"/>
      <c r="ES33" s="259"/>
      <c r="ET33" s="259"/>
      <c r="EU33" s="259"/>
      <c r="EV33" s="259"/>
      <c r="EW33" s="259"/>
      <c r="EX33" s="259"/>
      <c r="EY33" s="259"/>
      <c r="EZ33" s="259"/>
      <c r="FA33" s="259"/>
      <c r="FB33" s="259"/>
      <c r="FC33" s="259"/>
      <c r="FD33" s="259"/>
      <c r="FE33" s="259"/>
      <c r="FF33" s="259"/>
      <c r="FG33" s="259"/>
      <c r="FH33" s="259"/>
      <c r="FI33" s="259"/>
      <c r="FJ33" s="259"/>
      <c r="FK33" s="259"/>
      <c r="FL33" s="259"/>
      <c r="FM33" s="259"/>
      <c r="FN33" s="259"/>
      <c r="FO33" s="259"/>
    </row>
    <row r="34" s="402" customFormat="true" ht="22.5" hidden="false" customHeight="true" outlineLevel="0" collapsed="false">
      <c r="A34" s="259"/>
      <c r="B34" s="259"/>
      <c r="C34" s="259"/>
      <c r="D34" s="259"/>
      <c r="E34" s="36"/>
      <c r="F34" s="36"/>
      <c r="G34" s="91"/>
      <c r="H34" s="91"/>
      <c r="I34" s="91"/>
      <c r="J34" s="91"/>
      <c r="K34" s="91"/>
      <c r="L34" s="91"/>
      <c r="M34" s="91"/>
      <c r="V34" s="259"/>
      <c r="W34" s="259"/>
      <c r="X34" s="259"/>
      <c r="Y34" s="259"/>
      <c r="Z34" s="259"/>
      <c r="AA34" s="259"/>
      <c r="AB34" s="259"/>
      <c r="AC34" s="259"/>
      <c r="AD34" s="259"/>
      <c r="AE34" s="259"/>
      <c r="AF34" s="259"/>
      <c r="AG34" s="259"/>
      <c r="AH34" s="259"/>
      <c r="AI34" s="259"/>
      <c r="AJ34" s="259"/>
      <c r="AK34" s="259"/>
      <c r="AL34" s="259"/>
      <c r="AM34" s="259"/>
      <c r="AN34" s="259"/>
      <c r="AO34" s="259"/>
      <c r="AP34" s="259"/>
      <c r="AQ34" s="259"/>
      <c r="AR34" s="259"/>
      <c r="AS34" s="259"/>
      <c r="AT34" s="259"/>
      <c r="AU34" s="259"/>
      <c r="AV34" s="259"/>
      <c r="AW34" s="259"/>
      <c r="AX34" s="259"/>
      <c r="AY34" s="259"/>
      <c r="AZ34" s="259"/>
      <c r="BA34" s="259"/>
      <c r="BB34" s="259"/>
      <c r="BC34" s="259"/>
      <c r="BD34" s="259"/>
      <c r="BE34" s="259"/>
      <c r="BF34" s="259"/>
      <c r="BG34" s="259"/>
      <c r="BH34" s="259"/>
      <c r="BI34" s="259"/>
      <c r="BJ34" s="259"/>
      <c r="BK34" s="259"/>
      <c r="BL34" s="259"/>
      <c r="BM34" s="259"/>
      <c r="BN34" s="259"/>
      <c r="BO34" s="259"/>
      <c r="BP34" s="259"/>
      <c r="BQ34" s="259"/>
      <c r="BR34" s="259"/>
      <c r="BS34" s="259"/>
      <c r="BT34" s="259"/>
      <c r="BU34" s="259"/>
      <c r="BV34" s="259"/>
      <c r="BW34" s="259"/>
      <c r="BX34" s="259"/>
      <c r="BY34" s="259"/>
      <c r="BZ34" s="259"/>
      <c r="CA34" s="259"/>
      <c r="CB34" s="259"/>
      <c r="CC34" s="259"/>
      <c r="CD34" s="259"/>
      <c r="CE34" s="259"/>
      <c r="CF34" s="259"/>
      <c r="CG34" s="259"/>
      <c r="CH34" s="259"/>
      <c r="CI34" s="259"/>
      <c r="CJ34" s="259"/>
      <c r="CK34" s="259"/>
      <c r="CL34" s="259"/>
      <c r="CM34" s="259"/>
      <c r="CN34" s="259"/>
      <c r="CO34" s="259"/>
      <c r="CP34" s="259"/>
      <c r="CQ34" s="259"/>
      <c r="CR34" s="259"/>
      <c r="CS34" s="259"/>
      <c r="CT34" s="259"/>
      <c r="CU34" s="259"/>
      <c r="CV34" s="259"/>
      <c r="CW34" s="259"/>
      <c r="CX34" s="259"/>
      <c r="CY34" s="259"/>
      <c r="CZ34" s="259"/>
      <c r="DA34" s="259"/>
      <c r="DB34" s="259"/>
      <c r="DC34" s="259"/>
      <c r="DD34" s="259"/>
      <c r="DE34" s="259"/>
      <c r="DF34" s="259"/>
      <c r="DG34" s="259"/>
      <c r="DH34" s="259"/>
      <c r="DI34" s="259"/>
      <c r="DJ34" s="259"/>
      <c r="DK34" s="259"/>
      <c r="DL34" s="259"/>
      <c r="DM34" s="259"/>
      <c r="DN34" s="259"/>
      <c r="DO34" s="259"/>
      <c r="DP34" s="259"/>
      <c r="DQ34" s="259"/>
      <c r="DR34" s="259"/>
      <c r="DS34" s="259"/>
      <c r="DT34" s="259"/>
      <c r="DU34" s="259"/>
      <c r="DV34" s="259"/>
      <c r="DW34" s="259"/>
      <c r="DX34" s="259"/>
      <c r="DY34" s="259"/>
      <c r="DZ34" s="259"/>
      <c r="EA34" s="259"/>
      <c r="EB34" s="259"/>
      <c r="EC34" s="259"/>
      <c r="ED34" s="259"/>
      <c r="EE34" s="259"/>
      <c r="EF34" s="259"/>
      <c r="EG34" s="259"/>
      <c r="EH34" s="259"/>
      <c r="EI34" s="259"/>
      <c r="EJ34" s="259"/>
      <c r="EK34" s="259"/>
      <c r="EL34" s="259"/>
      <c r="EM34" s="259"/>
      <c r="EN34" s="259"/>
      <c r="EO34" s="259"/>
      <c r="EP34" s="259"/>
      <c r="EQ34" s="259"/>
      <c r="ER34" s="259"/>
      <c r="ES34" s="259"/>
      <c r="ET34" s="259"/>
      <c r="EU34" s="259"/>
      <c r="EV34" s="259"/>
      <c r="EW34" s="259"/>
      <c r="EX34" s="259"/>
      <c r="EY34" s="259"/>
      <c r="EZ34" s="259"/>
      <c r="FA34" s="259"/>
      <c r="FB34" s="259"/>
      <c r="FC34" s="259"/>
      <c r="FD34" s="259"/>
      <c r="FE34" s="259"/>
      <c r="FF34" s="259"/>
      <c r="FG34" s="259"/>
      <c r="FH34" s="259"/>
      <c r="FI34" s="259"/>
      <c r="FJ34" s="259"/>
      <c r="FK34" s="259"/>
      <c r="FL34" s="259"/>
      <c r="FM34" s="259"/>
      <c r="FN34" s="259"/>
      <c r="FO34" s="259"/>
    </row>
    <row r="35" s="402" customFormat="true" ht="22.5" hidden="false" customHeight="true" outlineLevel="0" collapsed="false">
      <c r="A35" s="259"/>
      <c r="B35" s="259"/>
      <c r="C35" s="259"/>
      <c r="D35" s="259"/>
      <c r="E35" s="36"/>
      <c r="F35" s="36"/>
      <c r="G35" s="91"/>
      <c r="H35" s="91"/>
      <c r="I35" s="91"/>
      <c r="J35" s="91"/>
      <c r="K35" s="91"/>
      <c r="L35" s="91"/>
      <c r="M35" s="91"/>
      <c r="N35" s="36"/>
      <c r="O35" s="401"/>
      <c r="P35" s="401"/>
      <c r="Q35" s="401"/>
      <c r="V35" s="259"/>
      <c r="W35" s="259"/>
      <c r="X35" s="259"/>
      <c r="Y35" s="259"/>
      <c r="Z35" s="259"/>
      <c r="AA35" s="259"/>
      <c r="AB35" s="259"/>
      <c r="AC35" s="259"/>
      <c r="AD35" s="259"/>
      <c r="AE35" s="259"/>
      <c r="AF35" s="259"/>
      <c r="AG35" s="259"/>
      <c r="AH35" s="259"/>
      <c r="AI35" s="259"/>
      <c r="AJ35" s="259"/>
      <c r="AK35" s="259"/>
      <c r="AL35" s="259"/>
      <c r="AM35" s="259"/>
      <c r="AN35" s="259"/>
      <c r="AO35" s="259"/>
      <c r="AP35" s="259"/>
      <c r="AQ35" s="259"/>
      <c r="AR35" s="259"/>
      <c r="AS35" s="259"/>
      <c r="AT35" s="259"/>
      <c r="AU35" s="259"/>
      <c r="AV35" s="259"/>
      <c r="AW35" s="259"/>
      <c r="AX35" s="259"/>
      <c r="AY35" s="259"/>
      <c r="AZ35" s="259"/>
      <c r="BA35" s="259"/>
      <c r="BB35" s="259"/>
      <c r="BC35" s="259"/>
      <c r="BD35" s="259"/>
      <c r="BE35" s="259"/>
      <c r="BF35" s="259"/>
      <c r="BG35" s="259"/>
      <c r="BH35" s="259"/>
      <c r="BI35" s="259"/>
      <c r="BJ35" s="259"/>
      <c r="BK35" s="259"/>
      <c r="BL35" s="259"/>
      <c r="BM35" s="259"/>
      <c r="BN35" s="259"/>
      <c r="BO35" s="259"/>
      <c r="BP35" s="259"/>
      <c r="BQ35" s="259"/>
      <c r="BR35" s="259"/>
      <c r="BS35" s="259"/>
      <c r="BT35" s="259"/>
      <c r="BU35" s="259"/>
      <c r="BV35" s="259"/>
      <c r="BW35" s="259"/>
      <c r="BX35" s="259"/>
      <c r="BY35" s="259"/>
      <c r="BZ35" s="259"/>
      <c r="CA35" s="259"/>
      <c r="CB35" s="259"/>
      <c r="CC35" s="259"/>
      <c r="CD35" s="259"/>
      <c r="CE35" s="259"/>
      <c r="CF35" s="259"/>
      <c r="CG35" s="259"/>
      <c r="CH35" s="259"/>
      <c r="CI35" s="259"/>
      <c r="CJ35" s="259"/>
      <c r="CK35" s="259"/>
      <c r="CL35" s="259"/>
      <c r="CM35" s="259"/>
      <c r="CN35" s="259"/>
      <c r="CO35" s="259"/>
      <c r="CP35" s="259"/>
      <c r="CQ35" s="259"/>
      <c r="CR35" s="259"/>
      <c r="CS35" s="259"/>
      <c r="CT35" s="259"/>
      <c r="CU35" s="259"/>
      <c r="CV35" s="259"/>
      <c r="CW35" s="259"/>
      <c r="CX35" s="259"/>
      <c r="CY35" s="259"/>
      <c r="CZ35" s="259"/>
      <c r="DA35" s="259"/>
      <c r="DB35" s="259"/>
      <c r="DC35" s="259"/>
      <c r="DD35" s="259"/>
      <c r="DE35" s="259"/>
      <c r="DF35" s="259"/>
      <c r="DG35" s="259"/>
      <c r="DH35" s="259"/>
      <c r="DI35" s="259"/>
      <c r="DJ35" s="259"/>
      <c r="DK35" s="259"/>
      <c r="DL35" s="259"/>
      <c r="DM35" s="259"/>
      <c r="DN35" s="259"/>
      <c r="DO35" s="259"/>
      <c r="DP35" s="259"/>
      <c r="DQ35" s="259"/>
      <c r="DR35" s="259"/>
      <c r="DS35" s="259"/>
      <c r="DT35" s="259"/>
      <c r="DU35" s="259"/>
      <c r="DV35" s="259"/>
      <c r="DW35" s="259"/>
      <c r="DX35" s="259"/>
      <c r="DY35" s="259"/>
      <c r="DZ35" s="259"/>
      <c r="EA35" s="259"/>
      <c r="EB35" s="259"/>
      <c r="EC35" s="259"/>
      <c r="ED35" s="259"/>
      <c r="EE35" s="259"/>
      <c r="EF35" s="259"/>
      <c r="EG35" s="259"/>
      <c r="EH35" s="259"/>
      <c r="EI35" s="259"/>
      <c r="EJ35" s="259"/>
      <c r="EK35" s="259"/>
      <c r="EL35" s="259"/>
      <c r="EM35" s="259"/>
      <c r="EN35" s="259"/>
      <c r="EO35" s="259"/>
      <c r="EP35" s="259"/>
      <c r="EQ35" s="259"/>
      <c r="ER35" s="259"/>
      <c r="ES35" s="259"/>
      <c r="ET35" s="259"/>
      <c r="EU35" s="259"/>
      <c r="EV35" s="259"/>
      <c r="EW35" s="259"/>
      <c r="EX35" s="259"/>
      <c r="EY35" s="259"/>
      <c r="EZ35" s="259"/>
      <c r="FA35" s="259"/>
      <c r="FB35" s="259"/>
      <c r="FC35" s="259"/>
      <c r="FD35" s="259"/>
      <c r="FE35" s="259"/>
      <c r="FF35" s="259"/>
      <c r="FG35" s="259"/>
      <c r="FH35" s="259"/>
      <c r="FI35" s="259"/>
      <c r="FJ35" s="259"/>
      <c r="FK35" s="259"/>
      <c r="FL35" s="259"/>
      <c r="FM35" s="259"/>
      <c r="FN35" s="259"/>
      <c r="FO35" s="259"/>
    </row>
    <row r="36" s="402" customFormat="true" ht="22.5" hidden="false" customHeight="true" outlineLevel="0" collapsed="false">
      <c r="A36" s="259"/>
      <c r="B36" s="259"/>
      <c r="C36" s="259"/>
      <c r="D36" s="259"/>
      <c r="E36" s="36"/>
      <c r="F36" s="36"/>
      <c r="G36" s="91"/>
      <c r="H36" s="91"/>
      <c r="I36" s="91"/>
      <c r="J36" s="91"/>
      <c r="K36" s="91"/>
      <c r="L36" s="91"/>
      <c r="M36" s="91"/>
      <c r="N36" s="36"/>
      <c r="O36" s="401"/>
      <c r="P36" s="401"/>
      <c r="Q36" s="401"/>
      <c r="V36" s="259"/>
      <c r="W36" s="259"/>
      <c r="X36" s="259"/>
      <c r="Y36" s="259"/>
      <c r="Z36" s="259"/>
      <c r="AA36" s="259"/>
      <c r="AB36" s="259"/>
      <c r="AC36" s="259"/>
      <c r="AD36" s="259"/>
      <c r="AE36" s="259"/>
      <c r="AF36" s="259"/>
      <c r="AG36" s="259"/>
      <c r="AH36" s="259"/>
      <c r="AI36" s="259"/>
      <c r="AJ36" s="259"/>
      <c r="AK36" s="259"/>
      <c r="AL36" s="259"/>
      <c r="AM36" s="259"/>
      <c r="AN36" s="259"/>
      <c r="AO36" s="259"/>
      <c r="AP36" s="259"/>
      <c r="AQ36" s="259"/>
      <c r="AR36" s="259"/>
      <c r="AS36" s="259"/>
      <c r="AT36" s="259"/>
      <c r="AU36" s="259"/>
      <c r="AV36" s="259"/>
      <c r="AW36" s="259"/>
      <c r="AX36" s="259"/>
      <c r="AY36" s="259"/>
      <c r="AZ36" s="259"/>
      <c r="BA36" s="259"/>
      <c r="BB36" s="259"/>
      <c r="BC36" s="259"/>
      <c r="BD36" s="259"/>
      <c r="BE36" s="259"/>
      <c r="BF36" s="259"/>
      <c r="BG36" s="259"/>
      <c r="BH36" s="259"/>
      <c r="BI36" s="259"/>
      <c r="BJ36" s="259"/>
      <c r="BK36" s="259"/>
      <c r="BL36" s="259"/>
      <c r="BM36" s="259"/>
      <c r="BN36" s="259"/>
      <c r="BO36" s="259"/>
      <c r="BP36" s="259"/>
      <c r="BQ36" s="259"/>
      <c r="BR36" s="259"/>
      <c r="BS36" s="259"/>
      <c r="BT36" s="259"/>
      <c r="BU36" s="259"/>
      <c r="BV36" s="259"/>
      <c r="BW36" s="259"/>
      <c r="BX36" s="259"/>
      <c r="BY36" s="259"/>
      <c r="BZ36" s="259"/>
      <c r="CA36" s="259"/>
      <c r="CB36" s="259"/>
      <c r="CC36" s="259"/>
      <c r="CD36" s="259"/>
      <c r="CE36" s="259"/>
      <c r="CF36" s="259"/>
      <c r="CG36" s="259"/>
      <c r="CH36" s="259"/>
      <c r="CI36" s="259"/>
      <c r="CJ36" s="259"/>
      <c r="CK36" s="259"/>
      <c r="CL36" s="259"/>
      <c r="CM36" s="259"/>
      <c r="CN36" s="259"/>
      <c r="CO36" s="259"/>
      <c r="CP36" s="259"/>
      <c r="CQ36" s="259"/>
      <c r="CR36" s="259"/>
      <c r="CS36" s="259"/>
      <c r="CT36" s="259"/>
      <c r="CU36" s="259"/>
      <c r="CV36" s="259"/>
      <c r="CW36" s="259"/>
      <c r="CX36" s="259"/>
      <c r="CY36" s="259"/>
      <c r="CZ36" s="259"/>
      <c r="DA36" s="259"/>
      <c r="DB36" s="259"/>
      <c r="DC36" s="259"/>
      <c r="DD36" s="259"/>
      <c r="DE36" s="259"/>
      <c r="DF36" s="259"/>
      <c r="DG36" s="259"/>
      <c r="DH36" s="259"/>
      <c r="DI36" s="259"/>
      <c r="DJ36" s="259"/>
      <c r="DK36" s="259"/>
      <c r="DL36" s="259"/>
      <c r="DM36" s="259"/>
      <c r="DN36" s="259"/>
      <c r="DO36" s="259"/>
      <c r="DP36" s="259"/>
      <c r="DQ36" s="259"/>
      <c r="DR36" s="259"/>
      <c r="DS36" s="259"/>
      <c r="DT36" s="259"/>
      <c r="DU36" s="259"/>
      <c r="DV36" s="259"/>
      <c r="DW36" s="259"/>
      <c r="DX36" s="259"/>
      <c r="DY36" s="259"/>
      <c r="DZ36" s="259"/>
      <c r="EA36" s="259"/>
      <c r="EB36" s="259"/>
      <c r="EC36" s="259"/>
      <c r="ED36" s="259"/>
      <c r="EE36" s="259"/>
      <c r="EF36" s="259"/>
      <c r="EG36" s="259"/>
      <c r="EH36" s="259"/>
      <c r="EI36" s="259"/>
      <c r="EJ36" s="259"/>
      <c r="EK36" s="259"/>
      <c r="EL36" s="259"/>
      <c r="EM36" s="259"/>
      <c r="EN36" s="259"/>
      <c r="EO36" s="259"/>
      <c r="EP36" s="259"/>
      <c r="EQ36" s="259"/>
      <c r="ER36" s="259"/>
      <c r="ES36" s="259"/>
      <c r="ET36" s="259"/>
      <c r="EU36" s="259"/>
      <c r="EV36" s="259"/>
      <c r="EW36" s="259"/>
      <c r="EX36" s="259"/>
      <c r="EY36" s="259"/>
      <c r="EZ36" s="259"/>
      <c r="FA36" s="259"/>
      <c r="FB36" s="259"/>
      <c r="FC36" s="259"/>
      <c r="FD36" s="259"/>
      <c r="FE36" s="259"/>
      <c r="FF36" s="259"/>
      <c r="FG36" s="259"/>
      <c r="FH36" s="259"/>
      <c r="FI36" s="259"/>
      <c r="FJ36" s="259"/>
      <c r="FK36" s="259"/>
      <c r="FL36" s="259"/>
      <c r="FM36" s="259"/>
      <c r="FN36" s="259"/>
      <c r="FO36" s="259"/>
    </row>
    <row r="37" customFormat="false" ht="15.75" hidden="false" customHeight="false" outlineLevel="0" collapsed="false">
      <c r="D37" s="259"/>
    </row>
    <row r="38" customFormat="false" ht="15.75" hidden="false" customHeight="false" outlineLevel="0" collapsed="false">
      <c r="D38" s="259"/>
    </row>
    <row r="39" customFormat="false" ht="15.75" hidden="false" customHeight="false" outlineLevel="0" collapsed="false">
      <c r="D39" s="259"/>
    </row>
    <row r="40" customFormat="false" ht="15.75" hidden="false" customHeight="false" outlineLevel="0" collapsed="false">
      <c r="D40" s="259"/>
    </row>
    <row r="41" customFormat="false" ht="15.75" hidden="false" customHeight="false" outlineLevel="0" collapsed="false">
      <c r="D41" s="259"/>
    </row>
    <row r="42" customFormat="false" ht="15.75" hidden="false" customHeight="false" outlineLevel="0" collapsed="false">
      <c r="D42" s="259"/>
    </row>
    <row r="43" customFormat="false" ht="15.75" hidden="false" customHeight="false" outlineLevel="0" collapsed="false">
      <c r="D43" s="259"/>
    </row>
    <row r="44" customFormat="false" ht="15.75" hidden="false" customHeight="false" outlineLevel="0" collapsed="false">
      <c r="D44" s="259"/>
    </row>
    <row r="45" customFormat="false" ht="15.75" hidden="false" customHeight="false" outlineLevel="0" collapsed="false">
      <c r="D45" s="259"/>
    </row>
    <row r="46" customFormat="false" ht="15.75" hidden="false" customHeight="false" outlineLevel="0" collapsed="false">
      <c r="D46" s="259"/>
    </row>
    <row r="47" customFormat="false" ht="15.75" hidden="false" customHeight="false" outlineLevel="0" collapsed="false">
      <c r="D47" s="259"/>
    </row>
    <row r="48" customFormat="false" ht="15.75" hidden="false" customHeight="false" outlineLevel="0" collapsed="false">
      <c r="D48" s="259"/>
    </row>
    <row r="49" customFormat="false" ht="15.75" hidden="false" customHeight="false" outlineLevel="0" collapsed="false">
      <c r="D49" s="259"/>
    </row>
    <row r="50" customFormat="false" ht="15.75" hidden="false" customHeight="false" outlineLevel="0" collapsed="false">
      <c r="D50" s="259"/>
    </row>
    <row r="51" customFormat="false" ht="15.75" hidden="false" customHeight="false" outlineLevel="0" collapsed="false">
      <c r="D51" s="259"/>
    </row>
    <row r="52" customFormat="false" ht="15.75" hidden="false" customHeight="false" outlineLevel="0" collapsed="false">
      <c r="D52" s="259"/>
    </row>
    <row r="53" customFormat="false" ht="15.75" hidden="false" customHeight="false" outlineLevel="0" collapsed="false">
      <c r="D53" s="259"/>
    </row>
    <row r="54" customFormat="false" ht="15.75" hidden="false" customHeight="false" outlineLevel="0" collapsed="false">
      <c r="D54" s="259"/>
    </row>
    <row r="55" customFormat="false" ht="15.75" hidden="false" customHeight="false" outlineLevel="0" collapsed="false">
      <c r="D55" s="259"/>
    </row>
    <row r="56" customFormat="false" ht="15.75" hidden="false" customHeight="false" outlineLevel="0" collapsed="false">
      <c r="D56" s="259"/>
    </row>
    <row r="57" customFormat="false" ht="15.75" hidden="false" customHeight="false" outlineLevel="0" collapsed="false">
      <c r="D57" s="259"/>
    </row>
    <row r="58" customFormat="false" ht="15.75" hidden="false" customHeight="false" outlineLevel="0" collapsed="false">
      <c r="D58" s="259"/>
    </row>
    <row r="59" customFormat="false" ht="15.75" hidden="false" customHeight="false" outlineLevel="0" collapsed="false">
      <c r="D59" s="259"/>
    </row>
    <row r="60" customFormat="false" ht="15.75" hidden="false" customHeight="false" outlineLevel="0" collapsed="false">
      <c r="D60" s="259"/>
    </row>
    <row r="61" customFormat="false" ht="15.75" hidden="false" customHeight="false" outlineLevel="0" collapsed="false">
      <c r="D61" s="259"/>
    </row>
    <row r="62" customFormat="false" ht="15.75" hidden="false" customHeight="false" outlineLevel="0" collapsed="false">
      <c r="D62" s="259"/>
    </row>
    <row r="63" customFormat="false" ht="15.75" hidden="false" customHeight="false" outlineLevel="0" collapsed="false">
      <c r="D63" s="259"/>
    </row>
    <row r="64" customFormat="false" ht="15.75" hidden="false" customHeight="false" outlineLevel="0" collapsed="false">
      <c r="D64" s="259"/>
    </row>
    <row r="65" customFormat="false" ht="15.75" hidden="false" customHeight="false" outlineLevel="0" collapsed="false">
      <c r="D65" s="259"/>
    </row>
    <row r="66" customFormat="false" ht="15.75" hidden="false" customHeight="false" outlineLevel="0" collapsed="false">
      <c r="D66" s="259"/>
    </row>
    <row r="67" customFormat="false" ht="15.75" hidden="false" customHeight="false" outlineLevel="0" collapsed="false">
      <c r="D67" s="259"/>
    </row>
    <row r="68" customFormat="false" ht="15.75" hidden="false" customHeight="false" outlineLevel="0" collapsed="false">
      <c r="D68" s="259"/>
    </row>
    <row r="69" customFormat="false" ht="15.75" hidden="false" customHeight="false" outlineLevel="0" collapsed="false">
      <c r="D69" s="259"/>
    </row>
    <row r="70" customFormat="false" ht="15.75" hidden="false" customHeight="false" outlineLevel="0" collapsed="false">
      <c r="D70" s="259"/>
    </row>
    <row r="71" customFormat="false" ht="15.75" hidden="false" customHeight="false" outlineLevel="0" collapsed="false">
      <c r="D71" s="259"/>
    </row>
    <row r="72" customFormat="false" ht="15.75" hidden="false" customHeight="false" outlineLevel="0" collapsed="false">
      <c r="D72" s="259"/>
    </row>
    <row r="73" customFormat="false" ht="15.75" hidden="false" customHeight="false" outlineLevel="0" collapsed="false">
      <c r="D73" s="259"/>
    </row>
    <row r="74" customFormat="false" ht="15.75" hidden="false" customHeight="false" outlineLevel="0" collapsed="false">
      <c r="D74" s="259"/>
    </row>
    <row r="75" customFormat="false" ht="15.75" hidden="false" customHeight="false" outlineLevel="0" collapsed="false">
      <c r="D75" s="259"/>
    </row>
    <row r="76" customFormat="false" ht="15.75" hidden="false" customHeight="false" outlineLevel="0" collapsed="false">
      <c r="D76" s="259"/>
    </row>
    <row r="77" customFormat="false" ht="15.75" hidden="false" customHeight="false" outlineLevel="0" collapsed="false">
      <c r="D77" s="259"/>
    </row>
    <row r="78" customFormat="false" ht="15.75" hidden="false" customHeight="false" outlineLevel="0" collapsed="false">
      <c r="D78" s="259"/>
    </row>
    <row r="79" customFormat="false" ht="15.75" hidden="false" customHeight="false" outlineLevel="0" collapsed="false">
      <c r="D79" s="259"/>
    </row>
    <row r="80" customFormat="false" ht="15.75" hidden="false" customHeight="false" outlineLevel="0" collapsed="false">
      <c r="D80" s="259"/>
    </row>
    <row r="81" customFormat="false" ht="15.75" hidden="false" customHeight="false" outlineLevel="0" collapsed="false">
      <c r="D81" s="259"/>
    </row>
    <row r="82" customFormat="false" ht="15.75" hidden="false" customHeight="false" outlineLevel="0" collapsed="false">
      <c r="D82" s="259"/>
    </row>
    <row r="83" customFormat="false" ht="15.75" hidden="false" customHeight="false" outlineLevel="0" collapsed="false">
      <c r="D83" s="259"/>
    </row>
    <row r="84" customFormat="false" ht="15.75" hidden="false" customHeight="false" outlineLevel="0" collapsed="false">
      <c r="D84" s="259"/>
    </row>
    <row r="85" customFormat="false" ht="15.75" hidden="false" customHeight="false" outlineLevel="0" collapsed="false">
      <c r="D85" s="259"/>
    </row>
    <row r="86" customFormat="false" ht="15.75" hidden="false" customHeight="false" outlineLevel="0" collapsed="false">
      <c r="D86" s="259"/>
    </row>
    <row r="87" customFormat="false" ht="15.75" hidden="false" customHeight="false" outlineLevel="0" collapsed="false">
      <c r="D87" s="259"/>
    </row>
    <row r="88" customFormat="false" ht="15.75" hidden="false" customHeight="false" outlineLevel="0" collapsed="false">
      <c r="D88" s="259"/>
    </row>
    <row r="89" customFormat="false" ht="15.75" hidden="false" customHeight="false" outlineLevel="0" collapsed="false">
      <c r="D89" s="259"/>
    </row>
    <row r="90" customFormat="false" ht="15.75" hidden="false" customHeight="false" outlineLevel="0" collapsed="false">
      <c r="D90" s="259"/>
    </row>
    <row r="91" customFormat="false" ht="15.75" hidden="false" customHeight="false" outlineLevel="0" collapsed="false">
      <c r="D91" s="259"/>
    </row>
    <row r="92" customFormat="false" ht="15.75" hidden="false" customHeight="false" outlineLevel="0" collapsed="false">
      <c r="D92" s="259"/>
    </row>
    <row r="93" customFormat="false" ht="15.75" hidden="false" customHeight="false" outlineLevel="0" collapsed="false">
      <c r="D93" s="259"/>
    </row>
    <row r="94" customFormat="false" ht="15.75" hidden="false" customHeight="false" outlineLevel="0" collapsed="false">
      <c r="D94" s="259"/>
    </row>
    <row r="95" customFormat="false" ht="15.75" hidden="false" customHeight="false" outlineLevel="0" collapsed="false">
      <c r="D95" s="259"/>
    </row>
    <row r="96" customFormat="false" ht="15.75" hidden="false" customHeight="false" outlineLevel="0" collapsed="false">
      <c r="D96" s="259"/>
    </row>
    <row r="97" customFormat="false" ht="15.75" hidden="false" customHeight="false" outlineLevel="0" collapsed="false">
      <c r="D97" s="259"/>
    </row>
    <row r="98" customFormat="false" ht="15.75" hidden="false" customHeight="false" outlineLevel="0" collapsed="false">
      <c r="D98" s="259"/>
    </row>
    <row r="99" customFormat="false" ht="15.75" hidden="false" customHeight="false" outlineLevel="0" collapsed="false">
      <c r="D99" s="259"/>
    </row>
    <row r="100" customFormat="false" ht="15.75" hidden="false" customHeight="false" outlineLevel="0" collapsed="false">
      <c r="D100" s="259"/>
    </row>
    <row r="101" customFormat="false" ht="15.75" hidden="false" customHeight="false" outlineLevel="0" collapsed="false">
      <c r="D101" s="259"/>
    </row>
    <row r="102" customFormat="false" ht="15.75" hidden="false" customHeight="false" outlineLevel="0" collapsed="false">
      <c r="D102" s="259"/>
    </row>
    <row r="103" customFormat="false" ht="15.75" hidden="false" customHeight="false" outlineLevel="0" collapsed="false">
      <c r="D103" s="259"/>
    </row>
    <row r="104" customFormat="false" ht="15.75" hidden="false" customHeight="false" outlineLevel="0" collapsed="false">
      <c r="D104" s="259"/>
    </row>
    <row r="105" customFormat="false" ht="15.75" hidden="false" customHeight="false" outlineLevel="0" collapsed="false">
      <c r="D105" s="259"/>
    </row>
    <row r="106" customFormat="false" ht="15.75" hidden="false" customHeight="false" outlineLevel="0" collapsed="false">
      <c r="D106" s="259"/>
    </row>
    <row r="107" customFormat="false" ht="15.75" hidden="false" customHeight="false" outlineLevel="0" collapsed="false">
      <c r="D107" s="259"/>
    </row>
    <row r="108" customFormat="false" ht="15.75" hidden="false" customHeight="false" outlineLevel="0" collapsed="false">
      <c r="D108" s="259"/>
    </row>
    <row r="109" customFormat="false" ht="15.75" hidden="false" customHeight="false" outlineLevel="0" collapsed="false">
      <c r="D109" s="259"/>
    </row>
    <row r="110" customFormat="false" ht="15.75" hidden="false" customHeight="false" outlineLevel="0" collapsed="false">
      <c r="D110" s="259"/>
    </row>
    <row r="111" customFormat="false" ht="15.75" hidden="false" customHeight="false" outlineLevel="0" collapsed="false">
      <c r="D111" s="259"/>
    </row>
    <row r="112" customFormat="false" ht="15.75" hidden="false" customHeight="false" outlineLevel="0" collapsed="false">
      <c r="D112" s="259"/>
    </row>
    <row r="113" customFormat="false" ht="15.75" hidden="false" customHeight="false" outlineLevel="0" collapsed="false">
      <c r="D113" s="259"/>
    </row>
    <row r="114" customFormat="false" ht="15.75" hidden="false" customHeight="false" outlineLevel="0" collapsed="false">
      <c r="D114" s="259"/>
    </row>
    <row r="115" customFormat="false" ht="15.75" hidden="false" customHeight="false" outlineLevel="0" collapsed="false">
      <c r="D115" s="259"/>
    </row>
    <row r="116" customFormat="false" ht="15.75" hidden="false" customHeight="false" outlineLevel="0" collapsed="false">
      <c r="D116" s="259"/>
    </row>
    <row r="117" customFormat="false" ht="15.75" hidden="false" customHeight="false" outlineLevel="0" collapsed="false">
      <c r="D117" s="259"/>
    </row>
    <row r="118" customFormat="false" ht="15.75" hidden="false" customHeight="false" outlineLevel="0" collapsed="false">
      <c r="D118" s="259"/>
    </row>
    <row r="119" customFormat="false" ht="15.75" hidden="false" customHeight="false" outlineLevel="0" collapsed="false">
      <c r="D119" s="259"/>
    </row>
    <row r="120" customFormat="false" ht="15.75" hidden="false" customHeight="false" outlineLevel="0" collapsed="false">
      <c r="D120" s="259"/>
    </row>
    <row r="121" customFormat="false" ht="15.75" hidden="false" customHeight="false" outlineLevel="0" collapsed="false">
      <c r="D121" s="259"/>
    </row>
    <row r="122" customFormat="false" ht="15.75" hidden="false" customHeight="false" outlineLevel="0" collapsed="false">
      <c r="D122" s="259"/>
    </row>
    <row r="123" customFormat="false" ht="15.75" hidden="false" customHeight="false" outlineLevel="0" collapsed="false">
      <c r="D123" s="259"/>
    </row>
    <row r="124" customFormat="false" ht="15.75" hidden="false" customHeight="false" outlineLevel="0" collapsed="false">
      <c r="D124" s="259"/>
    </row>
    <row r="125" customFormat="false" ht="15.75" hidden="false" customHeight="false" outlineLevel="0" collapsed="false">
      <c r="D125" s="259"/>
    </row>
    <row r="126" customFormat="false" ht="15.75" hidden="false" customHeight="false" outlineLevel="0" collapsed="false">
      <c r="D126" s="259"/>
    </row>
    <row r="127" customFormat="false" ht="15.75" hidden="false" customHeight="false" outlineLevel="0" collapsed="false">
      <c r="D127" s="259"/>
    </row>
    <row r="128" customFormat="false" ht="15.75" hidden="false" customHeight="false" outlineLevel="0" collapsed="false">
      <c r="D128" s="259"/>
    </row>
    <row r="129" customFormat="false" ht="15.75" hidden="false" customHeight="false" outlineLevel="0" collapsed="false">
      <c r="D129" s="259"/>
    </row>
    <row r="130" customFormat="false" ht="15.75" hidden="false" customHeight="false" outlineLevel="0" collapsed="false">
      <c r="D130" s="259"/>
    </row>
    <row r="131" customFormat="false" ht="15.75" hidden="false" customHeight="false" outlineLevel="0" collapsed="false">
      <c r="D131" s="259"/>
    </row>
    <row r="132" customFormat="false" ht="15.75" hidden="false" customHeight="false" outlineLevel="0" collapsed="false">
      <c r="D132" s="259"/>
    </row>
    <row r="133" customFormat="false" ht="15.75" hidden="false" customHeight="false" outlineLevel="0" collapsed="false">
      <c r="D133" s="259"/>
    </row>
    <row r="134" customFormat="false" ht="15.75" hidden="false" customHeight="false" outlineLevel="0" collapsed="false">
      <c r="D134" s="259"/>
    </row>
    <row r="135" customFormat="false" ht="15.75" hidden="false" customHeight="false" outlineLevel="0" collapsed="false">
      <c r="D135" s="259"/>
    </row>
    <row r="136" customFormat="false" ht="15.75" hidden="false" customHeight="false" outlineLevel="0" collapsed="false">
      <c r="D136" s="259"/>
    </row>
    <row r="137" customFormat="false" ht="15.75" hidden="false" customHeight="false" outlineLevel="0" collapsed="false">
      <c r="D137" s="259"/>
    </row>
    <row r="138" customFormat="false" ht="15.75" hidden="false" customHeight="false" outlineLevel="0" collapsed="false">
      <c r="D138" s="259"/>
    </row>
    <row r="139" customFormat="false" ht="15.75" hidden="false" customHeight="false" outlineLevel="0" collapsed="false">
      <c r="D139" s="259"/>
    </row>
    <row r="140" customFormat="false" ht="15.75" hidden="false" customHeight="false" outlineLevel="0" collapsed="false">
      <c r="D140" s="259"/>
    </row>
    <row r="141" customFormat="false" ht="15.75" hidden="false" customHeight="false" outlineLevel="0" collapsed="false">
      <c r="D141" s="259"/>
    </row>
    <row r="142" customFormat="false" ht="15.75" hidden="false" customHeight="false" outlineLevel="0" collapsed="false">
      <c r="D142" s="259"/>
    </row>
    <row r="143" customFormat="false" ht="15.75" hidden="false" customHeight="false" outlineLevel="0" collapsed="false">
      <c r="D143" s="259"/>
    </row>
    <row r="144" customFormat="false" ht="15.75" hidden="false" customHeight="false" outlineLevel="0" collapsed="false">
      <c r="D144" s="259"/>
    </row>
    <row r="145" customFormat="false" ht="15.75" hidden="false" customHeight="false" outlineLevel="0" collapsed="false">
      <c r="D145" s="259"/>
    </row>
    <row r="146" customFormat="false" ht="15.75" hidden="false" customHeight="false" outlineLevel="0" collapsed="false">
      <c r="D146" s="259"/>
    </row>
    <row r="147" customFormat="false" ht="15.75" hidden="false" customHeight="false" outlineLevel="0" collapsed="false">
      <c r="D147" s="259"/>
    </row>
    <row r="148" customFormat="false" ht="15.75" hidden="false" customHeight="false" outlineLevel="0" collapsed="false">
      <c r="D148" s="259"/>
    </row>
    <row r="149" customFormat="false" ht="15.75" hidden="false" customHeight="false" outlineLevel="0" collapsed="false">
      <c r="D149" s="259"/>
    </row>
    <row r="150" customFormat="false" ht="15.75" hidden="false" customHeight="false" outlineLevel="0" collapsed="false">
      <c r="D150" s="259"/>
    </row>
    <row r="151" customFormat="false" ht="15.75" hidden="false" customHeight="false" outlineLevel="0" collapsed="false">
      <c r="D151" s="259"/>
    </row>
    <row r="152" customFormat="false" ht="15.75" hidden="false" customHeight="false" outlineLevel="0" collapsed="false">
      <c r="D152" s="259"/>
    </row>
    <row r="153" customFormat="false" ht="15.75" hidden="false" customHeight="false" outlineLevel="0" collapsed="false">
      <c r="D153" s="259"/>
    </row>
    <row r="154" customFormat="false" ht="15.75" hidden="false" customHeight="false" outlineLevel="0" collapsed="false">
      <c r="D154" s="259"/>
    </row>
    <row r="155" customFormat="false" ht="15.75" hidden="false" customHeight="false" outlineLevel="0" collapsed="false">
      <c r="D155" s="259"/>
    </row>
    <row r="156" customFormat="false" ht="15.75" hidden="false" customHeight="false" outlineLevel="0" collapsed="false">
      <c r="D156" s="259"/>
    </row>
    <row r="157" customFormat="false" ht="15.75" hidden="false" customHeight="false" outlineLevel="0" collapsed="false">
      <c r="D157" s="259"/>
    </row>
    <row r="158" customFormat="false" ht="15.75" hidden="false" customHeight="false" outlineLevel="0" collapsed="false">
      <c r="D158" s="259"/>
    </row>
    <row r="159" customFormat="false" ht="15.75" hidden="false" customHeight="false" outlineLevel="0" collapsed="false">
      <c r="D159" s="259"/>
    </row>
    <row r="160" customFormat="false" ht="15.75" hidden="false" customHeight="false" outlineLevel="0" collapsed="false">
      <c r="D160" s="259"/>
    </row>
    <row r="161" customFormat="false" ht="15.75" hidden="false" customHeight="false" outlineLevel="0" collapsed="false">
      <c r="D161" s="259"/>
    </row>
    <row r="162" customFormat="false" ht="15.75" hidden="false" customHeight="false" outlineLevel="0" collapsed="false">
      <c r="D162" s="259"/>
    </row>
    <row r="163" customFormat="false" ht="15.75" hidden="false" customHeight="false" outlineLevel="0" collapsed="false">
      <c r="D163" s="259"/>
    </row>
    <row r="164" customFormat="false" ht="15.75" hidden="false" customHeight="false" outlineLevel="0" collapsed="false">
      <c r="D164" s="259"/>
    </row>
    <row r="165" customFormat="false" ht="15.75" hidden="false" customHeight="false" outlineLevel="0" collapsed="false">
      <c r="D165" s="259"/>
    </row>
    <row r="166" customFormat="false" ht="15.75" hidden="false" customHeight="false" outlineLevel="0" collapsed="false">
      <c r="D166" s="259"/>
    </row>
    <row r="167" customFormat="false" ht="15.75" hidden="false" customHeight="false" outlineLevel="0" collapsed="false">
      <c r="D167" s="259"/>
    </row>
    <row r="168" customFormat="false" ht="15.75" hidden="false" customHeight="false" outlineLevel="0" collapsed="false">
      <c r="D168" s="259"/>
    </row>
    <row r="169" customFormat="false" ht="15.75" hidden="false" customHeight="false" outlineLevel="0" collapsed="false">
      <c r="D169" s="259"/>
    </row>
    <row r="170" customFormat="false" ht="15.75" hidden="false" customHeight="false" outlineLevel="0" collapsed="false">
      <c r="D170" s="259"/>
    </row>
    <row r="171" customFormat="false" ht="15.75" hidden="false" customHeight="false" outlineLevel="0" collapsed="false">
      <c r="D171" s="259"/>
    </row>
    <row r="172" customFormat="false" ht="15.75" hidden="false" customHeight="false" outlineLevel="0" collapsed="false">
      <c r="D172" s="259"/>
    </row>
    <row r="173" customFormat="false" ht="15.75" hidden="false" customHeight="false" outlineLevel="0" collapsed="false">
      <c r="D173" s="259"/>
    </row>
    <row r="174" customFormat="false" ht="15.75" hidden="false" customHeight="false" outlineLevel="0" collapsed="false">
      <c r="D174" s="259"/>
    </row>
    <row r="175" customFormat="false" ht="15.75" hidden="false" customHeight="false" outlineLevel="0" collapsed="false">
      <c r="D175" s="259"/>
    </row>
    <row r="176" customFormat="false" ht="15.75" hidden="false" customHeight="false" outlineLevel="0" collapsed="false">
      <c r="D176" s="259"/>
    </row>
    <row r="177" customFormat="false" ht="15.75" hidden="false" customHeight="false" outlineLevel="0" collapsed="false">
      <c r="D177" s="259"/>
    </row>
    <row r="178" customFormat="false" ht="15.75" hidden="false" customHeight="false" outlineLevel="0" collapsed="false">
      <c r="D178" s="259"/>
    </row>
    <row r="179" customFormat="false" ht="15.75" hidden="false" customHeight="false" outlineLevel="0" collapsed="false">
      <c r="D179" s="259"/>
    </row>
    <row r="180" customFormat="false" ht="15.75" hidden="false" customHeight="false" outlineLevel="0" collapsed="false">
      <c r="D180" s="259"/>
    </row>
    <row r="181" customFormat="false" ht="15.75" hidden="false" customHeight="false" outlineLevel="0" collapsed="false">
      <c r="D181" s="259"/>
    </row>
    <row r="182" customFormat="false" ht="15.75" hidden="false" customHeight="false" outlineLevel="0" collapsed="false">
      <c r="D182" s="259"/>
    </row>
    <row r="183" customFormat="false" ht="15.75" hidden="false" customHeight="false" outlineLevel="0" collapsed="false">
      <c r="D183" s="259"/>
    </row>
    <row r="184" customFormat="false" ht="15.75" hidden="false" customHeight="false" outlineLevel="0" collapsed="false">
      <c r="D184" s="259"/>
    </row>
    <row r="185" customFormat="false" ht="15.75" hidden="false" customHeight="false" outlineLevel="0" collapsed="false">
      <c r="D185" s="259"/>
    </row>
    <row r="186" customFormat="false" ht="15.75" hidden="false" customHeight="false" outlineLevel="0" collapsed="false">
      <c r="D186" s="259"/>
    </row>
    <row r="187" customFormat="false" ht="15.75" hidden="false" customHeight="false" outlineLevel="0" collapsed="false">
      <c r="D187" s="259"/>
    </row>
    <row r="188" customFormat="false" ht="15.75" hidden="false" customHeight="false" outlineLevel="0" collapsed="false">
      <c r="D188" s="259"/>
    </row>
    <row r="189" customFormat="false" ht="15.75" hidden="false" customHeight="false" outlineLevel="0" collapsed="false">
      <c r="D189" s="259"/>
    </row>
    <row r="190" customFormat="false" ht="15.75" hidden="false" customHeight="false" outlineLevel="0" collapsed="false">
      <c r="D190" s="259"/>
    </row>
    <row r="191" customFormat="false" ht="15.75" hidden="false" customHeight="false" outlineLevel="0" collapsed="false">
      <c r="D191" s="259"/>
    </row>
    <row r="192" customFormat="false" ht="15.75" hidden="false" customHeight="false" outlineLevel="0" collapsed="false">
      <c r="D192" s="259"/>
    </row>
    <row r="193" customFormat="false" ht="15.75" hidden="false" customHeight="false" outlineLevel="0" collapsed="false">
      <c r="D193" s="259"/>
    </row>
    <row r="194" customFormat="false" ht="15.75" hidden="false" customHeight="false" outlineLevel="0" collapsed="false">
      <c r="D194" s="259"/>
    </row>
    <row r="195" customFormat="false" ht="15.75" hidden="false" customHeight="false" outlineLevel="0" collapsed="false">
      <c r="D195" s="259"/>
    </row>
    <row r="196" customFormat="false" ht="15.75" hidden="false" customHeight="false" outlineLevel="0" collapsed="false">
      <c r="D196" s="259"/>
    </row>
    <row r="197" customFormat="false" ht="15.75" hidden="false" customHeight="false" outlineLevel="0" collapsed="false">
      <c r="D197" s="259"/>
    </row>
    <row r="198" customFormat="false" ht="15.75" hidden="false" customHeight="false" outlineLevel="0" collapsed="false">
      <c r="D198" s="259"/>
    </row>
    <row r="199" customFormat="false" ht="15.75" hidden="false" customHeight="false" outlineLevel="0" collapsed="false">
      <c r="D199" s="259"/>
    </row>
    <row r="200" customFormat="false" ht="15.75" hidden="false" customHeight="false" outlineLevel="0" collapsed="false">
      <c r="D200" s="259"/>
    </row>
    <row r="201" customFormat="false" ht="15.75" hidden="false" customHeight="false" outlineLevel="0" collapsed="false">
      <c r="D201" s="259"/>
    </row>
    <row r="202" customFormat="false" ht="15.75" hidden="false" customHeight="false" outlineLevel="0" collapsed="false">
      <c r="D202" s="259"/>
    </row>
    <row r="203" customFormat="false" ht="15.75" hidden="false" customHeight="false" outlineLevel="0" collapsed="false">
      <c r="D203" s="259"/>
    </row>
    <row r="204" customFormat="false" ht="15.75" hidden="false" customHeight="false" outlineLevel="0" collapsed="false">
      <c r="D204" s="259"/>
    </row>
    <row r="205" customFormat="false" ht="15.75" hidden="false" customHeight="false" outlineLevel="0" collapsed="false">
      <c r="D205" s="259"/>
    </row>
    <row r="206" customFormat="false" ht="15.75" hidden="false" customHeight="false" outlineLevel="0" collapsed="false">
      <c r="D206" s="259"/>
    </row>
    <row r="207" customFormat="false" ht="15.75" hidden="false" customHeight="false" outlineLevel="0" collapsed="false">
      <c r="D207" s="259"/>
    </row>
    <row r="208" customFormat="false" ht="15.75" hidden="false" customHeight="false" outlineLevel="0" collapsed="false">
      <c r="D208" s="259"/>
    </row>
    <row r="209" customFormat="false" ht="15.75" hidden="false" customHeight="false" outlineLevel="0" collapsed="false">
      <c r="D209" s="259"/>
    </row>
    <row r="210" customFormat="false" ht="15.75" hidden="false" customHeight="false" outlineLevel="0" collapsed="false">
      <c r="D210" s="259"/>
    </row>
    <row r="211" customFormat="false" ht="15.75" hidden="false" customHeight="false" outlineLevel="0" collapsed="false">
      <c r="D211" s="259"/>
    </row>
    <row r="212" customFormat="false" ht="15.75" hidden="false" customHeight="false" outlineLevel="0" collapsed="false">
      <c r="D212" s="259"/>
    </row>
    <row r="213" customFormat="false" ht="15.75" hidden="false" customHeight="false" outlineLevel="0" collapsed="false">
      <c r="D213" s="259"/>
    </row>
    <row r="214" customFormat="false" ht="15.75" hidden="false" customHeight="false" outlineLevel="0" collapsed="false">
      <c r="D214" s="259"/>
    </row>
    <row r="215" customFormat="false" ht="15.75" hidden="false" customHeight="false" outlineLevel="0" collapsed="false">
      <c r="D215" s="259"/>
    </row>
    <row r="216" customFormat="false" ht="15.75" hidden="false" customHeight="false" outlineLevel="0" collapsed="false">
      <c r="D216" s="259"/>
    </row>
    <row r="217" customFormat="false" ht="15.75" hidden="false" customHeight="false" outlineLevel="0" collapsed="false">
      <c r="D217" s="259"/>
    </row>
    <row r="218" customFormat="false" ht="15.75" hidden="false" customHeight="false" outlineLevel="0" collapsed="false">
      <c r="D218" s="259"/>
    </row>
    <row r="219" customFormat="false" ht="15.75" hidden="false" customHeight="false" outlineLevel="0" collapsed="false">
      <c r="D219" s="259"/>
    </row>
    <row r="220" customFormat="false" ht="15.75" hidden="false" customHeight="false" outlineLevel="0" collapsed="false">
      <c r="D220" s="259"/>
    </row>
    <row r="221" customFormat="false" ht="15.75" hidden="false" customHeight="false" outlineLevel="0" collapsed="false">
      <c r="D221" s="259"/>
    </row>
    <row r="222" customFormat="false" ht="15.75" hidden="false" customHeight="false" outlineLevel="0" collapsed="false">
      <c r="D222" s="259"/>
    </row>
    <row r="223" customFormat="false" ht="15.75" hidden="false" customHeight="false" outlineLevel="0" collapsed="false">
      <c r="D223" s="259"/>
    </row>
    <row r="224" customFormat="false" ht="15.75" hidden="false" customHeight="false" outlineLevel="0" collapsed="false">
      <c r="D224" s="259"/>
    </row>
    <row r="225" customFormat="false" ht="15.75" hidden="false" customHeight="false" outlineLevel="0" collapsed="false">
      <c r="D225" s="259"/>
    </row>
    <row r="226" customFormat="false" ht="15.75" hidden="false" customHeight="false" outlineLevel="0" collapsed="false">
      <c r="D226" s="259"/>
    </row>
    <row r="227" customFormat="false" ht="15.75" hidden="false" customHeight="false" outlineLevel="0" collapsed="false">
      <c r="D227" s="259"/>
    </row>
    <row r="228" customFormat="false" ht="15.75" hidden="false" customHeight="false" outlineLevel="0" collapsed="false">
      <c r="D228" s="259"/>
    </row>
    <row r="229" customFormat="false" ht="15.75" hidden="false" customHeight="false" outlineLevel="0" collapsed="false">
      <c r="D229" s="259"/>
    </row>
    <row r="230" customFormat="false" ht="15.75" hidden="false" customHeight="false" outlineLevel="0" collapsed="false">
      <c r="D230" s="259"/>
    </row>
    <row r="231" customFormat="false" ht="15.75" hidden="false" customHeight="false" outlineLevel="0" collapsed="false">
      <c r="D231" s="259"/>
    </row>
    <row r="232" customFormat="false" ht="15.75" hidden="false" customHeight="false" outlineLevel="0" collapsed="false">
      <c r="D232" s="259"/>
    </row>
    <row r="233" customFormat="false" ht="15.75" hidden="false" customHeight="false" outlineLevel="0" collapsed="false">
      <c r="D233" s="259"/>
    </row>
    <row r="234" customFormat="false" ht="15.75" hidden="false" customHeight="false" outlineLevel="0" collapsed="false">
      <c r="D234" s="259"/>
    </row>
    <row r="235" customFormat="false" ht="15.75" hidden="false" customHeight="false" outlineLevel="0" collapsed="false">
      <c r="D235" s="259"/>
    </row>
    <row r="236" customFormat="false" ht="15.75" hidden="false" customHeight="false" outlineLevel="0" collapsed="false">
      <c r="D236" s="259"/>
    </row>
    <row r="237" customFormat="false" ht="15.75" hidden="false" customHeight="false" outlineLevel="0" collapsed="false">
      <c r="D237" s="259"/>
    </row>
    <row r="238" customFormat="false" ht="15.75" hidden="false" customHeight="false" outlineLevel="0" collapsed="false">
      <c r="D238" s="259"/>
    </row>
    <row r="239" customFormat="false" ht="15.75" hidden="false" customHeight="false" outlineLevel="0" collapsed="false">
      <c r="D239" s="259"/>
    </row>
    <row r="240" customFormat="false" ht="15.75" hidden="false" customHeight="false" outlineLevel="0" collapsed="false">
      <c r="D240" s="259"/>
    </row>
    <row r="241" customFormat="false" ht="15.75" hidden="false" customHeight="false" outlineLevel="0" collapsed="false">
      <c r="D241" s="259"/>
    </row>
    <row r="242" customFormat="false" ht="15.75" hidden="false" customHeight="false" outlineLevel="0" collapsed="false">
      <c r="D242" s="259"/>
    </row>
    <row r="243" customFormat="false" ht="15.75" hidden="false" customHeight="false" outlineLevel="0" collapsed="false">
      <c r="D243" s="259"/>
    </row>
    <row r="244" customFormat="false" ht="15.75" hidden="false" customHeight="false" outlineLevel="0" collapsed="false">
      <c r="D244" s="259"/>
    </row>
    <row r="245" customFormat="false" ht="15.75" hidden="false" customHeight="false" outlineLevel="0" collapsed="false">
      <c r="D245" s="259"/>
    </row>
    <row r="246" customFormat="false" ht="15.75" hidden="false" customHeight="false" outlineLevel="0" collapsed="false">
      <c r="D246" s="259"/>
    </row>
    <row r="247" customFormat="false" ht="15.75" hidden="false" customHeight="false" outlineLevel="0" collapsed="false">
      <c r="D247" s="259"/>
    </row>
    <row r="248" customFormat="false" ht="15.75" hidden="false" customHeight="false" outlineLevel="0" collapsed="false">
      <c r="D248" s="259"/>
    </row>
    <row r="249" customFormat="false" ht="15.75" hidden="false" customHeight="false" outlineLevel="0" collapsed="false">
      <c r="D249" s="259"/>
    </row>
    <row r="250" customFormat="false" ht="15.75" hidden="false" customHeight="false" outlineLevel="0" collapsed="false">
      <c r="D250" s="259"/>
    </row>
    <row r="251" customFormat="false" ht="15.75" hidden="false" customHeight="false" outlineLevel="0" collapsed="false">
      <c r="D251" s="259"/>
    </row>
    <row r="252" customFormat="false" ht="15.75" hidden="false" customHeight="false" outlineLevel="0" collapsed="false">
      <c r="D252" s="259"/>
    </row>
    <row r="253" customFormat="false" ht="15.75" hidden="false" customHeight="false" outlineLevel="0" collapsed="false">
      <c r="D253" s="259"/>
    </row>
    <row r="254" customFormat="false" ht="15.75" hidden="false" customHeight="false" outlineLevel="0" collapsed="false">
      <c r="D254" s="259"/>
    </row>
    <row r="255" customFormat="false" ht="15.75" hidden="false" customHeight="false" outlineLevel="0" collapsed="false">
      <c r="D255" s="259"/>
    </row>
    <row r="256" customFormat="false" ht="15.75" hidden="false" customHeight="false" outlineLevel="0" collapsed="false">
      <c r="D256" s="259"/>
    </row>
    <row r="257" customFormat="false" ht="15.75" hidden="false" customHeight="false" outlineLevel="0" collapsed="false">
      <c r="D257" s="259"/>
    </row>
    <row r="258" customFormat="false" ht="15.75" hidden="false" customHeight="false" outlineLevel="0" collapsed="false">
      <c r="D258" s="259"/>
    </row>
    <row r="259" customFormat="false" ht="15.75" hidden="false" customHeight="false" outlineLevel="0" collapsed="false">
      <c r="D259" s="259"/>
    </row>
    <row r="260" customFormat="false" ht="15.75" hidden="false" customHeight="false" outlineLevel="0" collapsed="false">
      <c r="D260" s="259"/>
    </row>
    <row r="261" customFormat="false" ht="15.75" hidden="false" customHeight="false" outlineLevel="0" collapsed="false">
      <c r="D261" s="259"/>
    </row>
    <row r="262" customFormat="false" ht="15.75" hidden="false" customHeight="false" outlineLevel="0" collapsed="false">
      <c r="D262" s="259"/>
    </row>
    <row r="263" customFormat="false" ht="15.75" hidden="false" customHeight="false" outlineLevel="0" collapsed="false">
      <c r="D263" s="259"/>
    </row>
    <row r="264" customFormat="false" ht="15.75" hidden="false" customHeight="false" outlineLevel="0" collapsed="false">
      <c r="D264" s="259"/>
    </row>
    <row r="265" customFormat="false" ht="15.75" hidden="false" customHeight="false" outlineLevel="0" collapsed="false">
      <c r="D265" s="259"/>
    </row>
    <row r="266" customFormat="false" ht="15.75" hidden="false" customHeight="false" outlineLevel="0" collapsed="false">
      <c r="D266" s="259"/>
    </row>
    <row r="267" customFormat="false" ht="15.75" hidden="false" customHeight="false" outlineLevel="0" collapsed="false">
      <c r="D267" s="259"/>
    </row>
    <row r="268" customFormat="false" ht="15.75" hidden="false" customHeight="false" outlineLevel="0" collapsed="false">
      <c r="D268" s="259"/>
    </row>
    <row r="269" customFormat="false" ht="15.75" hidden="false" customHeight="false" outlineLevel="0" collapsed="false">
      <c r="D269" s="259"/>
    </row>
    <row r="270" customFormat="false" ht="15.75" hidden="false" customHeight="false" outlineLevel="0" collapsed="false">
      <c r="D270" s="259"/>
    </row>
    <row r="271" customFormat="false" ht="15.75" hidden="false" customHeight="false" outlineLevel="0" collapsed="false">
      <c r="D271" s="259"/>
    </row>
    <row r="272" customFormat="false" ht="15.75" hidden="false" customHeight="false" outlineLevel="0" collapsed="false">
      <c r="D272" s="259"/>
    </row>
    <row r="273" customFormat="false" ht="15.75" hidden="false" customHeight="false" outlineLevel="0" collapsed="false">
      <c r="D273" s="259"/>
    </row>
    <row r="274" customFormat="false" ht="15.75" hidden="false" customHeight="false" outlineLevel="0" collapsed="false">
      <c r="D274" s="259"/>
    </row>
    <row r="275" customFormat="false" ht="15.75" hidden="false" customHeight="false" outlineLevel="0" collapsed="false">
      <c r="D275" s="259"/>
    </row>
    <row r="276" customFormat="false" ht="15.75" hidden="false" customHeight="false" outlineLevel="0" collapsed="false">
      <c r="D276" s="259"/>
    </row>
    <row r="277" customFormat="false" ht="15.75" hidden="false" customHeight="false" outlineLevel="0" collapsed="false">
      <c r="D277" s="259"/>
    </row>
    <row r="278" customFormat="false" ht="15.75" hidden="false" customHeight="false" outlineLevel="0" collapsed="false">
      <c r="D278" s="259"/>
    </row>
    <row r="279" customFormat="false" ht="15.75" hidden="false" customHeight="false" outlineLevel="0" collapsed="false">
      <c r="D279" s="259"/>
    </row>
    <row r="280" customFormat="false" ht="15.75" hidden="false" customHeight="false" outlineLevel="0" collapsed="false">
      <c r="D280" s="259"/>
    </row>
    <row r="281" customFormat="false" ht="15.75" hidden="false" customHeight="false" outlineLevel="0" collapsed="false">
      <c r="D281" s="259"/>
    </row>
    <row r="282" customFormat="false" ht="15.75" hidden="false" customHeight="false" outlineLevel="0" collapsed="false">
      <c r="D282" s="259"/>
    </row>
    <row r="283" customFormat="false" ht="15.75" hidden="false" customHeight="false" outlineLevel="0" collapsed="false">
      <c r="D283" s="259"/>
    </row>
    <row r="284" customFormat="false" ht="15.75" hidden="false" customHeight="false" outlineLevel="0" collapsed="false">
      <c r="D284" s="259"/>
    </row>
    <row r="285" customFormat="false" ht="15.75" hidden="false" customHeight="false" outlineLevel="0" collapsed="false">
      <c r="D285" s="259"/>
    </row>
    <row r="286" customFormat="false" ht="15.75" hidden="false" customHeight="false" outlineLevel="0" collapsed="false">
      <c r="D286" s="259"/>
    </row>
    <row r="287" customFormat="false" ht="15.75" hidden="false" customHeight="false" outlineLevel="0" collapsed="false">
      <c r="D287" s="259"/>
    </row>
    <row r="288" customFormat="false" ht="15.75" hidden="false" customHeight="false" outlineLevel="0" collapsed="false">
      <c r="D288" s="259"/>
    </row>
    <row r="289" customFormat="false" ht="15.75" hidden="false" customHeight="false" outlineLevel="0" collapsed="false">
      <c r="D289" s="259"/>
    </row>
    <row r="290" customFormat="false" ht="15.75" hidden="false" customHeight="false" outlineLevel="0" collapsed="false">
      <c r="D290" s="259"/>
    </row>
    <row r="291" customFormat="false" ht="15.75" hidden="false" customHeight="false" outlineLevel="0" collapsed="false">
      <c r="D291" s="259"/>
    </row>
    <row r="292" customFormat="false" ht="15.75" hidden="false" customHeight="false" outlineLevel="0" collapsed="false">
      <c r="D292" s="259"/>
    </row>
    <row r="293" customFormat="false" ht="15.75" hidden="false" customHeight="false" outlineLevel="0" collapsed="false">
      <c r="D293" s="259"/>
    </row>
    <row r="294" customFormat="false" ht="15.75" hidden="false" customHeight="false" outlineLevel="0" collapsed="false">
      <c r="D294" s="259"/>
    </row>
    <row r="295" customFormat="false" ht="15.75" hidden="false" customHeight="false" outlineLevel="0" collapsed="false">
      <c r="D295" s="259"/>
    </row>
    <row r="296" customFormat="false" ht="15.75" hidden="false" customHeight="false" outlineLevel="0" collapsed="false">
      <c r="D296" s="259"/>
    </row>
    <row r="297" customFormat="false" ht="15.75" hidden="false" customHeight="false" outlineLevel="0" collapsed="false">
      <c r="D297" s="259"/>
    </row>
    <row r="298" customFormat="false" ht="15.75" hidden="false" customHeight="false" outlineLevel="0" collapsed="false">
      <c r="D298" s="259"/>
    </row>
    <row r="299" customFormat="false" ht="15.75" hidden="false" customHeight="false" outlineLevel="0" collapsed="false">
      <c r="D299" s="259"/>
    </row>
    <row r="300" customFormat="false" ht="15.75" hidden="false" customHeight="false" outlineLevel="0" collapsed="false">
      <c r="D300" s="259"/>
    </row>
    <row r="301" customFormat="false" ht="15.75" hidden="false" customHeight="false" outlineLevel="0" collapsed="false">
      <c r="D301" s="259"/>
    </row>
    <row r="302" customFormat="false" ht="15.75" hidden="false" customHeight="false" outlineLevel="0" collapsed="false">
      <c r="D302" s="259"/>
    </row>
    <row r="303" customFormat="false" ht="15.75" hidden="false" customHeight="false" outlineLevel="0" collapsed="false">
      <c r="D303" s="259"/>
    </row>
    <row r="304" customFormat="false" ht="15.75" hidden="false" customHeight="false" outlineLevel="0" collapsed="false">
      <c r="D304" s="259"/>
    </row>
    <row r="305" customFormat="false" ht="15.75" hidden="false" customHeight="false" outlineLevel="0" collapsed="false">
      <c r="D305" s="259"/>
    </row>
    <row r="306" customFormat="false" ht="15.75" hidden="false" customHeight="false" outlineLevel="0" collapsed="false">
      <c r="D306" s="259"/>
    </row>
    <row r="307" customFormat="false" ht="15.75" hidden="false" customHeight="false" outlineLevel="0" collapsed="false">
      <c r="D307" s="259"/>
    </row>
    <row r="308" customFormat="false" ht="15.75" hidden="false" customHeight="false" outlineLevel="0" collapsed="false">
      <c r="D308" s="259"/>
    </row>
    <row r="309" customFormat="false" ht="15.75" hidden="false" customHeight="false" outlineLevel="0" collapsed="false">
      <c r="D309" s="259"/>
    </row>
    <row r="310" customFormat="false" ht="15.75" hidden="false" customHeight="false" outlineLevel="0" collapsed="false">
      <c r="D310" s="259"/>
    </row>
    <row r="311" customFormat="false" ht="15.75" hidden="false" customHeight="false" outlineLevel="0" collapsed="false">
      <c r="D311" s="259"/>
    </row>
    <row r="312" customFormat="false" ht="15.75" hidden="false" customHeight="false" outlineLevel="0" collapsed="false">
      <c r="D312" s="259"/>
    </row>
    <row r="313" customFormat="false" ht="15.75" hidden="false" customHeight="false" outlineLevel="0" collapsed="false">
      <c r="D313" s="259"/>
    </row>
    <row r="314" customFormat="false" ht="15.75" hidden="false" customHeight="false" outlineLevel="0" collapsed="false">
      <c r="D314" s="259"/>
    </row>
    <row r="315" customFormat="false" ht="15.75" hidden="false" customHeight="false" outlineLevel="0" collapsed="false">
      <c r="D315" s="259"/>
    </row>
    <row r="316" customFormat="false" ht="15.75" hidden="false" customHeight="false" outlineLevel="0" collapsed="false">
      <c r="D316" s="259"/>
    </row>
    <row r="317" customFormat="false" ht="15.75" hidden="false" customHeight="false" outlineLevel="0" collapsed="false">
      <c r="D317" s="259"/>
    </row>
    <row r="318" customFormat="false" ht="15.75" hidden="false" customHeight="false" outlineLevel="0" collapsed="false">
      <c r="D318" s="259"/>
    </row>
    <row r="319" customFormat="false" ht="15.75" hidden="false" customHeight="false" outlineLevel="0" collapsed="false">
      <c r="D319" s="259"/>
    </row>
    <row r="320" customFormat="false" ht="15.75" hidden="false" customHeight="false" outlineLevel="0" collapsed="false">
      <c r="D320" s="259"/>
    </row>
    <row r="321" customFormat="false" ht="15.75" hidden="false" customHeight="false" outlineLevel="0" collapsed="false">
      <c r="D321" s="259"/>
    </row>
    <row r="322" customFormat="false" ht="15.75" hidden="false" customHeight="false" outlineLevel="0" collapsed="false">
      <c r="D322" s="259"/>
    </row>
    <row r="323" customFormat="false" ht="15.75" hidden="false" customHeight="false" outlineLevel="0" collapsed="false">
      <c r="D323" s="259"/>
    </row>
    <row r="324" customFormat="false" ht="15.75" hidden="false" customHeight="false" outlineLevel="0" collapsed="false">
      <c r="D324" s="259"/>
    </row>
    <row r="325" customFormat="false" ht="15.75" hidden="false" customHeight="false" outlineLevel="0" collapsed="false">
      <c r="D325" s="259"/>
    </row>
    <row r="326" customFormat="false" ht="15.75" hidden="false" customHeight="false" outlineLevel="0" collapsed="false">
      <c r="D326" s="259"/>
    </row>
    <row r="327" customFormat="false" ht="15.75" hidden="false" customHeight="false" outlineLevel="0" collapsed="false">
      <c r="D327" s="259"/>
    </row>
    <row r="328" customFormat="false" ht="15.75" hidden="false" customHeight="false" outlineLevel="0" collapsed="false">
      <c r="D328" s="259"/>
    </row>
    <row r="329" customFormat="false" ht="15.75" hidden="false" customHeight="false" outlineLevel="0" collapsed="false">
      <c r="D329" s="259"/>
    </row>
    <row r="330" customFormat="false" ht="15.75" hidden="false" customHeight="false" outlineLevel="0" collapsed="false">
      <c r="D330" s="259"/>
    </row>
    <row r="331" customFormat="false" ht="15.75" hidden="false" customHeight="false" outlineLevel="0" collapsed="false">
      <c r="D331" s="259"/>
    </row>
    <row r="332" customFormat="false" ht="15.75" hidden="false" customHeight="false" outlineLevel="0" collapsed="false">
      <c r="D332" s="259"/>
    </row>
    <row r="333" customFormat="false" ht="15.75" hidden="false" customHeight="false" outlineLevel="0" collapsed="false">
      <c r="D333" s="259"/>
    </row>
    <row r="334" customFormat="false" ht="15.75" hidden="false" customHeight="false" outlineLevel="0" collapsed="false">
      <c r="D334" s="259"/>
    </row>
    <row r="335" customFormat="false" ht="15.75" hidden="false" customHeight="false" outlineLevel="0" collapsed="false">
      <c r="D335" s="259"/>
    </row>
    <row r="336" customFormat="false" ht="15.75" hidden="false" customHeight="false" outlineLevel="0" collapsed="false">
      <c r="D336" s="259"/>
    </row>
    <row r="337" customFormat="false" ht="15.75" hidden="false" customHeight="false" outlineLevel="0" collapsed="false">
      <c r="D337" s="259"/>
    </row>
    <row r="338" customFormat="false" ht="15.75" hidden="false" customHeight="false" outlineLevel="0" collapsed="false">
      <c r="D338" s="259"/>
    </row>
    <row r="339" customFormat="false" ht="15.75" hidden="false" customHeight="false" outlineLevel="0" collapsed="false">
      <c r="D339" s="259"/>
    </row>
    <row r="340" customFormat="false" ht="15.75" hidden="false" customHeight="false" outlineLevel="0" collapsed="false">
      <c r="D340" s="259"/>
    </row>
    <row r="341" customFormat="false" ht="15.75" hidden="false" customHeight="false" outlineLevel="0" collapsed="false">
      <c r="D341" s="259"/>
    </row>
    <row r="342" customFormat="false" ht="15.75" hidden="false" customHeight="false" outlineLevel="0" collapsed="false">
      <c r="D342" s="259"/>
    </row>
    <row r="343" customFormat="false" ht="15.75" hidden="false" customHeight="false" outlineLevel="0" collapsed="false">
      <c r="D343" s="259"/>
    </row>
    <row r="344" customFormat="false" ht="15.75" hidden="false" customHeight="false" outlineLevel="0" collapsed="false">
      <c r="D344" s="259"/>
    </row>
    <row r="345" customFormat="false" ht="15.75" hidden="false" customHeight="false" outlineLevel="0" collapsed="false">
      <c r="D345" s="259"/>
    </row>
    <row r="346" customFormat="false" ht="15.75" hidden="false" customHeight="false" outlineLevel="0" collapsed="false">
      <c r="D346" s="259"/>
    </row>
    <row r="347" customFormat="false" ht="15.75" hidden="false" customHeight="false" outlineLevel="0" collapsed="false">
      <c r="D347" s="259"/>
    </row>
    <row r="348" customFormat="false" ht="15.75" hidden="false" customHeight="false" outlineLevel="0" collapsed="false">
      <c r="D348" s="259"/>
    </row>
    <row r="349" customFormat="false" ht="15.75" hidden="false" customHeight="false" outlineLevel="0" collapsed="false">
      <c r="D349" s="259"/>
    </row>
    <row r="350" customFormat="false" ht="15.75" hidden="false" customHeight="false" outlineLevel="0" collapsed="false">
      <c r="D350" s="259"/>
    </row>
    <row r="351" customFormat="false" ht="15.75" hidden="false" customHeight="false" outlineLevel="0" collapsed="false">
      <c r="D351" s="259"/>
    </row>
    <row r="352" customFormat="false" ht="15.75" hidden="false" customHeight="false" outlineLevel="0" collapsed="false">
      <c r="D352" s="259"/>
    </row>
    <row r="353" customFormat="false" ht="15.75" hidden="false" customHeight="false" outlineLevel="0" collapsed="false">
      <c r="D353" s="259"/>
    </row>
    <row r="354" customFormat="false" ht="15.75" hidden="false" customHeight="false" outlineLevel="0" collapsed="false">
      <c r="D354" s="259"/>
    </row>
    <row r="355" customFormat="false" ht="15.75" hidden="false" customHeight="false" outlineLevel="0" collapsed="false">
      <c r="D355" s="259"/>
    </row>
    <row r="356" customFormat="false" ht="15.75" hidden="false" customHeight="false" outlineLevel="0" collapsed="false">
      <c r="D356" s="259"/>
    </row>
    <row r="357" customFormat="false" ht="15.75" hidden="false" customHeight="false" outlineLevel="0" collapsed="false">
      <c r="D357" s="259"/>
    </row>
    <row r="358" customFormat="false" ht="15.75" hidden="false" customHeight="false" outlineLevel="0" collapsed="false">
      <c r="D358" s="259"/>
    </row>
    <row r="359" customFormat="false" ht="15.75" hidden="false" customHeight="false" outlineLevel="0" collapsed="false">
      <c r="D359" s="259"/>
    </row>
    <row r="360" customFormat="false" ht="15.75" hidden="false" customHeight="false" outlineLevel="0" collapsed="false">
      <c r="D360" s="259"/>
    </row>
    <row r="361" customFormat="false" ht="15.75" hidden="false" customHeight="false" outlineLevel="0" collapsed="false">
      <c r="D361" s="259"/>
    </row>
    <row r="362" customFormat="false" ht="15.75" hidden="false" customHeight="false" outlineLevel="0" collapsed="false">
      <c r="D362" s="259"/>
    </row>
    <row r="363" customFormat="false" ht="15.75" hidden="false" customHeight="false" outlineLevel="0" collapsed="false">
      <c r="D363" s="259"/>
    </row>
    <row r="364" customFormat="false" ht="15.75" hidden="false" customHeight="false" outlineLevel="0" collapsed="false">
      <c r="D364" s="259"/>
    </row>
    <row r="365" customFormat="false" ht="15.75" hidden="false" customHeight="false" outlineLevel="0" collapsed="false">
      <c r="D365" s="259"/>
    </row>
    <row r="366" customFormat="false" ht="15.75" hidden="false" customHeight="false" outlineLevel="0" collapsed="false">
      <c r="D366" s="259"/>
    </row>
    <row r="367" customFormat="false" ht="15.75" hidden="false" customHeight="false" outlineLevel="0" collapsed="false">
      <c r="D367" s="259"/>
    </row>
    <row r="368" customFormat="false" ht="15.75" hidden="false" customHeight="false" outlineLevel="0" collapsed="false">
      <c r="D368" s="259"/>
    </row>
    <row r="369" customFormat="false" ht="15.75" hidden="false" customHeight="false" outlineLevel="0" collapsed="false">
      <c r="D369" s="259"/>
    </row>
    <row r="370" customFormat="false" ht="15.75" hidden="false" customHeight="false" outlineLevel="0" collapsed="false">
      <c r="D370" s="259"/>
    </row>
    <row r="371" customFormat="false" ht="15.75" hidden="false" customHeight="false" outlineLevel="0" collapsed="false">
      <c r="D371" s="259"/>
    </row>
    <row r="372" customFormat="false" ht="15.75" hidden="false" customHeight="false" outlineLevel="0" collapsed="false">
      <c r="D372" s="259"/>
    </row>
    <row r="373" customFormat="false" ht="15.75" hidden="false" customHeight="false" outlineLevel="0" collapsed="false">
      <c r="D373" s="259"/>
    </row>
    <row r="374" customFormat="false" ht="15.75" hidden="false" customHeight="false" outlineLevel="0" collapsed="false">
      <c r="D374" s="259"/>
    </row>
    <row r="375" customFormat="false" ht="15.75" hidden="false" customHeight="false" outlineLevel="0" collapsed="false">
      <c r="D375" s="259"/>
    </row>
    <row r="376" customFormat="false" ht="15.75" hidden="false" customHeight="false" outlineLevel="0" collapsed="false">
      <c r="D376" s="259"/>
    </row>
    <row r="377" customFormat="false" ht="15.75" hidden="false" customHeight="false" outlineLevel="0" collapsed="false">
      <c r="D377" s="259"/>
    </row>
    <row r="378" customFormat="false" ht="15.75" hidden="false" customHeight="false" outlineLevel="0" collapsed="false">
      <c r="D378" s="259"/>
    </row>
    <row r="379" customFormat="false" ht="15.75" hidden="false" customHeight="false" outlineLevel="0" collapsed="false">
      <c r="D379" s="259"/>
    </row>
    <row r="380" customFormat="false" ht="15.75" hidden="false" customHeight="false" outlineLevel="0" collapsed="false">
      <c r="D380" s="259"/>
    </row>
    <row r="381" customFormat="false" ht="15.75" hidden="false" customHeight="false" outlineLevel="0" collapsed="false">
      <c r="D381" s="259"/>
    </row>
    <row r="382" customFormat="false" ht="15.75" hidden="false" customHeight="false" outlineLevel="0" collapsed="false">
      <c r="D382" s="259"/>
    </row>
    <row r="383" customFormat="false" ht="15.75" hidden="false" customHeight="false" outlineLevel="0" collapsed="false">
      <c r="D383" s="259"/>
    </row>
    <row r="384" customFormat="false" ht="15.75" hidden="false" customHeight="false" outlineLevel="0" collapsed="false">
      <c r="D384" s="259"/>
    </row>
    <row r="385" customFormat="false" ht="15.75" hidden="false" customHeight="false" outlineLevel="0" collapsed="false">
      <c r="D385" s="259"/>
    </row>
    <row r="386" customFormat="false" ht="15.75" hidden="false" customHeight="false" outlineLevel="0" collapsed="false">
      <c r="D386" s="259"/>
    </row>
    <row r="387" customFormat="false" ht="15.75" hidden="false" customHeight="false" outlineLevel="0" collapsed="false">
      <c r="D387" s="259"/>
    </row>
    <row r="388" customFormat="false" ht="15.75" hidden="false" customHeight="false" outlineLevel="0" collapsed="false">
      <c r="D388" s="259"/>
    </row>
    <row r="389" customFormat="false" ht="15.75" hidden="false" customHeight="false" outlineLevel="0" collapsed="false">
      <c r="D389" s="259"/>
    </row>
    <row r="390" customFormat="false" ht="15.75" hidden="false" customHeight="false" outlineLevel="0" collapsed="false">
      <c r="D390" s="259"/>
    </row>
    <row r="391" customFormat="false" ht="15.75" hidden="false" customHeight="false" outlineLevel="0" collapsed="false">
      <c r="D391" s="259"/>
    </row>
    <row r="392" customFormat="false" ht="15.75" hidden="false" customHeight="false" outlineLevel="0" collapsed="false">
      <c r="D392" s="259"/>
    </row>
    <row r="393" customFormat="false" ht="15.75" hidden="false" customHeight="false" outlineLevel="0" collapsed="false">
      <c r="D393" s="259"/>
    </row>
    <row r="394" customFormat="false" ht="15.75" hidden="false" customHeight="false" outlineLevel="0" collapsed="false">
      <c r="D394" s="259"/>
    </row>
    <row r="395" customFormat="false" ht="15.75" hidden="false" customHeight="false" outlineLevel="0" collapsed="false">
      <c r="D395" s="259"/>
    </row>
    <row r="396" customFormat="false" ht="15.75" hidden="false" customHeight="false" outlineLevel="0" collapsed="false">
      <c r="D396" s="259"/>
    </row>
    <row r="397" customFormat="false" ht="15.75" hidden="false" customHeight="false" outlineLevel="0" collapsed="false">
      <c r="D397" s="259"/>
    </row>
    <row r="398" customFormat="false" ht="15.75" hidden="false" customHeight="false" outlineLevel="0" collapsed="false">
      <c r="D398" s="259"/>
    </row>
    <row r="399" customFormat="false" ht="15.75" hidden="false" customHeight="false" outlineLevel="0" collapsed="false">
      <c r="D399" s="259"/>
    </row>
    <row r="400" customFormat="false" ht="15.75" hidden="false" customHeight="false" outlineLevel="0" collapsed="false">
      <c r="D400" s="259"/>
    </row>
    <row r="401" customFormat="false" ht="15.75" hidden="false" customHeight="false" outlineLevel="0" collapsed="false">
      <c r="D401" s="259"/>
    </row>
    <row r="402" customFormat="false" ht="15.75" hidden="false" customHeight="false" outlineLevel="0" collapsed="false">
      <c r="D402" s="259"/>
    </row>
    <row r="403" customFormat="false" ht="15.75" hidden="false" customHeight="false" outlineLevel="0" collapsed="false">
      <c r="D403" s="259"/>
    </row>
    <row r="404" customFormat="false" ht="15.75" hidden="false" customHeight="false" outlineLevel="0" collapsed="false">
      <c r="D404" s="259"/>
    </row>
    <row r="405" customFormat="false" ht="15.75" hidden="false" customHeight="false" outlineLevel="0" collapsed="false">
      <c r="D405" s="259"/>
    </row>
    <row r="406" customFormat="false" ht="15.75" hidden="false" customHeight="false" outlineLevel="0" collapsed="false">
      <c r="D406" s="259"/>
    </row>
    <row r="407" customFormat="false" ht="15.75" hidden="false" customHeight="false" outlineLevel="0" collapsed="false">
      <c r="D407" s="259"/>
    </row>
    <row r="408" customFormat="false" ht="15.75" hidden="false" customHeight="false" outlineLevel="0" collapsed="false">
      <c r="D408" s="259"/>
    </row>
    <row r="409" customFormat="false" ht="15.75" hidden="false" customHeight="false" outlineLevel="0" collapsed="false">
      <c r="D409" s="259"/>
    </row>
    <row r="410" customFormat="false" ht="15.75" hidden="false" customHeight="false" outlineLevel="0" collapsed="false">
      <c r="D410" s="259"/>
    </row>
    <row r="411" customFormat="false" ht="15.75" hidden="false" customHeight="false" outlineLevel="0" collapsed="false">
      <c r="D411" s="259"/>
    </row>
    <row r="412" customFormat="false" ht="15.75" hidden="false" customHeight="false" outlineLevel="0" collapsed="false">
      <c r="D412" s="259"/>
    </row>
    <row r="413" customFormat="false" ht="15.75" hidden="false" customHeight="false" outlineLevel="0" collapsed="false">
      <c r="D413" s="259"/>
    </row>
    <row r="414" customFormat="false" ht="15.75" hidden="false" customHeight="false" outlineLevel="0" collapsed="false">
      <c r="D414" s="259"/>
    </row>
    <row r="415" customFormat="false" ht="15.75" hidden="false" customHeight="false" outlineLevel="0" collapsed="false">
      <c r="D415" s="259"/>
    </row>
    <row r="416" customFormat="false" ht="15.75" hidden="false" customHeight="false" outlineLevel="0" collapsed="false">
      <c r="D416" s="259"/>
    </row>
    <row r="417" customFormat="false" ht="15.75" hidden="false" customHeight="false" outlineLevel="0" collapsed="false">
      <c r="D417" s="259"/>
    </row>
    <row r="418" customFormat="false" ht="15.75" hidden="false" customHeight="false" outlineLevel="0" collapsed="false">
      <c r="D418" s="259"/>
    </row>
    <row r="419" customFormat="false" ht="15.75" hidden="false" customHeight="false" outlineLevel="0" collapsed="false">
      <c r="D419" s="259"/>
    </row>
    <row r="420" customFormat="false" ht="15.75" hidden="false" customHeight="false" outlineLevel="0" collapsed="false">
      <c r="D420" s="259"/>
    </row>
    <row r="421" customFormat="false" ht="15.75" hidden="false" customHeight="false" outlineLevel="0" collapsed="false">
      <c r="D421" s="259"/>
    </row>
    <row r="422" customFormat="false" ht="15.75" hidden="false" customHeight="false" outlineLevel="0" collapsed="false">
      <c r="D422" s="259"/>
    </row>
    <row r="423" customFormat="false" ht="15.75" hidden="false" customHeight="false" outlineLevel="0" collapsed="false">
      <c r="D423" s="259"/>
    </row>
    <row r="424" customFormat="false" ht="15.75" hidden="false" customHeight="false" outlineLevel="0" collapsed="false">
      <c r="D424" s="259"/>
    </row>
    <row r="425" customFormat="false" ht="15.75" hidden="false" customHeight="false" outlineLevel="0" collapsed="false">
      <c r="D425" s="259"/>
    </row>
    <row r="426" customFormat="false" ht="15.75" hidden="false" customHeight="false" outlineLevel="0" collapsed="false">
      <c r="D426" s="259"/>
    </row>
    <row r="427" customFormat="false" ht="15.75" hidden="false" customHeight="false" outlineLevel="0" collapsed="false">
      <c r="D427" s="259"/>
    </row>
    <row r="428" customFormat="false" ht="15.75" hidden="false" customHeight="false" outlineLevel="0" collapsed="false">
      <c r="D428" s="259"/>
    </row>
    <row r="429" customFormat="false" ht="15.75" hidden="false" customHeight="false" outlineLevel="0" collapsed="false">
      <c r="D429" s="259"/>
    </row>
    <row r="430" customFormat="false" ht="15.75" hidden="false" customHeight="false" outlineLevel="0" collapsed="false">
      <c r="D430" s="259"/>
    </row>
    <row r="431" customFormat="false" ht="15.75" hidden="false" customHeight="false" outlineLevel="0" collapsed="false">
      <c r="D431" s="259"/>
    </row>
    <row r="432" customFormat="false" ht="15.75" hidden="false" customHeight="false" outlineLevel="0" collapsed="false">
      <c r="D432" s="259"/>
    </row>
    <row r="433" customFormat="false" ht="15.75" hidden="false" customHeight="false" outlineLevel="0" collapsed="false">
      <c r="D433" s="259"/>
    </row>
    <row r="434" customFormat="false" ht="15.75" hidden="false" customHeight="false" outlineLevel="0" collapsed="false">
      <c r="D434" s="259"/>
    </row>
    <row r="435" customFormat="false" ht="15.75" hidden="false" customHeight="false" outlineLevel="0" collapsed="false">
      <c r="D435" s="259"/>
    </row>
    <row r="436" customFormat="false" ht="15.75" hidden="false" customHeight="false" outlineLevel="0" collapsed="false">
      <c r="D436" s="259"/>
    </row>
    <row r="437" customFormat="false" ht="15.75" hidden="false" customHeight="false" outlineLevel="0" collapsed="false">
      <c r="D437" s="259"/>
    </row>
    <row r="438" customFormat="false" ht="15.75" hidden="false" customHeight="false" outlineLevel="0" collapsed="false">
      <c r="D438" s="259"/>
    </row>
    <row r="439" customFormat="false" ht="15.75" hidden="false" customHeight="false" outlineLevel="0" collapsed="false">
      <c r="D439" s="259"/>
    </row>
    <row r="440" customFormat="false" ht="15.75" hidden="false" customHeight="false" outlineLevel="0" collapsed="false">
      <c r="D440" s="259"/>
    </row>
    <row r="441" customFormat="false" ht="15.75" hidden="false" customHeight="false" outlineLevel="0" collapsed="false">
      <c r="D441" s="259"/>
    </row>
    <row r="442" customFormat="false" ht="15.75" hidden="false" customHeight="false" outlineLevel="0" collapsed="false">
      <c r="D442" s="259"/>
    </row>
    <row r="443" customFormat="false" ht="15.75" hidden="false" customHeight="false" outlineLevel="0" collapsed="false">
      <c r="D443" s="259"/>
    </row>
    <row r="444" customFormat="false" ht="15.75" hidden="false" customHeight="false" outlineLevel="0" collapsed="false">
      <c r="D444" s="259"/>
    </row>
    <row r="445" customFormat="false" ht="15.75" hidden="false" customHeight="false" outlineLevel="0" collapsed="false">
      <c r="D445" s="259"/>
    </row>
    <row r="446" customFormat="false" ht="15.75" hidden="false" customHeight="false" outlineLevel="0" collapsed="false">
      <c r="D446" s="259"/>
    </row>
    <row r="447" customFormat="false" ht="15.75" hidden="false" customHeight="false" outlineLevel="0" collapsed="false">
      <c r="D447" s="259"/>
    </row>
    <row r="448" customFormat="false" ht="15.75" hidden="false" customHeight="false" outlineLevel="0" collapsed="false">
      <c r="D448" s="259"/>
    </row>
    <row r="449" customFormat="false" ht="15.75" hidden="false" customHeight="false" outlineLevel="0" collapsed="false">
      <c r="D449" s="259"/>
    </row>
    <row r="450" customFormat="false" ht="15.75" hidden="false" customHeight="false" outlineLevel="0" collapsed="false">
      <c r="D450" s="259"/>
    </row>
    <row r="451" customFormat="false" ht="15.75" hidden="false" customHeight="false" outlineLevel="0" collapsed="false">
      <c r="D451" s="259"/>
    </row>
    <row r="452" customFormat="false" ht="15.75" hidden="false" customHeight="false" outlineLevel="0" collapsed="false">
      <c r="D452" s="259"/>
    </row>
    <row r="453" customFormat="false" ht="15.75" hidden="false" customHeight="false" outlineLevel="0" collapsed="false">
      <c r="D453" s="259"/>
    </row>
    <row r="454" customFormat="false" ht="15.75" hidden="false" customHeight="false" outlineLevel="0" collapsed="false">
      <c r="D454" s="259"/>
    </row>
    <row r="455" customFormat="false" ht="15.75" hidden="false" customHeight="false" outlineLevel="0" collapsed="false">
      <c r="D455" s="259"/>
    </row>
    <row r="456" customFormat="false" ht="15.75" hidden="false" customHeight="false" outlineLevel="0" collapsed="false">
      <c r="D456" s="259"/>
    </row>
    <row r="457" customFormat="false" ht="15.75" hidden="false" customHeight="false" outlineLevel="0" collapsed="false">
      <c r="D457" s="259"/>
    </row>
    <row r="458" customFormat="false" ht="15.75" hidden="false" customHeight="false" outlineLevel="0" collapsed="false">
      <c r="D458" s="259"/>
    </row>
    <row r="459" customFormat="false" ht="15.75" hidden="false" customHeight="false" outlineLevel="0" collapsed="false">
      <c r="D459" s="259"/>
    </row>
    <row r="460" customFormat="false" ht="15.75" hidden="false" customHeight="false" outlineLevel="0" collapsed="false">
      <c r="D460" s="259"/>
    </row>
    <row r="461" customFormat="false" ht="15.75" hidden="false" customHeight="false" outlineLevel="0" collapsed="false">
      <c r="D461" s="259"/>
    </row>
    <row r="462" customFormat="false" ht="15.75" hidden="false" customHeight="false" outlineLevel="0" collapsed="false">
      <c r="D462" s="259"/>
    </row>
    <row r="463" customFormat="false" ht="15.75" hidden="false" customHeight="false" outlineLevel="0" collapsed="false">
      <c r="D463" s="259"/>
    </row>
    <row r="464" customFormat="false" ht="15.75" hidden="false" customHeight="false" outlineLevel="0" collapsed="false">
      <c r="D464" s="259"/>
    </row>
    <row r="465" customFormat="false" ht="15.75" hidden="false" customHeight="false" outlineLevel="0" collapsed="false">
      <c r="D465" s="259"/>
    </row>
    <row r="466" customFormat="false" ht="15.75" hidden="false" customHeight="false" outlineLevel="0" collapsed="false">
      <c r="D466" s="259"/>
    </row>
    <row r="467" customFormat="false" ht="15.75" hidden="false" customHeight="false" outlineLevel="0" collapsed="false">
      <c r="D467" s="259"/>
    </row>
    <row r="468" customFormat="false" ht="15.75" hidden="false" customHeight="false" outlineLevel="0" collapsed="false">
      <c r="D468" s="259"/>
    </row>
    <row r="469" customFormat="false" ht="15.75" hidden="false" customHeight="false" outlineLevel="0" collapsed="false">
      <c r="D469" s="259"/>
    </row>
    <row r="470" customFormat="false" ht="15.75" hidden="false" customHeight="false" outlineLevel="0" collapsed="false">
      <c r="D470" s="259"/>
    </row>
    <row r="471" customFormat="false" ht="15.75" hidden="false" customHeight="false" outlineLevel="0" collapsed="false">
      <c r="D471" s="259"/>
    </row>
    <row r="472" customFormat="false" ht="15.75" hidden="false" customHeight="false" outlineLevel="0" collapsed="false">
      <c r="D472" s="259"/>
    </row>
    <row r="473" customFormat="false" ht="15.75" hidden="false" customHeight="false" outlineLevel="0" collapsed="false">
      <c r="D473" s="259"/>
    </row>
    <row r="474" customFormat="false" ht="15.75" hidden="false" customHeight="false" outlineLevel="0" collapsed="false">
      <c r="D474" s="259"/>
    </row>
    <row r="475" customFormat="false" ht="15.75" hidden="false" customHeight="false" outlineLevel="0" collapsed="false">
      <c r="D475" s="259"/>
    </row>
    <row r="476" customFormat="false" ht="15.75" hidden="false" customHeight="false" outlineLevel="0" collapsed="false">
      <c r="D476" s="259"/>
    </row>
    <row r="477" customFormat="false" ht="15.75" hidden="false" customHeight="false" outlineLevel="0" collapsed="false">
      <c r="D477" s="259"/>
    </row>
    <row r="478" customFormat="false" ht="15.75" hidden="false" customHeight="false" outlineLevel="0" collapsed="false">
      <c r="D478" s="259"/>
    </row>
    <row r="479" customFormat="false" ht="15.75" hidden="false" customHeight="false" outlineLevel="0" collapsed="false">
      <c r="D479" s="259"/>
    </row>
    <row r="480" customFormat="false" ht="15.75" hidden="false" customHeight="false" outlineLevel="0" collapsed="false">
      <c r="D480" s="259"/>
    </row>
    <row r="481" customFormat="false" ht="15.75" hidden="false" customHeight="false" outlineLevel="0" collapsed="false">
      <c r="D481" s="259"/>
    </row>
    <row r="482" customFormat="false" ht="15.75" hidden="false" customHeight="false" outlineLevel="0" collapsed="false">
      <c r="D482" s="259"/>
    </row>
    <row r="483" customFormat="false" ht="15.75" hidden="false" customHeight="false" outlineLevel="0" collapsed="false">
      <c r="D483" s="259"/>
    </row>
    <row r="484" customFormat="false" ht="15.75" hidden="false" customHeight="false" outlineLevel="0" collapsed="false">
      <c r="D484" s="259"/>
    </row>
    <row r="485" customFormat="false" ht="15.75" hidden="false" customHeight="false" outlineLevel="0" collapsed="false">
      <c r="D485" s="259"/>
    </row>
    <row r="486" customFormat="false" ht="15.75" hidden="false" customHeight="false" outlineLevel="0" collapsed="false">
      <c r="D486" s="259"/>
    </row>
    <row r="487" customFormat="false" ht="15.75" hidden="false" customHeight="false" outlineLevel="0" collapsed="false">
      <c r="D487" s="259"/>
    </row>
    <row r="488" customFormat="false" ht="15.75" hidden="false" customHeight="false" outlineLevel="0" collapsed="false">
      <c r="D488" s="259"/>
    </row>
    <row r="489" customFormat="false" ht="15.75" hidden="false" customHeight="false" outlineLevel="0" collapsed="false">
      <c r="D489" s="259"/>
    </row>
    <row r="490" customFormat="false" ht="15.75" hidden="false" customHeight="false" outlineLevel="0" collapsed="false">
      <c r="D490" s="259"/>
    </row>
    <row r="491" customFormat="false" ht="15.75" hidden="false" customHeight="false" outlineLevel="0" collapsed="false">
      <c r="D491" s="259"/>
    </row>
    <row r="492" customFormat="false" ht="15.75" hidden="false" customHeight="false" outlineLevel="0" collapsed="false">
      <c r="D492" s="259"/>
    </row>
    <row r="493" customFormat="false" ht="15.75" hidden="false" customHeight="false" outlineLevel="0" collapsed="false">
      <c r="D493" s="259"/>
    </row>
    <row r="494" customFormat="false" ht="15.75" hidden="false" customHeight="false" outlineLevel="0" collapsed="false">
      <c r="D494" s="259"/>
    </row>
    <row r="495" customFormat="false" ht="15.75" hidden="false" customHeight="false" outlineLevel="0" collapsed="false">
      <c r="D495" s="259"/>
    </row>
    <row r="496" customFormat="false" ht="15.75" hidden="false" customHeight="false" outlineLevel="0" collapsed="false">
      <c r="D496" s="259"/>
    </row>
    <row r="497" customFormat="false" ht="15.75" hidden="false" customHeight="false" outlineLevel="0" collapsed="false">
      <c r="D497" s="259"/>
    </row>
    <row r="498" customFormat="false" ht="15.75" hidden="false" customHeight="false" outlineLevel="0" collapsed="false">
      <c r="D498" s="259"/>
    </row>
    <row r="499" customFormat="false" ht="15.75" hidden="false" customHeight="false" outlineLevel="0" collapsed="false">
      <c r="D499" s="259"/>
    </row>
    <row r="500" customFormat="false" ht="15.75" hidden="false" customHeight="false" outlineLevel="0" collapsed="false">
      <c r="D500" s="259"/>
    </row>
    <row r="501" customFormat="false" ht="15.75" hidden="false" customHeight="false" outlineLevel="0" collapsed="false">
      <c r="D501" s="259"/>
    </row>
    <row r="502" customFormat="false" ht="15.75" hidden="false" customHeight="false" outlineLevel="0" collapsed="false">
      <c r="D502" s="259"/>
    </row>
    <row r="503" customFormat="false" ht="15.75" hidden="false" customHeight="false" outlineLevel="0" collapsed="false">
      <c r="D503" s="259"/>
    </row>
    <row r="504" customFormat="false" ht="15.75" hidden="false" customHeight="false" outlineLevel="0" collapsed="false">
      <c r="D504" s="259"/>
    </row>
    <row r="505" customFormat="false" ht="15.75" hidden="false" customHeight="false" outlineLevel="0" collapsed="false">
      <c r="D505" s="259"/>
    </row>
    <row r="506" customFormat="false" ht="15.75" hidden="false" customHeight="false" outlineLevel="0" collapsed="false">
      <c r="D506" s="259"/>
    </row>
    <row r="507" customFormat="false" ht="15.75" hidden="false" customHeight="false" outlineLevel="0" collapsed="false">
      <c r="D507" s="259"/>
    </row>
    <row r="508" customFormat="false" ht="15.75" hidden="false" customHeight="false" outlineLevel="0" collapsed="false">
      <c r="D508" s="259"/>
    </row>
    <row r="509" customFormat="false" ht="15.75" hidden="false" customHeight="false" outlineLevel="0" collapsed="false">
      <c r="D509" s="259"/>
    </row>
    <row r="510" customFormat="false" ht="15.75" hidden="false" customHeight="false" outlineLevel="0" collapsed="false">
      <c r="D510" s="259"/>
    </row>
    <row r="511" customFormat="false" ht="15.75" hidden="false" customHeight="false" outlineLevel="0" collapsed="false">
      <c r="D511" s="259"/>
    </row>
    <row r="512" customFormat="false" ht="15.75" hidden="false" customHeight="false" outlineLevel="0" collapsed="false">
      <c r="D512" s="259"/>
    </row>
    <row r="513" customFormat="false" ht="15.75" hidden="false" customHeight="false" outlineLevel="0" collapsed="false">
      <c r="D513" s="259"/>
    </row>
    <row r="514" customFormat="false" ht="15.75" hidden="false" customHeight="false" outlineLevel="0" collapsed="false">
      <c r="D514" s="259"/>
    </row>
    <row r="515" customFormat="false" ht="15.75" hidden="false" customHeight="false" outlineLevel="0" collapsed="false">
      <c r="D515" s="259"/>
    </row>
    <row r="516" customFormat="false" ht="15.75" hidden="false" customHeight="false" outlineLevel="0" collapsed="false">
      <c r="D516" s="259"/>
    </row>
    <row r="517" customFormat="false" ht="15.75" hidden="false" customHeight="false" outlineLevel="0" collapsed="false">
      <c r="D517" s="259"/>
    </row>
    <row r="518" customFormat="false" ht="15.75" hidden="false" customHeight="false" outlineLevel="0" collapsed="false">
      <c r="D518" s="259"/>
    </row>
    <row r="519" customFormat="false" ht="15.75" hidden="false" customHeight="false" outlineLevel="0" collapsed="false">
      <c r="D519" s="259"/>
    </row>
    <row r="520" customFormat="false" ht="15.75" hidden="false" customHeight="false" outlineLevel="0" collapsed="false">
      <c r="D520" s="259"/>
    </row>
    <row r="521" customFormat="false" ht="15.75" hidden="false" customHeight="false" outlineLevel="0" collapsed="false">
      <c r="D521" s="259"/>
    </row>
    <row r="522" customFormat="false" ht="15.75" hidden="false" customHeight="false" outlineLevel="0" collapsed="false">
      <c r="D522" s="259"/>
    </row>
    <row r="523" customFormat="false" ht="15.75" hidden="false" customHeight="false" outlineLevel="0" collapsed="false">
      <c r="D523" s="259"/>
    </row>
    <row r="524" customFormat="false" ht="15.75" hidden="false" customHeight="false" outlineLevel="0" collapsed="false">
      <c r="D524" s="259"/>
    </row>
    <row r="525" customFormat="false" ht="15.75" hidden="false" customHeight="false" outlineLevel="0" collapsed="false">
      <c r="D525" s="259"/>
    </row>
    <row r="526" customFormat="false" ht="15.75" hidden="false" customHeight="false" outlineLevel="0" collapsed="false">
      <c r="D526" s="259"/>
    </row>
    <row r="527" customFormat="false" ht="15.75" hidden="false" customHeight="false" outlineLevel="0" collapsed="false">
      <c r="D527" s="259"/>
    </row>
    <row r="528" customFormat="false" ht="15.75" hidden="false" customHeight="false" outlineLevel="0" collapsed="false">
      <c r="D528" s="259"/>
    </row>
    <row r="529" customFormat="false" ht="15.75" hidden="false" customHeight="false" outlineLevel="0" collapsed="false">
      <c r="D529" s="259"/>
    </row>
    <row r="530" customFormat="false" ht="15.75" hidden="false" customHeight="false" outlineLevel="0" collapsed="false">
      <c r="D530" s="259"/>
    </row>
    <row r="531" customFormat="false" ht="15.75" hidden="false" customHeight="false" outlineLevel="0" collapsed="false">
      <c r="D531" s="259"/>
    </row>
    <row r="532" customFormat="false" ht="15.75" hidden="false" customHeight="false" outlineLevel="0" collapsed="false">
      <c r="D532" s="259"/>
    </row>
    <row r="533" customFormat="false" ht="15.75" hidden="false" customHeight="false" outlineLevel="0" collapsed="false">
      <c r="D533" s="259"/>
    </row>
    <row r="534" customFormat="false" ht="15.75" hidden="false" customHeight="false" outlineLevel="0" collapsed="false">
      <c r="D534" s="259"/>
    </row>
    <row r="535" customFormat="false" ht="15.75" hidden="false" customHeight="false" outlineLevel="0" collapsed="false">
      <c r="D535" s="259"/>
    </row>
    <row r="536" customFormat="false" ht="15.75" hidden="false" customHeight="false" outlineLevel="0" collapsed="false">
      <c r="D536" s="259"/>
    </row>
    <row r="537" customFormat="false" ht="15.75" hidden="false" customHeight="false" outlineLevel="0" collapsed="false">
      <c r="D537" s="259"/>
    </row>
    <row r="538" customFormat="false" ht="15.75" hidden="false" customHeight="false" outlineLevel="0" collapsed="false">
      <c r="D538" s="259"/>
    </row>
    <row r="539" customFormat="false" ht="15.75" hidden="false" customHeight="false" outlineLevel="0" collapsed="false">
      <c r="D539" s="259"/>
    </row>
    <row r="540" customFormat="false" ht="15.75" hidden="false" customHeight="false" outlineLevel="0" collapsed="false">
      <c r="D540" s="259"/>
    </row>
    <row r="541" customFormat="false" ht="15.75" hidden="false" customHeight="false" outlineLevel="0" collapsed="false">
      <c r="D541" s="259"/>
    </row>
    <row r="542" customFormat="false" ht="15.75" hidden="false" customHeight="false" outlineLevel="0" collapsed="false">
      <c r="D542" s="259"/>
    </row>
    <row r="543" customFormat="false" ht="15.75" hidden="false" customHeight="false" outlineLevel="0" collapsed="false">
      <c r="D543" s="259"/>
    </row>
    <row r="544" customFormat="false" ht="15.75" hidden="false" customHeight="false" outlineLevel="0" collapsed="false">
      <c r="D544" s="259"/>
    </row>
    <row r="545" customFormat="false" ht="15.75" hidden="false" customHeight="false" outlineLevel="0" collapsed="false">
      <c r="D545" s="259"/>
    </row>
    <row r="546" customFormat="false" ht="15.75" hidden="false" customHeight="false" outlineLevel="0" collapsed="false">
      <c r="D546" s="259"/>
    </row>
    <row r="547" customFormat="false" ht="15.75" hidden="false" customHeight="false" outlineLevel="0" collapsed="false">
      <c r="D547" s="259"/>
    </row>
    <row r="548" customFormat="false" ht="15.75" hidden="false" customHeight="false" outlineLevel="0" collapsed="false">
      <c r="D548" s="259"/>
    </row>
    <row r="549" customFormat="false" ht="15.75" hidden="false" customHeight="false" outlineLevel="0" collapsed="false">
      <c r="D549" s="259"/>
    </row>
    <row r="550" customFormat="false" ht="15.75" hidden="false" customHeight="false" outlineLevel="0" collapsed="false">
      <c r="D550" s="259"/>
    </row>
    <row r="551" customFormat="false" ht="15.75" hidden="false" customHeight="false" outlineLevel="0" collapsed="false">
      <c r="D551" s="259"/>
    </row>
    <row r="552" customFormat="false" ht="15.75" hidden="false" customHeight="false" outlineLevel="0" collapsed="false">
      <c r="D552" s="259"/>
    </row>
    <row r="553" customFormat="false" ht="15.75" hidden="false" customHeight="false" outlineLevel="0" collapsed="false">
      <c r="D553" s="259"/>
    </row>
    <row r="554" customFormat="false" ht="15.75" hidden="false" customHeight="false" outlineLevel="0" collapsed="false">
      <c r="D554" s="259"/>
    </row>
    <row r="555" customFormat="false" ht="15.75" hidden="false" customHeight="false" outlineLevel="0" collapsed="false">
      <c r="D555" s="259"/>
    </row>
    <row r="556" customFormat="false" ht="15.75" hidden="false" customHeight="false" outlineLevel="0" collapsed="false">
      <c r="D556" s="259"/>
    </row>
    <row r="557" customFormat="false" ht="15.75" hidden="false" customHeight="false" outlineLevel="0" collapsed="false">
      <c r="D557" s="259"/>
    </row>
    <row r="558" customFormat="false" ht="15.75" hidden="false" customHeight="false" outlineLevel="0" collapsed="false">
      <c r="D558" s="259"/>
    </row>
    <row r="559" customFormat="false" ht="15.75" hidden="false" customHeight="false" outlineLevel="0" collapsed="false">
      <c r="D559" s="259"/>
    </row>
    <row r="560" customFormat="false" ht="15.75" hidden="false" customHeight="false" outlineLevel="0" collapsed="false">
      <c r="D560" s="259"/>
    </row>
    <row r="561" customFormat="false" ht="15.75" hidden="false" customHeight="false" outlineLevel="0" collapsed="false">
      <c r="D561" s="259"/>
    </row>
    <row r="562" customFormat="false" ht="15.75" hidden="false" customHeight="false" outlineLevel="0" collapsed="false">
      <c r="D562" s="259"/>
    </row>
    <row r="563" customFormat="false" ht="15.75" hidden="false" customHeight="false" outlineLevel="0" collapsed="false">
      <c r="D563" s="259"/>
    </row>
    <row r="564" customFormat="false" ht="15.75" hidden="false" customHeight="false" outlineLevel="0" collapsed="false">
      <c r="D564" s="259"/>
    </row>
    <row r="565" customFormat="false" ht="15.75" hidden="false" customHeight="false" outlineLevel="0" collapsed="false">
      <c r="D565" s="259"/>
    </row>
    <row r="566" customFormat="false" ht="15.75" hidden="false" customHeight="false" outlineLevel="0" collapsed="false">
      <c r="D566" s="259"/>
    </row>
    <row r="567" customFormat="false" ht="15.75" hidden="false" customHeight="false" outlineLevel="0" collapsed="false">
      <c r="D567" s="259"/>
    </row>
    <row r="568" customFormat="false" ht="15.75" hidden="false" customHeight="false" outlineLevel="0" collapsed="false">
      <c r="D568" s="259"/>
    </row>
    <row r="569" customFormat="false" ht="15.75" hidden="false" customHeight="false" outlineLevel="0" collapsed="false">
      <c r="D569" s="259"/>
    </row>
    <row r="570" customFormat="false" ht="15.75" hidden="false" customHeight="false" outlineLevel="0" collapsed="false">
      <c r="D570" s="259"/>
    </row>
    <row r="571" customFormat="false" ht="15.75" hidden="false" customHeight="false" outlineLevel="0" collapsed="false">
      <c r="D571" s="259"/>
    </row>
    <row r="572" customFormat="false" ht="15.75" hidden="false" customHeight="false" outlineLevel="0" collapsed="false">
      <c r="D572" s="259"/>
    </row>
    <row r="573" customFormat="false" ht="15.75" hidden="false" customHeight="false" outlineLevel="0" collapsed="false">
      <c r="D573" s="259"/>
    </row>
    <row r="574" customFormat="false" ht="15.75" hidden="false" customHeight="false" outlineLevel="0" collapsed="false">
      <c r="D574" s="259"/>
    </row>
    <row r="575" customFormat="false" ht="15.75" hidden="false" customHeight="false" outlineLevel="0" collapsed="false">
      <c r="D575" s="259"/>
    </row>
    <row r="576" customFormat="false" ht="15.75" hidden="false" customHeight="false" outlineLevel="0" collapsed="false">
      <c r="D576" s="259"/>
    </row>
    <row r="577" customFormat="false" ht="15.75" hidden="false" customHeight="false" outlineLevel="0" collapsed="false">
      <c r="D577" s="259"/>
    </row>
    <row r="578" customFormat="false" ht="15.75" hidden="false" customHeight="false" outlineLevel="0" collapsed="false">
      <c r="D578" s="259"/>
    </row>
    <row r="579" customFormat="false" ht="15.75" hidden="false" customHeight="false" outlineLevel="0" collapsed="false">
      <c r="D579" s="259"/>
    </row>
    <row r="580" customFormat="false" ht="15.75" hidden="false" customHeight="false" outlineLevel="0" collapsed="false">
      <c r="D580" s="259"/>
    </row>
    <row r="581" customFormat="false" ht="15.75" hidden="false" customHeight="false" outlineLevel="0" collapsed="false">
      <c r="D581" s="259"/>
    </row>
    <row r="582" customFormat="false" ht="15.75" hidden="false" customHeight="false" outlineLevel="0" collapsed="false">
      <c r="D582" s="259"/>
    </row>
    <row r="583" customFormat="false" ht="15.75" hidden="false" customHeight="false" outlineLevel="0" collapsed="false">
      <c r="D583" s="259"/>
    </row>
    <row r="584" customFormat="false" ht="15.75" hidden="false" customHeight="false" outlineLevel="0" collapsed="false">
      <c r="D584" s="259"/>
    </row>
    <row r="585" customFormat="false" ht="15.75" hidden="false" customHeight="false" outlineLevel="0" collapsed="false">
      <c r="D585" s="259"/>
    </row>
    <row r="586" customFormat="false" ht="15.75" hidden="false" customHeight="false" outlineLevel="0" collapsed="false">
      <c r="D586" s="259"/>
    </row>
    <row r="587" customFormat="false" ht="15.75" hidden="false" customHeight="false" outlineLevel="0" collapsed="false">
      <c r="D587" s="259"/>
    </row>
    <row r="588" customFormat="false" ht="15.75" hidden="false" customHeight="false" outlineLevel="0" collapsed="false">
      <c r="D588" s="259"/>
    </row>
    <row r="589" customFormat="false" ht="15.75" hidden="false" customHeight="false" outlineLevel="0" collapsed="false">
      <c r="D589" s="259"/>
    </row>
    <row r="590" customFormat="false" ht="15.75" hidden="false" customHeight="false" outlineLevel="0" collapsed="false">
      <c r="D590" s="259"/>
    </row>
    <row r="591" customFormat="false" ht="15.75" hidden="false" customHeight="false" outlineLevel="0" collapsed="false">
      <c r="D591" s="259"/>
    </row>
    <row r="592" customFormat="false" ht="15.75" hidden="false" customHeight="false" outlineLevel="0" collapsed="false">
      <c r="D592" s="259"/>
    </row>
    <row r="593" customFormat="false" ht="15.75" hidden="false" customHeight="false" outlineLevel="0" collapsed="false">
      <c r="D593" s="259"/>
    </row>
    <row r="594" customFormat="false" ht="15.75" hidden="false" customHeight="false" outlineLevel="0" collapsed="false">
      <c r="D594" s="259"/>
    </row>
    <row r="595" customFormat="false" ht="15.75" hidden="false" customHeight="false" outlineLevel="0" collapsed="false">
      <c r="D595" s="259"/>
    </row>
    <row r="596" customFormat="false" ht="15.75" hidden="false" customHeight="false" outlineLevel="0" collapsed="false">
      <c r="D596" s="259"/>
    </row>
    <row r="597" customFormat="false" ht="15.75" hidden="false" customHeight="false" outlineLevel="0" collapsed="false">
      <c r="D597" s="259"/>
    </row>
    <row r="598" customFormat="false" ht="15.75" hidden="false" customHeight="false" outlineLevel="0" collapsed="false">
      <c r="D598" s="259"/>
    </row>
    <row r="599" customFormat="false" ht="15.75" hidden="false" customHeight="false" outlineLevel="0" collapsed="false">
      <c r="D599" s="259"/>
    </row>
    <row r="600" customFormat="false" ht="15.75" hidden="false" customHeight="false" outlineLevel="0" collapsed="false">
      <c r="D600" s="259"/>
    </row>
    <row r="601" customFormat="false" ht="15.75" hidden="false" customHeight="false" outlineLevel="0" collapsed="false">
      <c r="D601" s="259"/>
    </row>
    <row r="602" customFormat="false" ht="15.75" hidden="false" customHeight="false" outlineLevel="0" collapsed="false">
      <c r="D602" s="259"/>
    </row>
    <row r="603" customFormat="false" ht="15.75" hidden="false" customHeight="false" outlineLevel="0" collapsed="false">
      <c r="D603" s="259"/>
    </row>
    <row r="604" customFormat="false" ht="15.75" hidden="false" customHeight="false" outlineLevel="0" collapsed="false">
      <c r="D604" s="259"/>
    </row>
    <row r="605" customFormat="false" ht="15.75" hidden="false" customHeight="false" outlineLevel="0" collapsed="false">
      <c r="D605" s="259"/>
    </row>
    <row r="606" customFormat="false" ht="15.75" hidden="false" customHeight="false" outlineLevel="0" collapsed="false">
      <c r="D606" s="259"/>
    </row>
    <row r="607" customFormat="false" ht="15.75" hidden="false" customHeight="false" outlineLevel="0" collapsed="false">
      <c r="D607" s="259"/>
    </row>
    <row r="608" customFormat="false" ht="15.75" hidden="false" customHeight="false" outlineLevel="0" collapsed="false">
      <c r="D608" s="259"/>
    </row>
    <row r="609" customFormat="false" ht="15.75" hidden="false" customHeight="false" outlineLevel="0" collapsed="false">
      <c r="D609" s="259"/>
    </row>
    <row r="610" customFormat="false" ht="15.75" hidden="false" customHeight="false" outlineLevel="0" collapsed="false">
      <c r="D610" s="259"/>
    </row>
    <row r="611" customFormat="false" ht="15.75" hidden="false" customHeight="false" outlineLevel="0" collapsed="false">
      <c r="D611" s="259"/>
    </row>
    <row r="612" customFormat="false" ht="15.75" hidden="false" customHeight="false" outlineLevel="0" collapsed="false">
      <c r="D612" s="259"/>
    </row>
    <row r="613" customFormat="false" ht="15.75" hidden="false" customHeight="false" outlineLevel="0" collapsed="false">
      <c r="D613" s="259"/>
    </row>
    <row r="614" customFormat="false" ht="15.75" hidden="false" customHeight="false" outlineLevel="0" collapsed="false">
      <c r="D614" s="259"/>
    </row>
    <row r="615" customFormat="false" ht="15.75" hidden="false" customHeight="false" outlineLevel="0" collapsed="false">
      <c r="D615" s="259"/>
    </row>
    <row r="616" customFormat="false" ht="15.75" hidden="false" customHeight="false" outlineLevel="0" collapsed="false">
      <c r="D616" s="259"/>
    </row>
    <row r="617" customFormat="false" ht="15.75" hidden="false" customHeight="false" outlineLevel="0" collapsed="false">
      <c r="D617" s="259"/>
    </row>
    <row r="618" customFormat="false" ht="15.75" hidden="false" customHeight="false" outlineLevel="0" collapsed="false">
      <c r="D618" s="259"/>
    </row>
    <row r="619" customFormat="false" ht="15.75" hidden="false" customHeight="false" outlineLevel="0" collapsed="false">
      <c r="D619" s="259"/>
    </row>
    <row r="620" customFormat="false" ht="15.75" hidden="false" customHeight="false" outlineLevel="0" collapsed="false">
      <c r="D620" s="259"/>
    </row>
    <row r="621" customFormat="false" ht="15.75" hidden="false" customHeight="false" outlineLevel="0" collapsed="false">
      <c r="D621" s="259"/>
    </row>
    <row r="622" customFormat="false" ht="15.75" hidden="false" customHeight="false" outlineLevel="0" collapsed="false">
      <c r="D622" s="259"/>
    </row>
  </sheetData>
  <mergeCells count="46">
    <mergeCell ref="E1:N1"/>
    <mergeCell ref="F2:H2"/>
    <mergeCell ref="I2:N2"/>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R4"/>
    <mergeCell ref="Q5:R5"/>
    <mergeCell ref="Q6:R6"/>
    <mergeCell ref="Q7:R7"/>
    <mergeCell ref="Q8:R8"/>
    <mergeCell ref="Q9:R9"/>
    <mergeCell ref="Q10:R10"/>
    <mergeCell ref="Q11:R11"/>
    <mergeCell ref="Q12:R12"/>
    <mergeCell ref="Q13:R13"/>
    <mergeCell ref="Q14:R14"/>
    <mergeCell ref="Q15:R15"/>
    <mergeCell ref="Q16:R16"/>
    <mergeCell ref="Q17:R17"/>
    <mergeCell ref="Q18:R18"/>
    <mergeCell ref="Q19:R19"/>
    <mergeCell ref="Q20:R20"/>
    <mergeCell ref="Q21:R21"/>
    <mergeCell ref="Q22:R22"/>
    <mergeCell ref="Q23:R23"/>
    <mergeCell ref="Q24:R24"/>
    <mergeCell ref="Q25:R25"/>
    <mergeCell ref="Q26:R26"/>
    <mergeCell ref="Q27:R27"/>
    <mergeCell ref="Q28:R28"/>
    <mergeCell ref="Q29:R29"/>
    <mergeCell ref="Q30:R30"/>
  </mergeCells>
  <hyperlinks>
    <hyperlink ref="C1" location="'Tabla de Contenidos'!A1" display="Volver a Tabla de contenidos"/>
    <hyperlink ref="O1" location="'RESULTADO FINAL SOSTENIBILIDAD'!A1" display="Ir a Resultados Finales"/>
  </hyperlinks>
  <printOptions headings="false" gridLines="false" gridLinesSet="true" horizontalCentered="false" verticalCentered="false"/>
  <pageMargins left="0.708333333333333" right="0.708333333333333" top="0.747916666666667" bottom="0.748611111111111" header="0.511811023622047" footer="0.315277777777778"/>
  <pageSetup paperSize="5" scale="55" fitToWidth="1" fitToHeight="1" pageOrder="downThenOver" orientation="landscape" blackAndWhite="false" draft="false" cellComments="none" horizontalDpi="300" verticalDpi="300" copies="1"/>
  <headerFooter differentFirst="false" differentOddEven="false">
    <oddHeader/>
    <oddFooter>&amp;C&amp;Pde&amp;N&amp;R&amp;F</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EEB"/>
    <pageSetUpPr fitToPage="false"/>
  </sheetPr>
  <dimension ref="A1:FO35"/>
  <sheetViews>
    <sheetView showFormulas="false" showGridLines="false" showRowColHeaders="true" showZeros="true" rightToLeft="false" tabSelected="false" showOutlineSymbols="true" defaultGridColor="true" view="normal" topLeftCell="D1" colorId="64" zoomScale="90" zoomScaleNormal="90" zoomScalePageLayoutView="100" workbookViewId="0">
      <selection pane="topLeft" activeCell="K6" activeCellId="0" sqref="K6"/>
    </sheetView>
  </sheetViews>
  <sheetFormatPr defaultColWidth="11.43359375" defaultRowHeight="15.75" customHeight="false" zeroHeight="false" outlineLevelRow="0" outlineLevelCol="0"/>
  <cols>
    <col collapsed="false" customWidth="true" hidden="false" outlineLevel="0" max="1" min="1" style="259" width="17.86"/>
    <col collapsed="false" customWidth="true" hidden="false" outlineLevel="0" max="2" min="2" style="259" width="16.29"/>
    <col collapsed="false" customWidth="true" hidden="false" outlineLevel="0" max="3" min="3" style="259" width="16.84"/>
    <col collapsed="false" customWidth="true" hidden="false" outlineLevel="0" max="4" min="4" style="259" width="25.29"/>
    <col collapsed="false" customWidth="true" hidden="false" outlineLevel="0" max="5" min="5" style="36" width="21.57"/>
    <col collapsed="false" customWidth="true" hidden="false" outlineLevel="0" max="6" min="6" style="36" width="20.29"/>
    <col collapsed="false" customWidth="true" hidden="false" outlineLevel="0" max="7" min="7" style="36" width="15.85"/>
    <col collapsed="false" customWidth="true" hidden="false" outlineLevel="0" max="10" min="8" style="36" width="17.29"/>
    <col collapsed="false" customWidth="true" hidden="false" outlineLevel="0" max="11" min="11" style="91" width="13.29"/>
    <col collapsed="false" customWidth="true" hidden="false" outlineLevel="0" max="12" min="12" style="91" width="14.57"/>
    <col collapsed="false" customWidth="true" hidden="false" outlineLevel="0" max="13" min="13" style="91" width="20.29"/>
    <col collapsed="false" customWidth="true" hidden="false" outlineLevel="0" max="14" min="14" style="36" width="15.29"/>
    <col collapsed="false" customWidth="true" hidden="false" outlineLevel="0" max="15" min="15" style="401" width="21.29"/>
    <col collapsed="false" customWidth="true" hidden="false" outlineLevel="0" max="16" min="16" style="401" width="7.86"/>
    <col collapsed="false" customWidth="true" hidden="false" outlineLevel="0" max="17" min="17" style="401" width="16.43"/>
    <col collapsed="false" customWidth="true" hidden="false" outlineLevel="0" max="18" min="18" style="402" width="21.43"/>
    <col collapsed="false" customWidth="true" hidden="false" outlineLevel="0" max="19" min="19" style="402" width="16.71"/>
    <col collapsed="false" customWidth="true" hidden="false" outlineLevel="0" max="20" min="20" style="402" width="14.57"/>
    <col collapsed="false" customWidth="true" hidden="false" outlineLevel="0" max="21" min="21" style="402" width="6.57"/>
    <col collapsed="false" customWidth="true" hidden="false" outlineLevel="0" max="22" min="22" style="259" width="13.42"/>
    <col collapsed="false" customWidth="true" hidden="false" outlineLevel="0" max="23" min="23" style="259" width="12.86"/>
    <col collapsed="false" customWidth="true" hidden="false" outlineLevel="0" max="24" min="24" style="259" width="12.42"/>
    <col collapsed="false" customWidth="true" hidden="false" outlineLevel="0" max="25" min="25" style="259" width="14.42"/>
    <col collapsed="false" customWidth="true" hidden="false" outlineLevel="0" max="26" min="26" style="259" width="9.86"/>
    <col collapsed="false" customWidth="true" hidden="false" outlineLevel="0" max="27" min="27" style="259" width="17.15"/>
    <col collapsed="false" customWidth="true" hidden="false" outlineLevel="0" max="29" min="28" style="259" width="4.71"/>
    <col collapsed="false" customWidth="true" hidden="false" outlineLevel="0" max="30" min="30" style="259" width="16.71"/>
    <col collapsed="false" customWidth="true" hidden="false" outlineLevel="0" max="31" min="31" style="259" width="11"/>
    <col collapsed="false" customWidth="false" hidden="false" outlineLevel="0" max="16384" min="32" style="259" width="11.43"/>
  </cols>
  <sheetData>
    <row r="1" s="406" customFormat="true" ht="52.5" hidden="false" customHeight="true" outlineLevel="0" collapsed="false">
      <c r="A1" s="403"/>
      <c r="B1" s="188" t="s">
        <v>246</v>
      </c>
      <c r="C1" s="188"/>
      <c r="D1" s="404" t="s">
        <v>447</v>
      </c>
      <c r="E1" s="404"/>
      <c r="F1" s="404"/>
      <c r="G1" s="404"/>
      <c r="H1" s="404"/>
      <c r="I1" s="404"/>
      <c r="J1" s="404"/>
      <c r="K1" s="404"/>
      <c r="L1" s="404"/>
      <c r="M1" s="405" t="s">
        <v>176</v>
      </c>
      <c r="N1" s="484"/>
      <c r="O1" s="485"/>
      <c r="P1" s="485"/>
      <c r="Q1" s="402"/>
      <c r="V1" s="259"/>
      <c r="W1" s="259"/>
      <c r="X1" s="259"/>
      <c r="Y1" s="259"/>
      <c r="Z1" s="259"/>
      <c r="AA1" s="259"/>
      <c r="AB1" s="259"/>
      <c r="AC1" s="259"/>
      <c r="AD1" s="259"/>
      <c r="AE1" s="259"/>
      <c r="AF1" s="259"/>
      <c r="AG1" s="259"/>
      <c r="AH1" s="259"/>
      <c r="AI1" s="259"/>
      <c r="AJ1" s="259"/>
      <c r="AK1" s="259"/>
      <c r="AL1" s="259"/>
      <c r="AM1" s="259"/>
      <c r="AN1" s="259"/>
      <c r="AO1" s="259"/>
      <c r="AP1" s="259"/>
      <c r="AQ1" s="259"/>
      <c r="AR1" s="259"/>
      <c r="AS1" s="259"/>
      <c r="AT1" s="259"/>
      <c r="AU1" s="259"/>
      <c r="AV1" s="259"/>
      <c r="AW1" s="259"/>
      <c r="AX1" s="259"/>
      <c r="AY1" s="259"/>
      <c r="AZ1" s="259"/>
      <c r="BA1" s="259"/>
      <c r="BB1" s="259"/>
      <c r="BC1" s="259"/>
      <c r="BD1" s="259"/>
      <c r="BE1" s="259"/>
      <c r="BF1" s="259"/>
      <c r="BG1" s="259"/>
      <c r="BH1" s="259"/>
      <c r="BI1" s="259"/>
      <c r="BJ1" s="259"/>
      <c r="BK1" s="259"/>
      <c r="BL1" s="259"/>
      <c r="BM1" s="259"/>
      <c r="BN1" s="259"/>
      <c r="BO1" s="259"/>
      <c r="BP1" s="259"/>
      <c r="BQ1" s="259"/>
      <c r="BR1" s="259"/>
      <c r="BS1" s="259"/>
      <c r="BT1" s="259"/>
      <c r="BU1" s="259"/>
      <c r="BV1" s="259"/>
      <c r="BW1" s="259"/>
      <c r="BX1" s="259"/>
      <c r="BY1" s="259"/>
      <c r="BZ1" s="259"/>
      <c r="CA1" s="259"/>
      <c r="CB1" s="259"/>
      <c r="CC1" s="259"/>
      <c r="CD1" s="259"/>
      <c r="CE1" s="259"/>
      <c r="CF1" s="259"/>
      <c r="CG1" s="259"/>
      <c r="CH1" s="259"/>
      <c r="CI1" s="259"/>
      <c r="CJ1" s="259"/>
      <c r="CK1" s="259"/>
      <c r="CL1" s="259"/>
      <c r="CM1" s="259"/>
      <c r="CN1" s="259"/>
      <c r="CO1" s="259"/>
      <c r="CP1" s="259"/>
      <c r="CQ1" s="259"/>
      <c r="CR1" s="259"/>
      <c r="CS1" s="259"/>
      <c r="CT1" s="259"/>
      <c r="CU1" s="259"/>
      <c r="CV1" s="259"/>
      <c r="CW1" s="259"/>
      <c r="CX1" s="259"/>
      <c r="CY1" s="259"/>
      <c r="CZ1" s="259"/>
      <c r="DA1" s="259"/>
      <c r="DB1" s="259"/>
      <c r="DC1" s="259"/>
      <c r="DD1" s="259"/>
      <c r="DE1" s="259"/>
      <c r="DF1" s="259"/>
      <c r="DG1" s="259"/>
      <c r="DH1" s="259"/>
      <c r="DI1" s="259"/>
      <c r="DJ1" s="259"/>
      <c r="DK1" s="259"/>
      <c r="DL1" s="259"/>
      <c r="DM1" s="259"/>
      <c r="DN1" s="259"/>
      <c r="DO1" s="259"/>
      <c r="DP1" s="259"/>
      <c r="DQ1" s="259"/>
      <c r="DR1" s="259"/>
      <c r="DS1" s="259"/>
      <c r="DT1" s="259"/>
      <c r="DU1" s="259"/>
      <c r="DV1" s="259"/>
      <c r="DW1" s="259"/>
      <c r="DX1" s="259"/>
      <c r="DY1" s="259"/>
      <c r="DZ1" s="259"/>
      <c r="EA1" s="259"/>
      <c r="EB1" s="259"/>
      <c r="EC1" s="259"/>
      <c r="ED1" s="259"/>
      <c r="EE1" s="259"/>
      <c r="EF1" s="259"/>
      <c r="EG1" s="259"/>
      <c r="EH1" s="259"/>
      <c r="EI1" s="259"/>
      <c r="EJ1" s="259"/>
      <c r="EK1" s="259"/>
      <c r="EL1" s="259"/>
      <c r="EM1" s="259"/>
      <c r="EN1" s="259"/>
      <c r="EO1" s="259"/>
      <c r="EP1" s="259"/>
      <c r="EQ1" s="259"/>
      <c r="ER1" s="259"/>
      <c r="ES1" s="259"/>
      <c r="ET1" s="259"/>
      <c r="EU1" s="259"/>
      <c r="EV1" s="259"/>
      <c r="EW1" s="259"/>
      <c r="EX1" s="259"/>
      <c r="EY1" s="259"/>
      <c r="EZ1" s="259"/>
      <c r="FA1" s="259"/>
      <c r="FB1" s="259"/>
      <c r="FC1" s="259"/>
      <c r="FD1" s="259"/>
      <c r="FE1" s="259"/>
      <c r="FF1" s="259"/>
      <c r="FG1" s="259"/>
      <c r="FH1" s="259"/>
      <c r="FI1" s="259"/>
      <c r="FJ1" s="259"/>
      <c r="FK1" s="259"/>
      <c r="FL1" s="259"/>
      <c r="FM1" s="259"/>
      <c r="FN1" s="259"/>
      <c r="FO1" s="259"/>
    </row>
    <row r="2" s="406" customFormat="true" ht="64.5" hidden="false" customHeight="true" outlineLevel="0" collapsed="false">
      <c r="A2" s="315"/>
      <c r="B2" s="315"/>
      <c r="C2" s="315"/>
      <c r="D2" s="315"/>
      <c r="E2" s="407" t="s">
        <v>412</v>
      </c>
      <c r="F2" s="407"/>
      <c r="G2" s="407"/>
      <c r="H2" s="486" t="s">
        <v>448</v>
      </c>
      <c r="I2" s="486"/>
      <c r="J2" s="486"/>
      <c r="K2" s="315"/>
      <c r="L2" s="315"/>
      <c r="M2" s="315"/>
      <c r="N2" s="315"/>
      <c r="O2" s="315"/>
      <c r="P2" s="315"/>
      <c r="Q2" s="315"/>
      <c r="R2" s="315"/>
      <c r="S2" s="315"/>
      <c r="V2" s="259"/>
      <c r="W2" s="259"/>
      <c r="X2" s="259"/>
      <c r="Y2" s="259"/>
      <c r="Z2" s="259"/>
      <c r="AA2" s="259"/>
      <c r="AB2" s="259"/>
      <c r="AC2" s="259"/>
      <c r="AD2" s="259"/>
      <c r="AE2" s="259"/>
      <c r="AF2" s="259"/>
      <c r="AG2" s="259"/>
      <c r="AH2" s="259"/>
      <c r="AI2" s="259"/>
      <c r="AJ2" s="259"/>
      <c r="AK2" s="259"/>
      <c r="AL2" s="259"/>
      <c r="AM2" s="259"/>
      <c r="AN2" s="259"/>
      <c r="AO2" s="259"/>
      <c r="AP2" s="259"/>
      <c r="AQ2" s="259"/>
      <c r="AR2" s="259"/>
      <c r="AS2" s="259"/>
      <c r="AT2" s="259"/>
      <c r="AU2" s="259"/>
      <c r="AV2" s="259"/>
      <c r="AW2" s="259"/>
      <c r="AX2" s="259"/>
      <c r="AY2" s="259"/>
      <c r="AZ2" s="259"/>
      <c r="BA2" s="259"/>
      <c r="BB2" s="259"/>
      <c r="BC2" s="259"/>
      <c r="BD2" s="259"/>
      <c r="BE2" s="259"/>
      <c r="BF2" s="259"/>
      <c r="BG2" s="259"/>
      <c r="BH2" s="259"/>
      <c r="BI2" s="259"/>
      <c r="BJ2" s="259"/>
      <c r="BK2" s="259"/>
      <c r="BL2" s="259"/>
      <c r="BM2" s="259"/>
      <c r="BN2" s="259"/>
      <c r="BO2" s="259"/>
      <c r="BP2" s="259"/>
      <c r="BQ2" s="259"/>
      <c r="BR2" s="259"/>
      <c r="BS2" s="259"/>
      <c r="BT2" s="259"/>
      <c r="BU2" s="259"/>
      <c r="BV2" s="259"/>
      <c r="BW2" s="259"/>
      <c r="BX2" s="259"/>
      <c r="BY2" s="259"/>
      <c r="BZ2" s="259"/>
      <c r="CA2" s="259"/>
      <c r="CB2" s="259"/>
      <c r="CC2" s="259"/>
      <c r="CD2" s="259"/>
      <c r="CE2" s="259"/>
      <c r="CF2" s="259"/>
      <c r="CG2" s="259"/>
      <c r="CH2" s="259"/>
      <c r="CI2" s="259"/>
      <c r="CJ2" s="259"/>
      <c r="CK2" s="259"/>
      <c r="CL2" s="259"/>
      <c r="CM2" s="259"/>
      <c r="CN2" s="259"/>
      <c r="CO2" s="259"/>
      <c r="CP2" s="259"/>
      <c r="CQ2" s="259"/>
      <c r="CR2" s="259"/>
      <c r="CS2" s="259"/>
      <c r="CT2" s="259"/>
      <c r="CU2" s="259"/>
      <c r="CV2" s="259"/>
      <c r="CW2" s="259"/>
      <c r="CX2" s="259"/>
      <c r="CY2" s="259"/>
      <c r="CZ2" s="259"/>
      <c r="DA2" s="259"/>
      <c r="DB2" s="259"/>
      <c r="DC2" s="259"/>
      <c r="DD2" s="259"/>
      <c r="DE2" s="259"/>
      <c r="DF2" s="259"/>
      <c r="DG2" s="259"/>
      <c r="DH2" s="259"/>
      <c r="DI2" s="259"/>
      <c r="DJ2" s="259"/>
      <c r="DK2" s="259"/>
      <c r="DL2" s="259"/>
      <c r="DM2" s="259"/>
      <c r="DN2" s="259"/>
      <c r="DO2" s="259"/>
      <c r="DP2" s="259"/>
      <c r="DQ2" s="259"/>
      <c r="DR2" s="259"/>
      <c r="DS2" s="259"/>
      <c r="DT2" s="259"/>
      <c r="DU2" s="259"/>
      <c r="DV2" s="259"/>
      <c r="DW2" s="259"/>
      <c r="DX2" s="259"/>
      <c r="DY2" s="259"/>
      <c r="DZ2" s="259"/>
      <c r="EA2" s="259"/>
      <c r="EB2" s="259"/>
      <c r="EC2" s="259"/>
      <c r="ED2" s="259"/>
      <c r="EE2" s="259"/>
      <c r="EF2" s="259"/>
      <c r="EG2" s="259"/>
      <c r="EH2" s="259"/>
      <c r="EI2" s="259"/>
      <c r="EJ2" s="259"/>
      <c r="EK2" s="259"/>
      <c r="EL2" s="259"/>
      <c r="EM2" s="259"/>
      <c r="EN2" s="259"/>
      <c r="EO2" s="259"/>
      <c r="EP2" s="259"/>
      <c r="EQ2" s="259"/>
      <c r="ER2" s="259"/>
      <c r="ES2" s="259"/>
      <c r="ET2" s="259"/>
      <c r="EU2" s="259"/>
      <c r="EV2" s="259"/>
      <c r="EW2" s="259"/>
      <c r="EX2" s="259"/>
      <c r="EY2" s="259"/>
      <c r="EZ2" s="259"/>
      <c r="FA2" s="259"/>
      <c r="FB2" s="259"/>
      <c r="FC2" s="259"/>
      <c r="FD2" s="259"/>
      <c r="FE2" s="259"/>
      <c r="FF2" s="259"/>
      <c r="FG2" s="259"/>
      <c r="FH2" s="259"/>
      <c r="FI2" s="259"/>
      <c r="FJ2" s="259"/>
      <c r="FK2" s="259"/>
      <c r="FL2" s="259"/>
      <c r="FM2" s="259"/>
      <c r="FN2" s="259"/>
      <c r="FO2" s="259"/>
    </row>
    <row r="3" customFormat="false" ht="26.25" hidden="false" customHeight="true" outlineLevel="0" collapsed="false">
      <c r="A3" s="439" t="s">
        <v>315</v>
      </c>
      <c r="B3" s="439" t="s">
        <v>17</v>
      </c>
      <c r="C3" s="439" t="s">
        <v>317</v>
      </c>
      <c r="D3" s="472" t="s">
        <v>318</v>
      </c>
      <c r="E3" s="487" t="s">
        <v>449</v>
      </c>
      <c r="F3" s="473" t="s">
        <v>450</v>
      </c>
      <c r="G3" s="488" t="s">
        <v>451</v>
      </c>
      <c r="H3" s="488" t="s">
        <v>452</v>
      </c>
      <c r="I3" s="488" t="s">
        <v>453</v>
      </c>
      <c r="J3" s="489" t="s">
        <v>454</v>
      </c>
      <c r="K3" s="490" t="s">
        <v>131</v>
      </c>
      <c r="L3" s="490"/>
      <c r="M3" s="416" t="s">
        <v>132</v>
      </c>
      <c r="N3" s="416" t="s">
        <v>362</v>
      </c>
      <c r="O3" s="416"/>
      <c r="P3" s="416"/>
      <c r="Q3" s="259"/>
      <c r="R3" s="259"/>
    </row>
    <row r="4" customFormat="false" ht="120" hidden="false" customHeight="true" outlineLevel="0" collapsed="false">
      <c r="A4" s="439"/>
      <c r="B4" s="439"/>
      <c r="C4" s="439"/>
      <c r="D4" s="472"/>
      <c r="E4" s="487"/>
      <c r="F4" s="473"/>
      <c r="G4" s="488"/>
      <c r="H4" s="488"/>
      <c r="I4" s="488"/>
      <c r="J4" s="489"/>
      <c r="K4" s="490"/>
      <c r="L4" s="490"/>
      <c r="M4" s="416"/>
      <c r="N4" s="416"/>
      <c r="O4" s="416"/>
      <c r="P4" s="416"/>
      <c r="Q4" s="259"/>
      <c r="R4" s="259"/>
    </row>
    <row r="5" customFormat="false" ht="27" hidden="false" customHeight="true" outlineLevel="0" collapsed="false">
      <c r="A5" s="418" t="str">
        <f aca="false">'Listado CAPS'!A3</f>
        <v>Madriz</v>
      </c>
      <c r="B5" s="418" t="str">
        <f aca="false">'Listado CAPS'!B3</f>
        <v>Yalaguina</v>
      </c>
      <c r="C5" s="418" t="str">
        <f aca="false">'Listado CAPS'!C3</f>
        <v>Los Encuentros</v>
      </c>
      <c r="D5" s="418" t="str">
        <f aca="false">'Listado CAPS'!D3</f>
        <v>Los Encuentros</v>
      </c>
      <c r="E5" s="479" t="n">
        <v>1</v>
      </c>
      <c r="F5" s="479" t="n">
        <v>1</v>
      </c>
      <c r="G5" s="479" t="n">
        <v>1</v>
      </c>
      <c r="H5" s="479" t="n">
        <v>1</v>
      </c>
      <c r="I5" s="479" t="n">
        <v>1</v>
      </c>
      <c r="J5" s="479" t="n">
        <v>1</v>
      </c>
      <c r="K5" s="491"/>
      <c r="L5" s="491"/>
      <c r="M5" s="457"/>
      <c r="N5" s="448"/>
      <c r="O5" s="448"/>
      <c r="P5" s="448"/>
      <c r="Q5" s="259"/>
      <c r="R5" s="259"/>
    </row>
    <row r="6" customFormat="false" ht="22.5" hidden="false" customHeight="true" outlineLevel="0" collapsed="false">
      <c r="A6" s="418" t="n">
        <f aca="false">'Listado CAPS'!A4</f>
        <v>0</v>
      </c>
      <c r="B6" s="418" t="n">
        <f aca="false">'Listado CAPS'!B4</f>
        <v>0</v>
      </c>
      <c r="C6" s="418" t="n">
        <f aca="false">'Listado CAPS'!C4</f>
        <v>0</v>
      </c>
      <c r="D6" s="418" t="str">
        <f aca="false">'Listado CAPS'!D4</f>
        <v>B</v>
      </c>
      <c r="E6" s="479"/>
      <c r="F6" s="479"/>
      <c r="G6" s="479"/>
      <c r="H6" s="479"/>
      <c r="I6" s="479"/>
      <c r="J6" s="479"/>
      <c r="K6" s="492"/>
      <c r="L6" s="492"/>
      <c r="M6" s="492"/>
      <c r="N6" s="448"/>
      <c r="O6" s="448"/>
      <c r="P6" s="448"/>
      <c r="Q6" s="259"/>
      <c r="R6" s="259"/>
    </row>
    <row r="7" customFormat="false" ht="22.5" hidden="false" customHeight="true" outlineLevel="0" collapsed="false">
      <c r="A7" s="418" t="n">
        <f aca="false">'Listado CAPS'!A5</f>
        <v>0</v>
      </c>
      <c r="B7" s="418" t="n">
        <f aca="false">'Listado CAPS'!B5</f>
        <v>0</v>
      </c>
      <c r="C7" s="418" t="n">
        <f aca="false">'Listado CAPS'!C5</f>
        <v>0</v>
      </c>
      <c r="D7" s="418" t="str">
        <f aca="false">'Listado CAPS'!D5</f>
        <v>C</v>
      </c>
      <c r="E7" s="479"/>
      <c r="F7" s="479"/>
      <c r="G7" s="479"/>
      <c r="H7" s="479"/>
      <c r="I7" s="479"/>
      <c r="J7" s="479"/>
      <c r="K7" s="492"/>
      <c r="L7" s="492"/>
      <c r="M7" s="492"/>
      <c r="N7" s="448"/>
      <c r="O7" s="448"/>
      <c r="P7" s="448"/>
      <c r="Q7" s="259"/>
      <c r="R7" s="259"/>
    </row>
    <row r="8" customFormat="false" ht="22.5" hidden="false" customHeight="true" outlineLevel="0" collapsed="false">
      <c r="A8" s="418" t="n">
        <f aca="false">'Listado CAPS'!A6</f>
        <v>0</v>
      </c>
      <c r="B8" s="418" t="n">
        <f aca="false">'Listado CAPS'!B6</f>
        <v>0</v>
      </c>
      <c r="C8" s="418" t="n">
        <f aca="false">'Listado CAPS'!C6</f>
        <v>0</v>
      </c>
      <c r="D8" s="418" t="str">
        <f aca="false">'Listado CAPS'!D6</f>
        <v>D</v>
      </c>
      <c r="E8" s="479"/>
      <c r="F8" s="479"/>
      <c r="G8" s="479"/>
      <c r="H8" s="479"/>
      <c r="I8" s="479"/>
      <c r="J8" s="479"/>
      <c r="K8" s="492"/>
      <c r="L8" s="492"/>
      <c r="M8" s="492"/>
      <c r="N8" s="448"/>
      <c r="O8" s="448"/>
      <c r="P8" s="448"/>
      <c r="Q8" s="259"/>
      <c r="R8" s="259"/>
    </row>
    <row r="9" customFormat="false" ht="22.5" hidden="false" customHeight="true" outlineLevel="0" collapsed="false">
      <c r="A9" s="418" t="n">
        <f aca="false">'Listado CAPS'!A7</f>
        <v>0</v>
      </c>
      <c r="B9" s="418" t="n">
        <f aca="false">'Listado CAPS'!B7</f>
        <v>0</v>
      </c>
      <c r="C9" s="418" t="n">
        <f aca="false">'Listado CAPS'!C7</f>
        <v>0</v>
      </c>
      <c r="D9" s="418" t="str">
        <f aca="false">'Listado CAPS'!D7</f>
        <v>E</v>
      </c>
      <c r="E9" s="479"/>
      <c r="F9" s="479"/>
      <c r="G9" s="479"/>
      <c r="H9" s="479"/>
      <c r="I9" s="479"/>
      <c r="J9" s="479"/>
      <c r="K9" s="492"/>
      <c r="L9" s="492"/>
      <c r="M9" s="492"/>
      <c r="N9" s="448"/>
      <c r="O9" s="448"/>
      <c r="P9" s="448"/>
      <c r="Q9" s="259"/>
      <c r="R9" s="259"/>
    </row>
    <row r="10" customFormat="false" ht="22.5" hidden="false" customHeight="true" outlineLevel="0" collapsed="false">
      <c r="A10" s="418" t="n">
        <f aca="false">'Listado CAPS'!A8</f>
        <v>0</v>
      </c>
      <c r="B10" s="418" t="n">
        <f aca="false">'Listado CAPS'!B8</f>
        <v>0</v>
      </c>
      <c r="C10" s="418" t="n">
        <f aca="false">'Listado CAPS'!C8</f>
        <v>0</v>
      </c>
      <c r="D10" s="418" t="str">
        <f aca="false">'Listado CAPS'!D8</f>
        <v>F</v>
      </c>
      <c r="E10" s="479"/>
      <c r="F10" s="479"/>
      <c r="G10" s="479"/>
      <c r="H10" s="479"/>
      <c r="I10" s="479"/>
      <c r="J10" s="479"/>
      <c r="K10" s="492"/>
      <c r="L10" s="492"/>
      <c r="M10" s="492"/>
      <c r="N10" s="448"/>
      <c r="O10" s="448"/>
      <c r="P10" s="448"/>
      <c r="Q10" s="259"/>
      <c r="R10" s="259"/>
    </row>
    <row r="11" customFormat="false" ht="22.5" hidden="false" customHeight="true" outlineLevel="0" collapsed="false">
      <c r="A11" s="418" t="n">
        <f aca="false">'Listado CAPS'!A9</f>
        <v>0</v>
      </c>
      <c r="B11" s="418" t="n">
        <f aca="false">'Listado CAPS'!B9</f>
        <v>0</v>
      </c>
      <c r="C11" s="418" t="n">
        <f aca="false">'Listado CAPS'!C9</f>
        <v>0</v>
      </c>
      <c r="D11" s="418" t="str">
        <f aca="false">'Listado CAPS'!D9</f>
        <v>G</v>
      </c>
      <c r="E11" s="479"/>
      <c r="F11" s="479"/>
      <c r="G11" s="479"/>
      <c r="H11" s="479"/>
      <c r="I11" s="479"/>
      <c r="J11" s="479"/>
      <c r="K11" s="492"/>
      <c r="L11" s="492"/>
      <c r="M11" s="492"/>
      <c r="N11" s="448"/>
      <c r="O11" s="448"/>
      <c r="P11" s="448"/>
      <c r="Q11" s="259"/>
      <c r="R11" s="259"/>
    </row>
    <row r="12" customFormat="false" ht="22.5" hidden="false" customHeight="true" outlineLevel="0" collapsed="false">
      <c r="A12" s="418" t="n">
        <f aca="false">'Listado CAPS'!A10</f>
        <v>0</v>
      </c>
      <c r="B12" s="418" t="n">
        <f aca="false">'Listado CAPS'!B10</f>
        <v>0</v>
      </c>
      <c r="C12" s="418" t="n">
        <f aca="false">'Listado CAPS'!C10</f>
        <v>0</v>
      </c>
      <c r="D12" s="418" t="str">
        <f aca="false">'Listado CAPS'!D10</f>
        <v>H</v>
      </c>
      <c r="E12" s="479"/>
      <c r="F12" s="479"/>
      <c r="G12" s="479"/>
      <c r="H12" s="479"/>
      <c r="I12" s="479"/>
      <c r="J12" s="479"/>
      <c r="K12" s="492"/>
      <c r="L12" s="492"/>
      <c r="M12" s="492"/>
      <c r="N12" s="448"/>
      <c r="O12" s="448"/>
      <c r="P12" s="448"/>
      <c r="Q12" s="259"/>
      <c r="R12" s="259"/>
    </row>
    <row r="13" customFormat="false" ht="22.5" hidden="false" customHeight="true" outlineLevel="0" collapsed="false">
      <c r="A13" s="418" t="n">
        <f aca="false">'Listado CAPS'!A11</f>
        <v>0</v>
      </c>
      <c r="B13" s="418" t="n">
        <f aca="false">'Listado CAPS'!B11</f>
        <v>0</v>
      </c>
      <c r="C13" s="418" t="n">
        <f aca="false">'Listado CAPS'!C11</f>
        <v>0</v>
      </c>
      <c r="D13" s="418" t="str">
        <f aca="false">'Listado CAPS'!D11</f>
        <v>I</v>
      </c>
      <c r="E13" s="479"/>
      <c r="F13" s="479"/>
      <c r="G13" s="479"/>
      <c r="H13" s="479"/>
      <c r="I13" s="479"/>
      <c r="J13" s="479"/>
      <c r="K13" s="492"/>
      <c r="L13" s="492"/>
      <c r="M13" s="492"/>
      <c r="N13" s="448"/>
      <c r="O13" s="448"/>
      <c r="P13" s="448"/>
      <c r="Q13" s="259"/>
      <c r="R13" s="259"/>
    </row>
    <row r="14" customFormat="false" ht="22.5" hidden="false" customHeight="true" outlineLevel="0" collapsed="false">
      <c r="A14" s="418" t="n">
        <f aca="false">'Listado CAPS'!A12</f>
        <v>0</v>
      </c>
      <c r="B14" s="418" t="n">
        <f aca="false">'Listado CAPS'!B12</f>
        <v>0</v>
      </c>
      <c r="C14" s="418" t="n">
        <f aca="false">'Listado CAPS'!C12</f>
        <v>0</v>
      </c>
      <c r="D14" s="418" t="str">
        <f aca="false">'Listado CAPS'!D12</f>
        <v>J</v>
      </c>
      <c r="E14" s="274"/>
      <c r="F14" s="274"/>
      <c r="G14" s="274"/>
      <c r="H14" s="493"/>
      <c r="I14" s="493"/>
      <c r="J14" s="493"/>
      <c r="K14" s="491"/>
      <c r="L14" s="491"/>
      <c r="M14" s="457"/>
      <c r="N14" s="448"/>
      <c r="O14" s="448"/>
      <c r="P14" s="448"/>
      <c r="Q14" s="259"/>
      <c r="R14" s="259"/>
    </row>
    <row r="15" s="428" customFormat="true" ht="22.5" hidden="false" customHeight="true" outlineLevel="0" collapsed="false">
      <c r="A15" s="418" t="n">
        <f aca="false">'Listado CAPS'!A13</f>
        <v>0</v>
      </c>
      <c r="B15" s="418" t="n">
        <f aca="false">'Listado CAPS'!B13</f>
        <v>0</v>
      </c>
      <c r="C15" s="418" t="n">
        <f aca="false">'Listado CAPS'!C13</f>
        <v>0</v>
      </c>
      <c r="D15" s="418" t="str">
        <f aca="false">'Listado CAPS'!D13</f>
        <v>K</v>
      </c>
      <c r="E15" s="274"/>
      <c r="F15" s="274"/>
      <c r="G15" s="274"/>
      <c r="H15" s="493"/>
      <c r="I15" s="493"/>
      <c r="J15" s="493"/>
      <c r="K15" s="491"/>
      <c r="L15" s="491"/>
      <c r="M15" s="457"/>
      <c r="N15" s="448"/>
      <c r="O15" s="448"/>
      <c r="P15" s="448"/>
      <c r="S15" s="402"/>
      <c r="T15" s="259"/>
      <c r="U15" s="259"/>
      <c r="V15" s="259"/>
      <c r="W15" s="259"/>
      <c r="X15" s="259"/>
      <c r="Y15" s="259"/>
      <c r="Z15" s="259"/>
      <c r="AA15" s="259"/>
      <c r="AB15" s="259"/>
      <c r="AC15" s="259"/>
      <c r="AD15" s="259"/>
      <c r="AE15" s="259"/>
      <c r="AF15" s="259"/>
      <c r="AG15" s="259"/>
      <c r="AH15" s="259"/>
      <c r="AI15" s="259"/>
      <c r="AJ15" s="259"/>
      <c r="AK15" s="259"/>
      <c r="AL15" s="259"/>
      <c r="AM15" s="259"/>
      <c r="AN15" s="259"/>
      <c r="AO15" s="259"/>
      <c r="AP15" s="259"/>
      <c r="AQ15" s="259"/>
      <c r="AR15" s="259"/>
      <c r="AS15" s="259"/>
      <c r="AT15" s="259"/>
      <c r="AU15" s="259"/>
      <c r="AV15" s="259"/>
      <c r="AW15" s="259"/>
      <c r="AX15" s="259"/>
      <c r="AY15" s="259"/>
      <c r="AZ15" s="259"/>
      <c r="BA15" s="259"/>
      <c r="BB15" s="259"/>
      <c r="BC15" s="259"/>
      <c r="BD15" s="259"/>
      <c r="BE15" s="259"/>
      <c r="BF15" s="259"/>
      <c r="BG15" s="259"/>
      <c r="BH15" s="259"/>
      <c r="BI15" s="259"/>
      <c r="BJ15" s="259"/>
      <c r="BK15" s="259"/>
      <c r="BL15" s="259"/>
      <c r="BM15" s="259"/>
      <c r="BN15" s="259"/>
      <c r="BO15" s="259"/>
      <c r="BP15" s="259"/>
      <c r="BQ15" s="259"/>
      <c r="BR15" s="259"/>
      <c r="BS15" s="259"/>
      <c r="BT15" s="259"/>
      <c r="BU15" s="259"/>
      <c r="BV15" s="259"/>
      <c r="BW15" s="259"/>
      <c r="BX15" s="259"/>
      <c r="BY15" s="259"/>
      <c r="BZ15" s="259"/>
      <c r="CA15" s="259"/>
      <c r="CB15" s="259"/>
      <c r="CC15" s="259"/>
      <c r="CD15" s="259"/>
      <c r="CE15" s="259"/>
      <c r="CF15" s="259"/>
      <c r="CG15" s="259"/>
      <c r="CH15" s="259"/>
      <c r="CI15" s="259"/>
      <c r="CJ15" s="259"/>
      <c r="CK15" s="259"/>
      <c r="CL15" s="259"/>
      <c r="CM15" s="259"/>
      <c r="CN15" s="259"/>
      <c r="CO15" s="259"/>
      <c r="CP15" s="259"/>
      <c r="CQ15" s="259"/>
      <c r="CR15" s="259"/>
      <c r="CS15" s="259"/>
      <c r="CT15" s="259"/>
      <c r="CU15" s="259"/>
      <c r="CV15" s="259"/>
      <c r="CW15" s="259"/>
      <c r="CX15" s="259"/>
      <c r="CY15" s="259"/>
      <c r="CZ15" s="259"/>
      <c r="DA15" s="259"/>
      <c r="DB15" s="259"/>
      <c r="DC15" s="259"/>
      <c r="DD15" s="259"/>
      <c r="DE15" s="259"/>
      <c r="DF15" s="259"/>
      <c r="DG15" s="259"/>
      <c r="DH15" s="259"/>
      <c r="DI15" s="259"/>
      <c r="DJ15" s="259"/>
      <c r="DK15" s="259"/>
      <c r="DL15" s="259"/>
      <c r="DM15" s="259"/>
      <c r="DN15" s="259"/>
      <c r="DO15" s="259"/>
      <c r="DP15" s="259"/>
      <c r="DQ15" s="259"/>
      <c r="DR15" s="259"/>
      <c r="DS15" s="259"/>
      <c r="DT15" s="259"/>
      <c r="DU15" s="259"/>
      <c r="DV15" s="259"/>
      <c r="DW15" s="259"/>
      <c r="DX15" s="259"/>
      <c r="DY15" s="259"/>
      <c r="DZ15" s="259"/>
      <c r="EA15" s="259"/>
      <c r="EB15" s="259"/>
      <c r="EC15" s="259"/>
      <c r="ED15" s="259"/>
      <c r="EE15" s="259"/>
      <c r="EF15" s="259"/>
      <c r="EG15" s="259"/>
      <c r="EH15" s="259"/>
      <c r="EI15" s="259"/>
      <c r="EJ15" s="259"/>
      <c r="EK15" s="259"/>
      <c r="EL15" s="259"/>
      <c r="EM15" s="259"/>
      <c r="EN15" s="259"/>
      <c r="EO15" s="259"/>
      <c r="EP15" s="259"/>
      <c r="EQ15" s="259"/>
      <c r="ER15" s="259"/>
      <c r="ES15" s="259"/>
      <c r="ET15" s="259"/>
      <c r="EU15" s="259"/>
      <c r="EV15" s="259"/>
      <c r="EW15" s="259"/>
      <c r="EX15" s="259"/>
      <c r="EY15" s="259"/>
      <c r="EZ15" s="259"/>
      <c r="FA15" s="259"/>
      <c r="FB15" s="259"/>
      <c r="FC15" s="259"/>
      <c r="FD15" s="259"/>
      <c r="FE15" s="259"/>
      <c r="FF15" s="259"/>
      <c r="FG15" s="259"/>
      <c r="FH15" s="259"/>
      <c r="FI15" s="259"/>
      <c r="FJ15" s="259"/>
      <c r="FK15" s="259"/>
      <c r="FL15" s="259"/>
      <c r="FM15" s="259"/>
      <c r="FN15" s="259"/>
      <c r="FO15" s="259"/>
    </row>
    <row r="16" s="428" customFormat="true" ht="22.5" hidden="false" customHeight="true" outlineLevel="0" collapsed="false">
      <c r="A16" s="418" t="n">
        <f aca="false">'Listado CAPS'!A14</f>
        <v>0</v>
      </c>
      <c r="B16" s="418" t="n">
        <f aca="false">'Listado CAPS'!B14</f>
        <v>0</v>
      </c>
      <c r="C16" s="418" t="n">
        <f aca="false">'Listado CAPS'!C14</f>
        <v>0</v>
      </c>
      <c r="D16" s="418" t="str">
        <f aca="false">'Listado CAPS'!D14</f>
        <v>L</v>
      </c>
      <c r="E16" s="274"/>
      <c r="F16" s="274"/>
      <c r="G16" s="274"/>
      <c r="H16" s="493"/>
      <c r="I16" s="493"/>
      <c r="J16" s="493"/>
      <c r="K16" s="491"/>
      <c r="L16" s="491"/>
      <c r="M16" s="457"/>
      <c r="N16" s="448"/>
      <c r="O16" s="448"/>
      <c r="P16" s="448"/>
      <c r="S16" s="402"/>
      <c r="T16" s="259"/>
      <c r="U16" s="259"/>
      <c r="V16" s="259"/>
      <c r="W16" s="259"/>
      <c r="X16" s="259"/>
      <c r="Y16" s="259"/>
      <c r="Z16" s="259"/>
      <c r="AA16" s="259"/>
      <c r="AB16" s="259"/>
      <c r="AC16" s="259"/>
      <c r="AD16" s="259"/>
      <c r="AE16" s="259"/>
      <c r="AF16" s="259"/>
      <c r="AG16" s="259"/>
      <c r="AH16" s="259"/>
      <c r="AI16" s="259"/>
      <c r="AJ16" s="259"/>
      <c r="AK16" s="259"/>
      <c r="AL16" s="259"/>
      <c r="AM16" s="259"/>
      <c r="AN16" s="259"/>
      <c r="AO16" s="259"/>
      <c r="AP16" s="259"/>
      <c r="AQ16" s="259"/>
      <c r="AR16" s="259"/>
      <c r="AS16" s="259"/>
      <c r="AT16" s="259"/>
      <c r="AU16" s="259"/>
      <c r="AV16" s="259"/>
      <c r="AW16" s="259"/>
      <c r="AX16" s="259"/>
      <c r="AY16" s="259"/>
      <c r="AZ16" s="259"/>
      <c r="BA16" s="259"/>
      <c r="BB16" s="259"/>
      <c r="BC16" s="259"/>
      <c r="BD16" s="259"/>
      <c r="BE16" s="259"/>
      <c r="BF16" s="259"/>
      <c r="BG16" s="259"/>
      <c r="BH16" s="259"/>
      <c r="BI16" s="259"/>
      <c r="BJ16" s="259"/>
      <c r="BK16" s="259"/>
      <c r="BL16" s="259"/>
      <c r="BM16" s="259"/>
      <c r="BN16" s="259"/>
      <c r="BO16" s="259"/>
      <c r="BP16" s="259"/>
      <c r="BQ16" s="259"/>
      <c r="BR16" s="259"/>
      <c r="BS16" s="259"/>
      <c r="BT16" s="259"/>
      <c r="BU16" s="259"/>
      <c r="BV16" s="259"/>
      <c r="BW16" s="259"/>
      <c r="BX16" s="259"/>
      <c r="BY16" s="259"/>
      <c r="BZ16" s="259"/>
      <c r="CA16" s="259"/>
      <c r="CB16" s="259"/>
      <c r="CC16" s="259"/>
      <c r="CD16" s="259"/>
      <c r="CE16" s="259"/>
      <c r="CF16" s="259"/>
      <c r="CG16" s="259"/>
      <c r="CH16" s="259"/>
      <c r="CI16" s="259"/>
      <c r="CJ16" s="259"/>
      <c r="CK16" s="259"/>
      <c r="CL16" s="259"/>
      <c r="CM16" s="259"/>
      <c r="CN16" s="259"/>
      <c r="CO16" s="259"/>
      <c r="CP16" s="259"/>
      <c r="CQ16" s="259"/>
      <c r="CR16" s="259"/>
      <c r="CS16" s="259"/>
      <c r="CT16" s="259"/>
      <c r="CU16" s="259"/>
      <c r="CV16" s="259"/>
      <c r="CW16" s="259"/>
      <c r="CX16" s="259"/>
      <c r="CY16" s="259"/>
      <c r="CZ16" s="259"/>
      <c r="DA16" s="259"/>
      <c r="DB16" s="259"/>
      <c r="DC16" s="259"/>
      <c r="DD16" s="259"/>
      <c r="DE16" s="259"/>
      <c r="DF16" s="259"/>
      <c r="DG16" s="259"/>
      <c r="DH16" s="259"/>
      <c r="DI16" s="259"/>
      <c r="DJ16" s="259"/>
      <c r="DK16" s="259"/>
      <c r="DL16" s="259"/>
      <c r="DM16" s="259"/>
      <c r="DN16" s="259"/>
      <c r="DO16" s="259"/>
      <c r="DP16" s="259"/>
      <c r="DQ16" s="259"/>
      <c r="DR16" s="259"/>
      <c r="DS16" s="259"/>
      <c r="DT16" s="259"/>
      <c r="DU16" s="259"/>
      <c r="DV16" s="259"/>
      <c r="DW16" s="259"/>
      <c r="DX16" s="259"/>
      <c r="DY16" s="259"/>
      <c r="DZ16" s="259"/>
      <c r="EA16" s="259"/>
      <c r="EB16" s="259"/>
      <c r="EC16" s="259"/>
      <c r="ED16" s="259"/>
      <c r="EE16" s="259"/>
      <c r="EF16" s="259"/>
      <c r="EG16" s="259"/>
      <c r="EH16" s="259"/>
      <c r="EI16" s="259"/>
      <c r="EJ16" s="259"/>
      <c r="EK16" s="259"/>
      <c r="EL16" s="259"/>
      <c r="EM16" s="259"/>
      <c r="EN16" s="259"/>
      <c r="EO16" s="259"/>
      <c r="EP16" s="259"/>
      <c r="EQ16" s="259"/>
      <c r="ER16" s="259"/>
      <c r="ES16" s="259"/>
      <c r="ET16" s="259"/>
      <c r="EU16" s="259"/>
      <c r="EV16" s="259"/>
      <c r="EW16" s="259"/>
      <c r="EX16" s="259"/>
      <c r="EY16" s="259"/>
      <c r="EZ16" s="259"/>
      <c r="FA16" s="259"/>
      <c r="FB16" s="259"/>
      <c r="FC16" s="259"/>
      <c r="FD16" s="259"/>
      <c r="FE16" s="259"/>
      <c r="FF16" s="259"/>
      <c r="FG16" s="259"/>
      <c r="FH16" s="259"/>
      <c r="FI16" s="259"/>
      <c r="FJ16" s="259"/>
      <c r="FK16" s="259"/>
      <c r="FL16" s="259"/>
      <c r="FM16" s="259"/>
      <c r="FN16" s="259"/>
      <c r="FO16" s="259"/>
    </row>
    <row r="17" s="428" customFormat="true" ht="22.5" hidden="false" customHeight="true" outlineLevel="0" collapsed="false">
      <c r="A17" s="418" t="n">
        <f aca="false">'Listado CAPS'!A15</f>
        <v>0</v>
      </c>
      <c r="B17" s="418" t="n">
        <f aca="false">'Listado CAPS'!B15</f>
        <v>0</v>
      </c>
      <c r="C17" s="418" t="n">
        <f aca="false">'Listado CAPS'!C15</f>
        <v>0</v>
      </c>
      <c r="D17" s="418" t="str">
        <f aca="false">'Listado CAPS'!D15</f>
        <v>M</v>
      </c>
      <c r="E17" s="274"/>
      <c r="F17" s="274"/>
      <c r="G17" s="274"/>
      <c r="H17" s="274"/>
      <c r="I17" s="274"/>
      <c r="J17" s="274"/>
      <c r="K17" s="492"/>
      <c r="L17" s="492"/>
      <c r="M17" s="492"/>
      <c r="N17" s="448"/>
      <c r="O17" s="448"/>
      <c r="P17" s="448"/>
      <c r="S17" s="402"/>
      <c r="T17" s="259"/>
      <c r="U17" s="259"/>
      <c r="V17" s="259"/>
      <c r="W17" s="259"/>
      <c r="X17" s="259"/>
      <c r="Y17" s="259"/>
      <c r="Z17" s="259"/>
      <c r="AA17" s="259"/>
      <c r="AB17" s="259"/>
      <c r="AC17" s="259"/>
      <c r="AD17" s="259"/>
      <c r="AE17" s="259"/>
      <c r="AF17" s="259"/>
      <c r="AG17" s="259"/>
      <c r="AH17" s="259"/>
      <c r="AI17" s="259"/>
      <c r="AJ17" s="259"/>
      <c r="AK17" s="259"/>
      <c r="AL17" s="259"/>
      <c r="AM17" s="259"/>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59"/>
      <c r="BK17" s="259"/>
      <c r="BL17" s="259"/>
      <c r="BM17" s="259"/>
      <c r="BN17" s="259"/>
      <c r="BO17" s="259"/>
      <c r="BP17" s="259"/>
      <c r="BQ17" s="259"/>
      <c r="BR17" s="259"/>
      <c r="BS17" s="259"/>
      <c r="BT17" s="259"/>
      <c r="BU17" s="259"/>
      <c r="BV17" s="259"/>
      <c r="BW17" s="259"/>
      <c r="BX17" s="259"/>
      <c r="BY17" s="259"/>
      <c r="BZ17" s="259"/>
      <c r="CA17" s="259"/>
      <c r="CB17" s="259"/>
      <c r="CC17" s="259"/>
      <c r="CD17" s="259"/>
      <c r="CE17" s="259"/>
      <c r="CF17" s="259"/>
      <c r="CG17" s="259"/>
      <c r="CH17" s="259"/>
      <c r="CI17" s="259"/>
      <c r="CJ17" s="259"/>
      <c r="CK17" s="259"/>
      <c r="CL17" s="259"/>
      <c r="CM17" s="259"/>
      <c r="CN17" s="259"/>
      <c r="CO17" s="259"/>
      <c r="CP17" s="259"/>
      <c r="CQ17" s="259"/>
      <c r="CR17" s="259"/>
      <c r="CS17" s="259"/>
      <c r="CT17" s="259"/>
      <c r="CU17" s="259"/>
      <c r="CV17" s="259"/>
      <c r="CW17" s="259"/>
      <c r="CX17" s="259"/>
      <c r="CY17" s="259"/>
      <c r="CZ17" s="259"/>
      <c r="DA17" s="259"/>
      <c r="DB17" s="259"/>
      <c r="DC17" s="259"/>
      <c r="DD17" s="259"/>
      <c r="DE17" s="259"/>
      <c r="DF17" s="259"/>
      <c r="DG17" s="259"/>
      <c r="DH17" s="259"/>
      <c r="DI17" s="259"/>
      <c r="DJ17" s="259"/>
      <c r="DK17" s="259"/>
      <c r="DL17" s="259"/>
      <c r="DM17" s="259"/>
      <c r="DN17" s="259"/>
      <c r="DO17" s="259"/>
      <c r="DP17" s="259"/>
      <c r="DQ17" s="259"/>
      <c r="DR17" s="259"/>
      <c r="DS17" s="259"/>
      <c r="DT17" s="259"/>
      <c r="DU17" s="259"/>
      <c r="DV17" s="259"/>
      <c r="DW17" s="259"/>
      <c r="DX17" s="259"/>
      <c r="DY17" s="259"/>
      <c r="DZ17" s="259"/>
      <c r="EA17" s="259"/>
      <c r="EB17" s="259"/>
      <c r="EC17" s="259"/>
      <c r="ED17" s="259"/>
      <c r="EE17" s="259"/>
      <c r="EF17" s="259"/>
      <c r="EG17" s="259"/>
      <c r="EH17" s="259"/>
      <c r="EI17" s="259"/>
      <c r="EJ17" s="259"/>
      <c r="EK17" s="259"/>
      <c r="EL17" s="259"/>
      <c r="EM17" s="259"/>
      <c r="EN17" s="259"/>
      <c r="EO17" s="259"/>
      <c r="EP17" s="259"/>
      <c r="EQ17" s="259"/>
      <c r="ER17" s="259"/>
      <c r="ES17" s="259"/>
      <c r="ET17" s="259"/>
      <c r="EU17" s="259"/>
      <c r="EV17" s="259"/>
      <c r="EW17" s="259"/>
      <c r="EX17" s="259"/>
      <c r="EY17" s="259"/>
      <c r="EZ17" s="259"/>
      <c r="FA17" s="259"/>
      <c r="FB17" s="259"/>
      <c r="FC17" s="259"/>
      <c r="FD17" s="259"/>
      <c r="FE17" s="259"/>
      <c r="FF17" s="259"/>
      <c r="FG17" s="259"/>
      <c r="FH17" s="259"/>
      <c r="FI17" s="259"/>
      <c r="FJ17" s="259"/>
      <c r="FK17" s="259"/>
      <c r="FL17" s="259"/>
      <c r="FM17" s="259"/>
      <c r="FN17" s="259"/>
      <c r="FO17" s="259"/>
    </row>
    <row r="18" s="428" customFormat="true" ht="22.5" hidden="false" customHeight="true" outlineLevel="0" collapsed="false">
      <c r="A18" s="418" t="n">
        <f aca="false">'Listado CAPS'!A16</f>
        <v>0</v>
      </c>
      <c r="B18" s="418" t="n">
        <f aca="false">'Listado CAPS'!B16</f>
        <v>0</v>
      </c>
      <c r="C18" s="418" t="n">
        <f aca="false">'Listado CAPS'!C16</f>
        <v>0</v>
      </c>
      <c r="D18" s="418" t="str">
        <f aca="false">'Listado CAPS'!D16</f>
        <v>N</v>
      </c>
      <c r="E18" s="274"/>
      <c r="F18" s="274"/>
      <c r="G18" s="274"/>
      <c r="H18" s="274"/>
      <c r="I18" s="274"/>
      <c r="J18" s="274"/>
      <c r="K18" s="492"/>
      <c r="L18" s="492"/>
      <c r="M18" s="492"/>
      <c r="N18" s="448"/>
      <c r="O18" s="448"/>
      <c r="P18" s="448"/>
      <c r="S18" s="402"/>
      <c r="T18" s="259"/>
      <c r="U18" s="259"/>
      <c r="V18" s="259"/>
      <c r="W18" s="259"/>
      <c r="X18" s="259"/>
      <c r="Y18" s="259"/>
      <c r="Z18" s="259"/>
      <c r="AA18" s="259"/>
      <c r="AB18" s="259"/>
      <c r="AC18" s="259"/>
      <c r="AD18" s="259"/>
      <c r="AE18" s="259"/>
      <c r="AF18" s="259"/>
      <c r="AG18" s="259"/>
      <c r="AH18" s="259"/>
      <c r="AI18" s="259"/>
      <c r="AJ18" s="259"/>
      <c r="AK18" s="259"/>
      <c r="AL18" s="259"/>
      <c r="AM18" s="259"/>
      <c r="AN18" s="259"/>
      <c r="AO18" s="259"/>
      <c r="AP18" s="259"/>
      <c r="AQ18" s="259"/>
      <c r="AR18" s="259"/>
      <c r="AS18" s="259"/>
      <c r="AT18" s="259"/>
      <c r="AU18" s="259"/>
      <c r="AV18" s="259"/>
      <c r="AW18" s="259"/>
      <c r="AX18" s="259"/>
      <c r="AY18" s="259"/>
      <c r="AZ18" s="259"/>
      <c r="BA18" s="259"/>
      <c r="BB18" s="259"/>
      <c r="BC18" s="259"/>
      <c r="BD18" s="259"/>
      <c r="BE18" s="259"/>
      <c r="BF18" s="259"/>
      <c r="BG18" s="259"/>
      <c r="BH18" s="259"/>
      <c r="BI18" s="259"/>
      <c r="BJ18" s="259"/>
      <c r="BK18" s="259"/>
      <c r="BL18" s="259"/>
      <c r="BM18" s="259"/>
      <c r="BN18" s="259"/>
      <c r="BO18" s="259"/>
      <c r="BP18" s="259"/>
      <c r="BQ18" s="259"/>
      <c r="BR18" s="259"/>
      <c r="BS18" s="259"/>
      <c r="BT18" s="259"/>
      <c r="BU18" s="259"/>
      <c r="BV18" s="259"/>
      <c r="BW18" s="259"/>
      <c r="BX18" s="259"/>
      <c r="BY18" s="259"/>
      <c r="BZ18" s="259"/>
      <c r="CA18" s="259"/>
      <c r="CB18" s="259"/>
      <c r="CC18" s="259"/>
      <c r="CD18" s="259"/>
      <c r="CE18" s="259"/>
      <c r="CF18" s="259"/>
      <c r="CG18" s="259"/>
      <c r="CH18" s="259"/>
      <c r="CI18" s="259"/>
      <c r="CJ18" s="259"/>
      <c r="CK18" s="259"/>
      <c r="CL18" s="259"/>
      <c r="CM18" s="259"/>
      <c r="CN18" s="259"/>
      <c r="CO18" s="259"/>
      <c r="CP18" s="259"/>
      <c r="CQ18" s="259"/>
      <c r="CR18" s="259"/>
      <c r="CS18" s="259"/>
      <c r="CT18" s="259"/>
      <c r="CU18" s="259"/>
      <c r="CV18" s="259"/>
      <c r="CW18" s="259"/>
      <c r="CX18" s="259"/>
      <c r="CY18" s="259"/>
      <c r="CZ18" s="259"/>
      <c r="DA18" s="259"/>
      <c r="DB18" s="259"/>
      <c r="DC18" s="259"/>
      <c r="DD18" s="259"/>
      <c r="DE18" s="259"/>
      <c r="DF18" s="259"/>
      <c r="DG18" s="259"/>
      <c r="DH18" s="259"/>
      <c r="DI18" s="259"/>
      <c r="DJ18" s="259"/>
      <c r="DK18" s="259"/>
      <c r="DL18" s="259"/>
      <c r="DM18" s="259"/>
      <c r="DN18" s="259"/>
      <c r="DO18" s="259"/>
      <c r="DP18" s="259"/>
      <c r="DQ18" s="259"/>
      <c r="DR18" s="259"/>
      <c r="DS18" s="259"/>
      <c r="DT18" s="259"/>
      <c r="DU18" s="259"/>
      <c r="DV18" s="259"/>
      <c r="DW18" s="259"/>
      <c r="DX18" s="259"/>
      <c r="DY18" s="259"/>
      <c r="DZ18" s="259"/>
      <c r="EA18" s="259"/>
      <c r="EB18" s="259"/>
      <c r="EC18" s="259"/>
      <c r="ED18" s="259"/>
      <c r="EE18" s="259"/>
      <c r="EF18" s="259"/>
      <c r="EG18" s="259"/>
      <c r="EH18" s="259"/>
      <c r="EI18" s="259"/>
      <c r="EJ18" s="259"/>
      <c r="EK18" s="259"/>
      <c r="EL18" s="259"/>
      <c r="EM18" s="259"/>
      <c r="EN18" s="259"/>
      <c r="EO18" s="259"/>
      <c r="EP18" s="259"/>
      <c r="EQ18" s="259"/>
      <c r="ER18" s="259"/>
      <c r="ES18" s="259"/>
      <c r="ET18" s="259"/>
      <c r="EU18" s="259"/>
      <c r="EV18" s="259"/>
      <c r="EW18" s="259"/>
      <c r="EX18" s="259"/>
      <c r="EY18" s="259"/>
      <c r="EZ18" s="259"/>
      <c r="FA18" s="259"/>
      <c r="FB18" s="259"/>
      <c r="FC18" s="259"/>
      <c r="FD18" s="259"/>
      <c r="FE18" s="259"/>
      <c r="FF18" s="259"/>
      <c r="FG18" s="259"/>
      <c r="FH18" s="259"/>
      <c r="FI18" s="259"/>
      <c r="FJ18" s="259"/>
      <c r="FK18" s="259"/>
      <c r="FL18" s="259"/>
      <c r="FM18" s="259"/>
      <c r="FN18" s="259"/>
      <c r="FO18" s="259"/>
    </row>
    <row r="19" customFormat="false" ht="22.5" hidden="false" customHeight="true" outlineLevel="0" collapsed="false">
      <c r="A19" s="418" t="n">
        <f aca="false">'Listado CAPS'!A17</f>
        <v>0</v>
      </c>
      <c r="B19" s="418" t="n">
        <f aca="false">'Listado CAPS'!B17</f>
        <v>0</v>
      </c>
      <c r="C19" s="418" t="n">
        <f aca="false">'Listado CAPS'!C17</f>
        <v>0</v>
      </c>
      <c r="D19" s="418" t="str">
        <f aca="false">'Listado CAPS'!D17</f>
        <v>Ñ</v>
      </c>
      <c r="E19" s="274"/>
      <c r="F19" s="274"/>
      <c r="G19" s="274"/>
      <c r="H19" s="493"/>
      <c r="I19" s="493"/>
      <c r="J19" s="493"/>
      <c r="K19" s="491"/>
      <c r="L19" s="491"/>
      <c r="M19" s="457"/>
      <c r="N19" s="448"/>
      <c r="O19" s="448"/>
      <c r="P19" s="448"/>
      <c r="T19" s="259"/>
      <c r="U19" s="259"/>
    </row>
    <row r="20" s="428" customFormat="true" ht="22.5" hidden="false" customHeight="true" outlineLevel="0" collapsed="false">
      <c r="A20" s="418" t="n">
        <f aca="false">'Listado CAPS'!A18</f>
        <v>0</v>
      </c>
      <c r="B20" s="418" t="n">
        <f aca="false">'Listado CAPS'!B18</f>
        <v>0</v>
      </c>
      <c r="C20" s="418" t="n">
        <f aca="false">'Listado CAPS'!C18</f>
        <v>0</v>
      </c>
      <c r="D20" s="418" t="str">
        <f aca="false">'Listado CAPS'!D18</f>
        <v>O</v>
      </c>
      <c r="E20" s="479"/>
      <c r="F20" s="479"/>
      <c r="G20" s="479"/>
      <c r="H20" s="479"/>
      <c r="I20" s="479"/>
      <c r="J20" s="479"/>
      <c r="K20" s="492"/>
      <c r="L20" s="492"/>
      <c r="M20" s="492"/>
      <c r="N20" s="448"/>
      <c r="O20" s="448"/>
      <c r="P20" s="448"/>
      <c r="S20" s="402"/>
      <c r="T20" s="259"/>
      <c r="U20" s="259"/>
      <c r="V20" s="259"/>
      <c r="W20" s="259"/>
      <c r="X20" s="259"/>
      <c r="Y20" s="259"/>
      <c r="Z20" s="259"/>
      <c r="AA20" s="259"/>
      <c r="AB20" s="259"/>
      <c r="AC20" s="259"/>
      <c r="AD20" s="259"/>
      <c r="AE20" s="259"/>
      <c r="AF20" s="259"/>
      <c r="AG20" s="259"/>
      <c r="AH20" s="259"/>
      <c r="AI20" s="259"/>
      <c r="AJ20" s="259"/>
      <c r="AK20" s="259"/>
      <c r="AL20" s="259"/>
      <c r="AM20" s="259"/>
      <c r="AN20" s="259"/>
      <c r="AO20" s="259"/>
      <c r="AP20" s="259"/>
      <c r="AQ20" s="259"/>
      <c r="AR20" s="259"/>
      <c r="AS20" s="259"/>
      <c r="AT20" s="259"/>
      <c r="AU20" s="259"/>
      <c r="AV20" s="259"/>
      <c r="AW20" s="259"/>
      <c r="AX20" s="259"/>
      <c r="AY20" s="259"/>
      <c r="AZ20" s="259"/>
      <c r="BA20" s="259"/>
      <c r="BB20" s="259"/>
      <c r="BC20" s="259"/>
      <c r="BD20" s="259"/>
      <c r="BE20" s="259"/>
      <c r="BF20" s="259"/>
      <c r="BG20" s="259"/>
      <c r="BH20" s="259"/>
      <c r="BI20" s="259"/>
      <c r="BJ20" s="259"/>
      <c r="BK20" s="259"/>
      <c r="BL20" s="259"/>
      <c r="BM20" s="259"/>
      <c r="BN20" s="259"/>
      <c r="BO20" s="259"/>
      <c r="BP20" s="259"/>
      <c r="BQ20" s="259"/>
      <c r="BR20" s="259"/>
      <c r="BS20" s="259"/>
      <c r="BT20" s="259"/>
      <c r="BU20" s="259"/>
      <c r="BV20" s="259"/>
      <c r="BW20" s="259"/>
      <c r="BX20" s="259"/>
      <c r="BY20" s="259"/>
      <c r="BZ20" s="259"/>
      <c r="CA20" s="259"/>
      <c r="CB20" s="259"/>
      <c r="CC20" s="259"/>
      <c r="CD20" s="259"/>
      <c r="CE20" s="259"/>
      <c r="CF20" s="259"/>
      <c r="CG20" s="259"/>
      <c r="CH20" s="259"/>
      <c r="CI20" s="259"/>
      <c r="CJ20" s="259"/>
      <c r="CK20" s="259"/>
      <c r="CL20" s="259"/>
      <c r="CM20" s="259"/>
      <c r="CN20" s="259"/>
      <c r="CO20" s="259"/>
      <c r="CP20" s="259"/>
      <c r="CQ20" s="259"/>
      <c r="CR20" s="259"/>
      <c r="CS20" s="259"/>
      <c r="CT20" s="259"/>
      <c r="CU20" s="259"/>
      <c r="CV20" s="259"/>
      <c r="CW20" s="259"/>
      <c r="CX20" s="259"/>
      <c r="CY20" s="259"/>
      <c r="CZ20" s="259"/>
      <c r="DA20" s="259"/>
      <c r="DB20" s="259"/>
      <c r="DC20" s="259"/>
      <c r="DD20" s="259"/>
      <c r="DE20" s="259"/>
      <c r="DF20" s="259"/>
      <c r="DG20" s="259"/>
      <c r="DH20" s="259"/>
      <c r="DI20" s="259"/>
      <c r="DJ20" s="259"/>
      <c r="DK20" s="259"/>
      <c r="DL20" s="259"/>
      <c r="DM20" s="259"/>
      <c r="DN20" s="259"/>
      <c r="DO20" s="259"/>
      <c r="DP20" s="259"/>
      <c r="DQ20" s="259"/>
      <c r="DR20" s="259"/>
      <c r="DS20" s="259"/>
      <c r="DT20" s="259"/>
      <c r="DU20" s="259"/>
      <c r="DV20" s="259"/>
      <c r="DW20" s="259"/>
      <c r="DX20" s="259"/>
      <c r="DY20" s="259"/>
      <c r="DZ20" s="259"/>
      <c r="EA20" s="259"/>
      <c r="EB20" s="259"/>
      <c r="EC20" s="259"/>
      <c r="ED20" s="259"/>
      <c r="EE20" s="259"/>
      <c r="EF20" s="259"/>
      <c r="EG20" s="259"/>
      <c r="EH20" s="259"/>
      <c r="EI20" s="259"/>
      <c r="EJ20" s="259"/>
      <c r="EK20" s="259"/>
      <c r="EL20" s="259"/>
      <c r="EM20" s="259"/>
      <c r="EN20" s="259"/>
      <c r="EO20" s="259"/>
      <c r="EP20" s="259"/>
      <c r="EQ20" s="259"/>
      <c r="ER20" s="259"/>
      <c r="ES20" s="259"/>
      <c r="ET20" s="259"/>
      <c r="EU20" s="259"/>
      <c r="EV20" s="259"/>
      <c r="EW20" s="259"/>
      <c r="EX20" s="259"/>
      <c r="EY20" s="259"/>
      <c r="EZ20" s="259"/>
      <c r="FA20" s="259"/>
      <c r="FB20" s="259"/>
      <c r="FC20" s="259"/>
      <c r="FD20" s="259"/>
      <c r="FE20" s="259"/>
      <c r="FF20" s="259"/>
      <c r="FG20" s="259"/>
      <c r="FH20" s="259"/>
      <c r="FI20" s="259"/>
      <c r="FJ20" s="259"/>
      <c r="FK20" s="259"/>
      <c r="FL20" s="259"/>
      <c r="FM20" s="259"/>
      <c r="FN20" s="259"/>
      <c r="FO20" s="259"/>
    </row>
    <row r="21" customFormat="false" ht="22.5" hidden="false" customHeight="true" outlineLevel="0" collapsed="false">
      <c r="A21" s="418" t="n">
        <f aca="false">'Listado CAPS'!A19</f>
        <v>0</v>
      </c>
      <c r="B21" s="418" t="n">
        <f aca="false">'Listado CAPS'!B19</f>
        <v>0</v>
      </c>
      <c r="C21" s="418" t="n">
        <f aca="false">'Listado CAPS'!C19</f>
        <v>0</v>
      </c>
      <c r="D21" s="418" t="str">
        <f aca="false">'Listado CAPS'!D19</f>
        <v>P</v>
      </c>
      <c r="E21" s="483"/>
      <c r="F21" s="483"/>
      <c r="G21" s="483"/>
      <c r="H21" s="483"/>
      <c r="I21" s="483"/>
      <c r="J21" s="483"/>
      <c r="K21" s="494"/>
      <c r="L21" s="494"/>
      <c r="M21" s="494"/>
      <c r="N21" s="448"/>
      <c r="O21" s="448"/>
      <c r="P21" s="448"/>
      <c r="T21" s="259"/>
      <c r="U21" s="259"/>
    </row>
    <row r="22" s="464" customFormat="true" ht="22.5" hidden="false" customHeight="true" outlineLevel="0" collapsed="false">
      <c r="A22" s="418" t="n">
        <f aca="false">'Listado CAPS'!A20</f>
        <v>0</v>
      </c>
      <c r="B22" s="418" t="n">
        <f aca="false">'Listado CAPS'!B20</f>
        <v>0</v>
      </c>
      <c r="C22" s="418" t="n">
        <f aca="false">'Listado CAPS'!C20</f>
        <v>0</v>
      </c>
      <c r="D22" s="418" t="str">
        <f aca="false">'Listado CAPS'!D20</f>
        <v>Q</v>
      </c>
      <c r="E22" s="483"/>
      <c r="F22" s="483"/>
      <c r="G22" s="483"/>
      <c r="H22" s="483"/>
      <c r="I22" s="483"/>
      <c r="J22" s="483"/>
      <c r="K22" s="495"/>
      <c r="L22" s="495"/>
      <c r="M22" s="495"/>
      <c r="N22" s="448"/>
      <c r="O22" s="448"/>
      <c r="P22" s="448"/>
      <c r="S22" s="102"/>
      <c r="T22" s="259"/>
      <c r="U22" s="259"/>
      <c r="V22" s="259"/>
      <c r="W22" s="259"/>
      <c r="X22" s="259"/>
      <c r="Y22" s="259"/>
      <c r="Z22" s="259"/>
      <c r="AA22" s="259"/>
      <c r="AB22" s="259"/>
      <c r="AC22" s="259"/>
      <c r="AD22" s="259"/>
      <c r="AE22" s="259"/>
      <c r="AF22" s="259"/>
      <c r="AG22" s="259"/>
      <c r="AH22" s="259"/>
      <c r="AI22" s="259"/>
      <c r="AJ22" s="259"/>
      <c r="AK22" s="259"/>
      <c r="AL22" s="259"/>
      <c r="AM22" s="259"/>
      <c r="AN22" s="259"/>
      <c r="AO22" s="259"/>
      <c r="AP22" s="259"/>
      <c r="AQ22" s="259"/>
      <c r="AR22" s="259"/>
      <c r="AS22" s="259"/>
      <c r="AT22" s="259"/>
      <c r="AU22" s="259"/>
      <c r="AV22" s="259"/>
      <c r="AW22" s="259"/>
      <c r="AX22" s="259"/>
      <c r="AY22" s="259"/>
      <c r="AZ22" s="259"/>
      <c r="BA22" s="259"/>
      <c r="BB22" s="259"/>
      <c r="BC22" s="259"/>
      <c r="BD22" s="259"/>
      <c r="BE22" s="259"/>
      <c r="BF22" s="259"/>
      <c r="BG22" s="259"/>
      <c r="BH22" s="259"/>
      <c r="BI22" s="259"/>
      <c r="BJ22" s="259"/>
      <c r="BK22" s="259"/>
      <c r="BL22" s="259"/>
      <c r="BM22" s="259"/>
      <c r="BN22" s="259"/>
      <c r="BO22" s="259"/>
      <c r="BP22" s="259"/>
      <c r="BQ22" s="259"/>
      <c r="BR22" s="259"/>
      <c r="BS22" s="259"/>
      <c r="BT22" s="259"/>
      <c r="BU22" s="259"/>
      <c r="BV22" s="259"/>
      <c r="BW22" s="259"/>
      <c r="BX22" s="259"/>
      <c r="BY22" s="259"/>
      <c r="BZ22" s="259"/>
      <c r="CA22" s="259"/>
      <c r="CB22" s="259"/>
      <c r="CC22" s="259"/>
      <c r="CD22" s="259"/>
      <c r="CE22" s="259"/>
      <c r="CF22" s="259"/>
      <c r="CG22" s="259"/>
      <c r="CH22" s="259"/>
      <c r="CI22" s="259"/>
      <c r="CJ22" s="259"/>
      <c r="CK22" s="259"/>
      <c r="CL22" s="259"/>
      <c r="CM22" s="259"/>
      <c r="CN22" s="259"/>
      <c r="CO22" s="259"/>
      <c r="CP22" s="259"/>
      <c r="CQ22" s="259"/>
      <c r="CR22" s="259"/>
      <c r="CS22" s="259"/>
      <c r="CT22" s="259"/>
      <c r="CU22" s="259"/>
      <c r="CV22" s="259"/>
      <c r="CW22" s="259"/>
      <c r="CX22" s="259"/>
      <c r="CY22" s="259"/>
      <c r="CZ22" s="259"/>
      <c r="DA22" s="259"/>
      <c r="DB22" s="259"/>
      <c r="DC22" s="259"/>
      <c r="DD22" s="259"/>
      <c r="DE22" s="259"/>
      <c r="DF22" s="259"/>
      <c r="DG22" s="259"/>
      <c r="DH22" s="259"/>
      <c r="DI22" s="259"/>
      <c r="DJ22" s="259"/>
      <c r="DK22" s="259"/>
      <c r="DL22" s="259"/>
      <c r="DM22" s="259"/>
      <c r="DN22" s="259"/>
      <c r="DO22" s="259"/>
      <c r="DP22" s="259"/>
      <c r="DQ22" s="259"/>
      <c r="DR22" s="259"/>
      <c r="DS22" s="259"/>
      <c r="DT22" s="259"/>
      <c r="DU22" s="259"/>
      <c r="DV22" s="259"/>
      <c r="DW22" s="259"/>
      <c r="DX22" s="259"/>
      <c r="DY22" s="259"/>
      <c r="DZ22" s="259"/>
      <c r="EA22" s="259"/>
      <c r="EB22" s="259"/>
      <c r="EC22" s="259"/>
      <c r="ED22" s="259"/>
      <c r="EE22" s="259"/>
      <c r="EF22" s="259"/>
      <c r="EG22" s="259"/>
      <c r="EH22" s="259"/>
      <c r="EI22" s="259"/>
      <c r="EJ22" s="259"/>
      <c r="EK22" s="259"/>
      <c r="EL22" s="259"/>
      <c r="EM22" s="259"/>
      <c r="EN22" s="259"/>
      <c r="EO22" s="259"/>
      <c r="EP22" s="259"/>
      <c r="EQ22" s="259"/>
      <c r="ER22" s="259"/>
      <c r="ES22" s="259"/>
      <c r="ET22" s="259"/>
      <c r="EU22" s="259"/>
      <c r="EV22" s="259"/>
      <c r="EW22" s="259"/>
      <c r="EX22" s="259"/>
      <c r="EY22" s="259"/>
      <c r="EZ22" s="259"/>
      <c r="FA22" s="259"/>
      <c r="FB22" s="259"/>
      <c r="FC22" s="259"/>
      <c r="FD22" s="259"/>
      <c r="FE22" s="259"/>
      <c r="FF22" s="259"/>
      <c r="FG22" s="259"/>
      <c r="FH22" s="259"/>
      <c r="FI22" s="259"/>
      <c r="FJ22" s="259"/>
      <c r="FK22" s="259"/>
      <c r="FL22" s="259"/>
      <c r="FM22" s="259"/>
      <c r="FN22" s="259"/>
      <c r="FO22" s="259"/>
    </row>
    <row r="23" s="464" customFormat="true" ht="22.5" hidden="false" customHeight="true" outlineLevel="0" collapsed="false">
      <c r="A23" s="418" t="n">
        <f aca="false">'Listado CAPS'!A21</f>
        <v>0</v>
      </c>
      <c r="B23" s="418" t="n">
        <f aca="false">'Listado CAPS'!B21</f>
        <v>0</v>
      </c>
      <c r="C23" s="418" t="n">
        <f aca="false">'Listado CAPS'!C21</f>
        <v>0</v>
      </c>
      <c r="D23" s="418" t="str">
        <f aca="false">'Listado CAPS'!D21</f>
        <v>R</v>
      </c>
      <c r="E23" s="483"/>
      <c r="F23" s="483"/>
      <c r="G23" s="483"/>
      <c r="H23" s="483"/>
      <c r="I23" s="483"/>
      <c r="J23" s="483"/>
      <c r="K23" s="496"/>
      <c r="L23" s="496"/>
      <c r="M23" s="496"/>
      <c r="N23" s="448"/>
      <c r="O23" s="448"/>
      <c r="P23" s="448"/>
      <c r="S23" s="102"/>
      <c r="T23" s="259"/>
      <c r="U23" s="259"/>
      <c r="V23" s="259"/>
      <c r="W23" s="259"/>
      <c r="X23" s="259"/>
      <c r="Y23" s="259"/>
      <c r="Z23" s="259"/>
      <c r="AA23" s="259"/>
      <c r="AB23" s="259"/>
      <c r="AC23" s="259"/>
      <c r="AD23" s="259"/>
      <c r="AE23" s="259"/>
      <c r="AF23" s="259"/>
      <c r="AG23" s="259"/>
      <c r="AH23" s="259"/>
      <c r="AI23" s="259"/>
      <c r="AJ23" s="259"/>
      <c r="AK23" s="259"/>
      <c r="AL23" s="259"/>
      <c r="AM23" s="259"/>
      <c r="AN23" s="259"/>
      <c r="AO23" s="259"/>
      <c r="AP23" s="259"/>
      <c r="AQ23" s="259"/>
      <c r="AR23" s="259"/>
      <c r="AS23" s="259"/>
      <c r="AT23" s="259"/>
      <c r="AU23" s="259"/>
      <c r="AV23" s="259"/>
      <c r="AW23" s="259"/>
      <c r="AX23" s="259"/>
      <c r="AY23" s="259"/>
      <c r="AZ23" s="259"/>
      <c r="BA23" s="259"/>
      <c r="BB23" s="259"/>
      <c r="BC23" s="259"/>
      <c r="BD23" s="259"/>
      <c r="BE23" s="259"/>
      <c r="BF23" s="259"/>
      <c r="BG23" s="259"/>
      <c r="BH23" s="259"/>
      <c r="BI23" s="259"/>
      <c r="BJ23" s="259"/>
      <c r="BK23" s="259"/>
      <c r="BL23" s="259"/>
      <c r="BM23" s="259"/>
      <c r="BN23" s="259"/>
      <c r="BO23" s="259"/>
      <c r="BP23" s="259"/>
      <c r="BQ23" s="259"/>
      <c r="BR23" s="259"/>
      <c r="BS23" s="259"/>
      <c r="BT23" s="259"/>
      <c r="BU23" s="259"/>
      <c r="BV23" s="259"/>
      <c r="BW23" s="259"/>
      <c r="BX23" s="259"/>
      <c r="BY23" s="259"/>
      <c r="BZ23" s="259"/>
      <c r="CA23" s="259"/>
      <c r="CB23" s="259"/>
      <c r="CC23" s="259"/>
      <c r="CD23" s="259"/>
      <c r="CE23" s="259"/>
      <c r="CF23" s="259"/>
      <c r="CG23" s="259"/>
      <c r="CH23" s="259"/>
      <c r="CI23" s="259"/>
      <c r="CJ23" s="259"/>
      <c r="CK23" s="259"/>
      <c r="CL23" s="259"/>
      <c r="CM23" s="259"/>
      <c r="CN23" s="259"/>
      <c r="CO23" s="259"/>
      <c r="CP23" s="259"/>
      <c r="CQ23" s="259"/>
      <c r="CR23" s="259"/>
      <c r="CS23" s="259"/>
      <c r="CT23" s="259"/>
      <c r="CU23" s="259"/>
      <c r="CV23" s="259"/>
      <c r="CW23" s="259"/>
      <c r="CX23" s="259"/>
      <c r="CY23" s="259"/>
      <c r="CZ23" s="259"/>
      <c r="DA23" s="259"/>
      <c r="DB23" s="259"/>
      <c r="DC23" s="259"/>
      <c r="DD23" s="259"/>
      <c r="DE23" s="259"/>
      <c r="DF23" s="259"/>
      <c r="DG23" s="259"/>
      <c r="DH23" s="259"/>
      <c r="DI23" s="259"/>
      <c r="DJ23" s="259"/>
      <c r="DK23" s="259"/>
      <c r="DL23" s="259"/>
      <c r="DM23" s="259"/>
      <c r="DN23" s="259"/>
      <c r="DO23" s="259"/>
      <c r="DP23" s="259"/>
      <c r="DQ23" s="259"/>
      <c r="DR23" s="259"/>
      <c r="DS23" s="259"/>
      <c r="DT23" s="259"/>
      <c r="DU23" s="259"/>
      <c r="DV23" s="259"/>
      <c r="DW23" s="259"/>
      <c r="DX23" s="259"/>
      <c r="DY23" s="259"/>
      <c r="DZ23" s="259"/>
      <c r="EA23" s="259"/>
      <c r="EB23" s="259"/>
      <c r="EC23" s="259"/>
      <c r="ED23" s="259"/>
      <c r="EE23" s="259"/>
      <c r="EF23" s="259"/>
      <c r="EG23" s="259"/>
      <c r="EH23" s="259"/>
      <c r="EI23" s="259"/>
      <c r="EJ23" s="259"/>
      <c r="EK23" s="259"/>
      <c r="EL23" s="259"/>
      <c r="EM23" s="259"/>
      <c r="EN23" s="259"/>
      <c r="EO23" s="259"/>
      <c r="EP23" s="259"/>
      <c r="EQ23" s="259"/>
      <c r="ER23" s="259"/>
      <c r="ES23" s="259"/>
      <c r="ET23" s="259"/>
      <c r="EU23" s="259"/>
      <c r="EV23" s="259"/>
      <c r="EW23" s="259"/>
      <c r="EX23" s="259"/>
      <c r="EY23" s="259"/>
      <c r="EZ23" s="259"/>
      <c r="FA23" s="259"/>
      <c r="FB23" s="259"/>
      <c r="FC23" s="259"/>
      <c r="FD23" s="259"/>
      <c r="FE23" s="259"/>
      <c r="FF23" s="259"/>
      <c r="FG23" s="259"/>
      <c r="FH23" s="259"/>
      <c r="FI23" s="259"/>
      <c r="FJ23" s="259"/>
      <c r="FK23" s="259"/>
      <c r="FL23" s="259"/>
      <c r="FM23" s="259"/>
      <c r="FN23" s="259"/>
      <c r="FO23" s="259"/>
    </row>
    <row r="24" s="464" customFormat="true" ht="22.5" hidden="false" customHeight="true" outlineLevel="0" collapsed="false">
      <c r="A24" s="418" t="n">
        <f aca="false">'Listado CAPS'!A22</f>
        <v>0</v>
      </c>
      <c r="B24" s="418" t="n">
        <f aca="false">'Listado CAPS'!B22</f>
        <v>0</v>
      </c>
      <c r="C24" s="418" t="n">
        <f aca="false">'Listado CAPS'!C22</f>
        <v>0</v>
      </c>
      <c r="D24" s="418" t="str">
        <f aca="false">'Listado CAPS'!D22</f>
        <v>S</v>
      </c>
      <c r="E24" s="483"/>
      <c r="F24" s="483"/>
      <c r="G24" s="483"/>
      <c r="H24" s="483"/>
      <c r="I24" s="483"/>
      <c r="J24" s="483"/>
      <c r="K24" s="496"/>
      <c r="L24" s="496"/>
      <c r="M24" s="496"/>
      <c r="N24" s="448"/>
      <c r="O24" s="448"/>
      <c r="P24" s="448"/>
      <c r="S24" s="102"/>
      <c r="T24" s="102"/>
      <c r="U24" s="102"/>
      <c r="V24" s="259"/>
      <c r="W24" s="259"/>
      <c r="X24" s="259"/>
      <c r="Y24" s="259"/>
      <c r="Z24" s="259"/>
      <c r="AA24" s="259"/>
      <c r="AB24" s="259"/>
      <c r="AC24" s="259"/>
      <c r="AD24" s="259"/>
      <c r="AE24" s="259"/>
      <c r="AF24" s="259"/>
      <c r="AG24" s="259"/>
      <c r="AH24" s="259"/>
      <c r="AI24" s="259"/>
      <c r="AJ24" s="259"/>
      <c r="AK24" s="259"/>
      <c r="AL24" s="259"/>
      <c r="AM24" s="259"/>
      <c r="AN24" s="259"/>
      <c r="AO24" s="259"/>
      <c r="AP24" s="259"/>
      <c r="AQ24" s="259"/>
      <c r="AR24" s="259"/>
      <c r="AS24" s="259"/>
      <c r="AT24" s="259"/>
      <c r="AU24" s="259"/>
      <c r="AV24" s="259"/>
      <c r="AW24" s="259"/>
      <c r="AX24" s="259"/>
      <c r="AY24" s="259"/>
      <c r="AZ24" s="259"/>
      <c r="BA24" s="259"/>
      <c r="BB24" s="259"/>
      <c r="BC24" s="259"/>
      <c r="BD24" s="259"/>
      <c r="BE24" s="259"/>
      <c r="BF24" s="259"/>
      <c r="BG24" s="259"/>
      <c r="BH24" s="259"/>
      <c r="BI24" s="259"/>
      <c r="BJ24" s="259"/>
      <c r="BK24" s="259"/>
      <c r="BL24" s="259"/>
      <c r="BM24" s="259"/>
      <c r="BN24" s="259"/>
      <c r="BO24" s="259"/>
      <c r="BP24" s="259"/>
      <c r="BQ24" s="259"/>
      <c r="BR24" s="259"/>
      <c r="BS24" s="259"/>
      <c r="BT24" s="259"/>
      <c r="BU24" s="259"/>
      <c r="BV24" s="259"/>
      <c r="BW24" s="259"/>
      <c r="BX24" s="259"/>
      <c r="BY24" s="259"/>
      <c r="BZ24" s="259"/>
      <c r="CA24" s="259"/>
      <c r="CB24" s="259"/>
      <c r="CC24" s="259"/>
      <c r="CD24" s="259"/>
      <c r="CE24" s="259"/>
      <c r="CF24" s="259"/>
      <c r="CG24" s="259"/>
      <c r="CH24" s="259"/>
      <c r="CI24" s="259"/>
      <c r="CJ24" s="259"/>
      <c r="CK24" s="259"/>
      <c r="CL24" s="259"/>
      <c r="CM24" s="259"/>
      <c r="CN24" s="259"/>
      <c r="CO24" s="259"/>
      <c r="CP24" s="259"/>
      <c r="CQ24" s="259"/>
      <c r="CR24" s="259"/>
      <c r="CS24" s="259"/>
      <c r="CT24" s="259"/>
      <c r="CU24" s="259"/>
      <c r="CV24" s="259"/>
      <c r="CW24" s="259"/>
      <c r="CX24" s="259"/>
      <c r="CY24" s="259"/>
      <c r="CZ24" s="259"/>
      <c r="DA24" s="259"/>
      <c r="DB24" s="259"/>
      <c r="DC24" s="259"/>
      <c r="DD24" s="259"/>
      <c r="DE24" s="259"/>
      <c r="DF24" s="259"/>
      <c r="DG24" s="259"/>
      <c r="DH24" s="259"/>
      <c r="DI24" s="259"/>
      <c r="DJ24" s="259"/>
      <c r="DK24" s="259"/>
      <c r="DL24" s="259"/>
      <c r="DM24" s="259"/>
      <c r="DN24" s="259"/>
      <c r="DO24" s="259"/>
      <c r="DP24" s="259"/>
      <c r="DQ24" s="259"/>
      <c r="DR24" s="259"/>
      <c r="DS24" s="259"/>
      <c r="DT24" s="259"/>
      <c r="DU24" s="259"/>
      <c r="DV24" s="259"/>
      <c r="DW24" s="259"/>
      <c r="DX24" s="259"/>
      <c r="DY24" s="259"/>
      <c r="DZ24" s="259"/>
      <c r="EA24" s="259"/>
      <c r="EB24" s="259"/>
      <c r="EC24" s="259"/>
      <c r="ED24" s="259"/>
      <c r="EE24" s="259"/>
      <c r="EF24" s="259"/>
      <c r="EG24" s="259"/>
      <c r="EH24" s="259"/>
      <c r="EI24" s="259"/>
      <c r="EJ24" s="259"/>
      <c r="EK24" s="259"/>
      <c r="EL24" s="259"/>
      <c r="EM24" s="259"/>
      <c r="EN24" s="259"/>
      <c r="EO24" s="259"/>
      <c r="EP24" s="259"/>
      <c r="EQ24" s="259"/>
      <c r="ER24" s="259"/>
      <c r="ES24" s="259"/>
      <c r="ET24" s="259"/>
      <c r="EU24" s="259"/>
      <c r="EV24" s="259"/>
      <c r="EW24" s="259"/>
      <c r="EX24" s="259"/>
      <c r="EY24" s="259"/>
      <c r="EZ24" s="259"/>
      <c r="FA24" s="259"/>
      <c r="FB24" s="259"/>
      <c r="FC24" s="259"/>
      <c r="FD24" s="259"/>
      <c r="FE24" s="259"/>
      <c r="FF24" s="259"/>
      <c r="FG24" s="259"/>
      <c r="FH24" s="259"/>
      <c r="FI24" s="259"/>
      <c r="FJ24" s="259"/>
      <c r="FK24" s="259"/>
      <c r="FL24" s="259"/>
      <c r="FM24" s="259"/>
      <c r="FN24" s="259"/>
      <c r="FO24" s="259"/>
    </row>
    <row r="25" s="464" customFormat="true" ht="22.5" hidden="false" customHeight="true" outlineLevel="0" collapsed="false">
      <c r="A25" s="418" t="n">
        <f aca="false">'Listado CAPS'!A23</f>
        <v>0</v>
      </c>
      <c r="B25" s="418" t="n">
        <f aca="false">'Listado CAPS'!B23</f>
        <v>0</v>
      </c>
      <c r="C25" s="418" t="n">
        <f aca="false">'Listado CAPS'!C23</f>
        <v>0</v>
      </c>
      <c r="D25" s="418" t="str">
        <f aca="false">'Listado CAPS'!D23</f>
        <v>T</v>
      </c>
      <c r="E25" s="483"/>
      <c r="F25" s="483"/>
      <c r="G25" s="483"/>
      <c r="H25" s="483"/>
      <c r="I25" s="483"/>
      <c r="J25" s="483"/>
      <c r="K25" s="496"/>
      <c r="L25" s="496"/>
      <c r="M25" s="496"/>
      <c r="N25" s="448"/>
      <c r="O25" s="448"/>
      <c r="P25" s="448"/>
      <c r="S25" s="102"/>
      <c r="T25" s="102"/>
      <c r="U25" s="102"/>
      <c r="V25" s="259"/>
      <c r="W25" s="259"/>
      <c r="X25" s="259"/>
      <c r="Y25" s="259"/>
      <c r="Z25" s="259"/>
      <c r="AA25" s="259"/>
      <c r="AB25" s="259"/>
      <c r="AC25" s="259"/>
      <c r="AD25" s="259"/>
      <c r="AE25" s="259"/>
      <c r="AF25" s="259"/>
      <c r="AG25" s="259"/>
      <c r="AH25" s="259"/>
      <c r="AI25" s="259"/>
      <c r="AJ25" s="259"/>
      <c r="AK25" s="259"/>
      <c r="AL25" s="259"/>
      <c r="AM25" s="259"/>
      <c r="AN25" s="259"/>
      <c r="AO25" s="259"/>
      <c r="AP25" s="259"/>
      <c r="AQ25" s="259"/>
      <c r="AR25" s="259"/>
      <c r="AS25" s="259"/>
      <c r="AT25" s="259"/>
      <c r="AU25" s="259"/>
      <c r="AV25" s="259"/>
      <c r="AW25" s="259"/>
      <c r="AX25" s="259"/>
      <c r="AY25" s="259"/>
      <c r="AZ25" s="259"/>
      <c r="BA25" s="259"/>
      <c r="BB25" s="259"/>
      <c r="BC25" s="259"/>
      <c r="BD25" s="259"/>
      <c r="BE25" s="259"/>
      <c r="BF25" s="259"/>
      <c r="BG25" s="259"/>
      <c r="BH25" s="259"/>
      <c r="BI25" s="259"/>
      <c r="BJ25" s="259"/>
      <c r="BK25" s="259"/>
      <c r="BL25" s="259"/>
      <c r="BM25" s="259"/>
      <c r="BN25" s="259"/>
      <c r="BO25" s="259"/>
      <c r="BP25" s="259"/>
      <c r="BQ25" s="259"/>
      <c r="BR25" s="259"/>
      <c r="BS25" s="259"/>
      <c r="BT25" s="259"/>
      <c r="BU25" s="259"/>
      <c r="BV25" s="259"/>
      <c r="BW25" s="259"/>
      <c r="BX25" s="259"/>
      <c r="BY25" s="259"/>
      <c r="BZ25" s="259"/>
      <c r="CA25" s="259"/>
      <c r="CB25" s="259"/>
      <c r="CC25" s="259"/>
      <c r="CD25" s="259"/>
      <c r="CE25" s="259"/>
      <c r="CF25" s="259"/>
      <c r="CG25" s="259"/>
      <c r="CH25" s="259"/>
      <c r="CI25" s="259"/>
      <c r="CJ25" s="259"/>
      <c r="CK25" s="259"/>
      <c r="CL25" s="259"/>
      <c r="CM25" s="259"/>
      <c r="CN25" s="259"/>
      <c r="CO25" s="259"/>
      <c r="CP25" s="259"/>
      <c r="CQ25" s="259"/>
      <c r="CR25" s="259"/>
      <c r="CS25" s="259"/>
      <c r="CT25" s="259"/>
      <c r="CU25" s="259"/>
      <c r="CV25" s="259"/>
      <c r="CW25" s="259"/>
      <c r="CX25" s="259"/>
      <c r="CY25" s="259"/>
      <c r="CZ25" s="259"/>
      <c r="DA25" s="259"/>
      <c r="DB25" s="259"/>
      <c r="DC25" s="259"/>
      <c r="DD25" s="259"/>
      <c r="DE25" s="259"/>
      <c r="DF25" s="259"/>
      <c r="DG25" s="259"/>
      <c r="DH25" s="259"/>
      <c r="DI25" s="259"/>
      <c r="DJ25" s="259"/>
      <c r="DK25" s="259"/>
      <c r="DL25" s="259"/>
      <c r="DM25" s="259"/>
      <c r="DN25" s="259"/>
      <c r="DO25" s="259"/>
      <c r="DP25" s="259"/>
      <c r="DQ25" s="259"/>
      <c r="DR25" s="259"/>
      <c r="DS25" s="259"/>
      <c r="DT25" s="259"/>
      <c r="DU25" s="259"/>
      <c r="DV25" s="259"/>
      <c r="DW25" s="259"/>
      <c r="DX25" s="259"/>
      <c r="DY25" s="259"/>
      <c r="DZ25" s="259"/>
      <c r="EA25" s="259"/>
      <c r="EB25" s="259"/>
      <c r="EC25" s="259"/>
      <c r="ED25" s="259"/>
      <c r="EE25" s="259"/>
      <c r="EF25" s="259"/>
      <c r="EG25" s="259"/>
      <c r="EH25" s="259"/>
      <c r="EI25" s="259"/>
      <c r="EJ25" s="259"/>
      <c r="EK25" s="259"/>
      <c r="EL25" s="259"/>
      <c r="EM25" s="259"/>
      <c r="EN25" s="259"/>
      <c r="EO25" s="259"/>
      <c r="EP25" s="259"/>
      <c r="EQ25" s="259"/>
      <c r="ER25" s="259"/>
      <c r="ES25" s="259"/>
      <c r="ET25" s="259"/>
      <c r="EU25" s="259"/>
      <c r="EV25" s="259"/>
      <c r="EW25" s="259"/>
      <c r="EX25" s="259"/>
      <c r="EY25" s="259"/>
      <c r="EZ25" s="259"/>
      <c r="FA25" s="259"/>
      <c r="FB25" s="259"/>
      <c r="FC25" s="259"/>
      <c r="FD25" s="259"/>
      <c r="FE25" s="259"/>
      <c r="FF25" s="259"/>
      <c r="FG25" s="259"/>
      <c r="FH25" s="259"/>
      <c r="FI25" s="259"/>
      <c r="FJ25" s="259"/>
      <c r="FK25" s="259"/>
      <c r="FL25" s="259"/>
      <c r="FM25" s="259"/>
      <c r="FN25" s="259"/>
      <c r="FO25" s="259"/>
    </row>
    <row r="26" s="464" customFormat="true" ht="22.5" hidden="false" customHeight="true" outlineLevel="0" collapsed="false">
      <c r="A26" s="418" t="n">
        <f aca="false">'Listado CAPS'!A24</f>
        <v>0</v>
      </c>
      <c r="B26" s="418" t="n">
        <f aca="false">'Listado CAPS'!B24</f>
        <v>0</v>
      </c>
      <c r="C26" s="418" t="n">
        <f aca="false">'Listado CAPS'!C24</f>
        <v>0</v>
      </c>
      <c r="D26" s="418" t="str">
        <f aca="false">'Listado CAPS'!D24</f>
        <v>U</v>
      </c>
      <c r="E26" s="483"/>
      <c r="F26" s="483"/>
      <c r="G26" s="483"/>
      <c r="H26" s="483"/>
      <c r="I26" s="483"/>
      <c r="J26" s="483"/>
      <c r="K26" s="496"/>
      <c r="L26" s="496"/>
      <c r="M26" s="496"/>
      <c r="N26" s="448"/>
      <c r="O26" s="448"/>
      <c r="P26" s="448"/>
      <c r="S26" s="102"/>
      <c r="T26" s="102"/>
      <c r="U26" s="102"/>
      <c r="V26" s="259"/>
      <c r="W26" s="259"/>
      <c r="X26" s="259"/>
      <c r="Y26" s="259"/>
      <c r="Z26" s="259"/>
      <c r="AA26" s="259"/>
      <c r="AB26" s="259"/>
      <c r="AC26" s="259"/>
      <c r="AD26" s="259"/>
      <c r="AE26" s="259"/>
      <c r="AF26" s="259"/>
      <c r="AG26" s="259"/>
      <c r="AH26" s="259"/>
      <c r="AI26" s="259"/>
      <c r="AJ26" s="259"/>
      <c r="AK26" s="259"/>
      <c r="AL26" s="259"/>
      <c r="AM26" s="259"/>
      <c r="AN26" s="259"/>
      <c r="AO26" s="259"/>
      <c r="AP26" s="259"/>
      <c r="AQ26" s="259"/>
      <c r="AR26" s="259"/>
      <c r="AS26" s="259"/>
      <c r="AT26" s="259"/>
      <c r="AU26" s="259"/>
      <c r="AV26" s="259"/>
      <c r="AW26" s="259"/>
      <c r="AX26" s="259"/>
      <c r="AY26" s="259"/>
      <c r="AZ26" s="259"/>
      <c r="BA26" s="259"/>
      <c r="BB26" s="259"/>
      <c r="BC26" s="259"/>
      <c r="BD26" s="259"/>
      <c r="BE26" s="259"/>
      <c r="BF26" s="259"/>
      <c r="BG26" s="259"/>
      <c r="BH26" s="259"/>
      <c r="BI26" s="259"/>
      <c r="BJ26" s="259"/>
      <c r="BK26" s="259"/>
      <c r="BL26" s="259"/>
      <c r="BM26" s="259"/>
      <c r="BN26" s="259"/>
      <c r="BO26" s="259"/>
      <c r="BP26" s="259"/>
      <c r="BQ26" s="259"/>
      <c r="BR26" s="259"/>
      <c r="BS26" s="259"/>
      <c r="BT26" s="259"/>
      <c r="BU26" s="259"/>
      <c r="BV26" s="259"/>
      <c r="BW26" s="259"/>
      <c r="BX26" s="259"/>
      <c r="BY26" s="259"/>
      <c r="BZ26" s="259"/>
      <c r="CA26" s="259"/>
      <c r="CB26" s="259"/>
      <c r="CC26" s="259"/>
      <c r="CD26" s="259"/>
      <c r="CE26" s="259"/>
      <c r="CF26" s="259"/>
      <c r="CG26" s="259"/>
      <c r="CH26" s="259"/>
      <c r="CI26" s="259"/>
      <c r="CJ26" s="259"/>
      <c r="CK26" s="259"/>
      <c r="CL26" s="259"/>
      <c r="CM26" s="259"/>
      <c r="CN26" s="259"/>
      <c r="CO26" s="259"/>
      <c r="CP26" s="259"/>
      <c r="CQ26" s="259"/>
      <c r="CR26" s="259"/>
      <c r="CS26" s="259"/>
      <c r="CT26" s="259"/>
      <c r="CU26" s="259"/>
      <c r="CV26" s="259"/>
      <c r="CW26" s="259"/>
      <c r="CX26" s="259"/>
      <c r="CY26" s="259"/>
      <c r="CZ26" s="259"/>
      <c r="DA26" s="259"/>
      <c r="DB26" s="259"/>
      <c r="DC26" s="259"/>
      <c r="DD26" s="259"/>
      <c r="DE26" s="259"/>
      <c r="DF26" s="259"/>
      <c r="DG26" s="259"/>
      <c r="DH26" s="259"/>
      <c r="DI26" s="259"/>
      <c r="DJ26" s="259"/>
      <c r="DK26" s="259"/>
      <c r="DL26" s="259"/>
      <c r="DM26" s="259"/>
      <c r="DN26" s="259"/>
      <c r="DO26" s="259"/>
      <c r="DP26" s="259"/>
      <c r="DQ26" s="259"/>
      <c r="DR26" s="259"/>
      <c r="DS26" s="259"/>
      <c r="DT26" s="259"/>
      <c r="DU26" s="259"/>
      <c r="DV26" s="259"/>
      <c r="DW26" s="259"/>
      <c r="DX26" s="259"/>
      <c r="DY26" s="259"/>
      <c r="DZ26" s="259"/>
      <c r="EA26" s="259"/>
      <c r="EB26" s="259"/>
      <c r="EC26" s="259"/>
      <c r="ED26" s="259"/>
      <c r="EE26" s="259"/>
      <c r="EF26" s="259"/>
      <c r="EG26" s="259"/>
      <c r="EH26" s="259"/>
      <c r="EI26" s="259"/>
      <c r="EJ26" s="259"/>
      <c r="EK26" s="259"/>
      <c r="EL26" s="259"/>
      <c r="EM26" s="259"/>
      <c r="EN26" s="259"/>
      <c r="EO26" s="259"/>
      <c r="EP26" s="259"/>
      <c r="EQ26" s="259"/>
      <c r="ER26" s="259"/>
      <c r="ES26" s="259"/>
      <c r="ET26" s="259"/>
      <c r="EU26" s="259"/>
      <c r="EV26" s="259"/>
      <c r="EW26" s="259"/>
      <c r="EX26" s="259"/>
      <c r="EY26" s="259"/>
      <c r="EZ26" s="259"/>
      <c r="FA26" s="259"/>
      <c r="FB26" s="259"/>
      <c r="FC26" s="259"/>
      <c r="FD26" s="259"/>
      <c r="FE26" s="259"/>
      <c r="FF26" s="259"/>
      <c r="FG26" s="259"/>
      <c r="FH26" s="259"/>
      <c r="FI26" s="259"/>
      <c r="FJ26" s="259"/>
      <c r="FK26" s="259"/>
      <c r="FL26" s="259"/>
      <c r="FM26" s="259"/>
      <c r="FN26" s="259"/>
      <c r="FO26" s="259"/>
    </row>
    <row r="27" s="464" customFormat="true" ht="22.5" hidden="false" customHeight="true" outlineLevel="0" collapsed="false">
      <c r="A27" s="418" t="n">
        <f aca="false">'Listado CAPS'!A25</f>
        <v>0</v>
      </c>
      <c r="B27" s="418" t="n">
        <f aca="false">'Listado CAPS'!B25</f>
        <v>0</v>
      </c>
      <c r="C27" s="418" t="n">
        <f aca="false">'Listado CAPS'!C25</f>
        <v>0</v>
      </c>
      <c r="D27" s="418" t="str">
        <f aca="false">'Listado CAPS'!D25</f>
        <v>V</v>
      </c>
      <c r="E27" s="483"/>
      <c r="F27" s="483"/>
      <c r="G27" s="483"/>
      <c r="H27" s="483"/>
      <c r="I27" s="483"/>
      <c r="J27" s="483"/>
      <c r="K27" s="496"/>
      <c r="L27" s="496"/>
      <c r="M27" s="496"/>
      <c r="N27" s="448"/>
      <c r="O27" s="448"/>
      <c r="P27" s="448"/>
      <c r="S27" s="102"/>
      <c r="T27" s="102"/>
      <c r="U27" s="102"/>
      <c r="V27" s="259"/>
      <c r="W27" s="259"/>
      <c r="X27" s="259"/>
      <c r="Y27" s="259"/>
      <c r="Z27" s="259"/>
      <c r="AA27" s="259"/>
      <c r="AB27" s="259"/>
      <c r="AC27" s="259"/>
      <c r="AD27" s="259"/>
      <c r="AE27" s="259"/>
      <c r="AF27" s="259"/>
      <c r="AG27" s="259"/>
      <c r="AH27" s="259"/>
      <c r="AI27" s="259"/>
      <c r="AJ27" s="259"/>
      <c r="AK27" s="259"/>
      <c r="AL27" s="259"/>
      <c r="AM27" s="259"/>
      <c r="AN27" s="259"/>
      <c r="AO27" s="259"/>
      <c r="AP27" s="259"/>
      <c r="AQ27" s="259"/>
      <c r="AR27" s="259"/>
      <c r="AS27" s="259"/>
      <c r="AT27" s="259"/>
      <c r="AU27" s="259"/>
      <c r="AV27" s="259"/>
      <c r="AW27" s="259"/>
      <c r="AX27" s="259"/>
      <c r="AY27" s="259"/>
      <c r="AZ27" s="259"/>
      <c r="BA27" s="259"/>
      <c r="BB27" s="259"/>
      <c r="BC27" s="259"/>
      <c r="BD27" s="259"/>
      <c r="BE27" s="259"/>
      <c r="BF27" s="259"/>
      <c r="BG27" s="259"/>
      <c r="BH27" s="259"/>
      <c r="BI27" s="259"/>
      <c r="BJ27" s="259"/>
      <c r="BK27" s="259"/>
      <c r="BL27" s="259"/>
      <c r="BM27" s="259"/>
      <c r="BN27" s="259"/>
      <c r="BO27" s="259"/>
      <c r="BP27" s="259"/>
      <c r="BQ27" s="259"/>
      <c r="BR27" s="259"/>
      <c r="BS27" s="259"/>
      <c r="BT27" s="259"/>
      <c r="BU27" s="259"/>
      <c r="BV27" s="259"/>
      <c r="BW27" s="259"/>
      <c r="BX27" s="259"/>
      <c r="BY27" s="259"/>
      <c r="BZ27" s="259"/>
      <c r="CA27" s="259"/>
      <c r="CB27" s="259"/>
      <c r="CC27" s="259"/>
      <c r="CD27" s="259"/>
      <c r="CE27" s="259"/>
      <c r="CF27" s="259"/>
      <c r="CG27" s="259"/>
      <c r="CH27" s="259"/>
      <c r="CI27" s="259"/>
      <c r="CJ27" s="259"/>
      <c r="CK27" s="259"/>
      <c r="CL27" s="259"/>
      <c r="CM27" s="259"/>
      <c r="CN27" s="259"/>
      <c r="CO27" s="259"/>
      <c r="CP27" s="259"/>
      <c r="CQ27" s="259"/>
      <c r="CR27" s="259"/>
      <c r="CS27" s="259"/>
      <c r="CT27" s="259"/>
      <c r="CU27" s="259"/>
      <c r="CV27" s="259"/>
      <c r="CW27" s="259"/>
      <c r="CX27" s="259"/>
      <c r="CY27" s="259"/>
      <c r="CZ27" s="259"/>
      <c r="DA27" s="259"/>
      <c r="DB27" s="259"/>
      <c r="DC27" s="259"/>
      <c r="DD27" s="259"/>
      <c r="DE27" s="259"/>
      <c r="DF27" s="259"/>
      <c r="DG27" s="259"/>
      <c r="DH27" s="259"/>
      <c r="DI27" s="259"/>
      <c r="DJ27" s="259"/>
      <c r="DK27" s="259"/>
      <c r="DL27" s="259"/>
      <c r="DM27" s="259"/>
      <c r="DN27" s="259"/>
      <c r="DO27" s="259"/>
      <c r="DP27" s="259"/>
      <c r="DQ27" s="259"/>
      <c r="DR27" s="259"/>
      <c r="DS27" s="259"/>
      <c r="DT27" s="259"/>
      <c r="DU27" s="259"/>
      <c r="DV27" s="259"/>
      <c r="DW27" s="259"/>
      <c r="DX27" s="259"/>
      <c r="DY27" s="259"/>
      <c r="DZ27" s="259"/>
      <c r="EA27" s="259"/>
      <c r="EB27" s="259"/>
      <c r="EC27" s="259"/>
      <c r="ED27" s="259"/>
      <c r="EE27" s="259"/>
      <c r="EF27" s="259"/>
      <c r="EG27" s="259"/>
      <c r="EH27" s="259"/>
      <c r="EI27" s="259"/>
      <c r="EJ27" s="259"/>
      <c r="EK27" s="259"/>
      <c r="EL27" s="259"/>
      <c r="EM27" s="259"/>
      <c r="EN27" s="259"/>
      <c r="EO27" s="259"/>
      <c r="EP27" s="259"/>
      <c r="EQ27" s="259"/>
      <c r="ER27" s="259"/>
      <c r="ES27" s="259"/>
      <c r="ET27" s="259"/>
      <c r="EU27" s="259"/>
      <c r="EV27" s="259"/>
      <c r="EW27" s="259"/>
      <c r="EX27" s="259"/>
      <c r="EY27" s="259"/>
      <c r="EZ27" s="259"/>
      <c r="FA27" s="259"/>
      <c r="FB27" s="259"/>
      <c r="FC27" s="259"/>
      <c r="FD27" s="259"/>
      <c r="FE27" s="259"/>
      <c r="FF27" s="259"/>
      <c r="FG27" s="259"/>
      <c r="FH27" s="259"/>
      <c r="FI27" s="259"/>
      <c r="FJ27" s="259"/>
      <c r="FK27" s="259"/>
      <c r="FL27" s="259"/>
      <c r="FM27" s="259"/>
      <c r="FN27" s="259"/>
      <c r="FO27" s="259"/>
    </row>
    <row r="28" s="464" customFormat="true" ht="22.5" hidden="false" customHeight="true" outlineLevel="0" collapsed="false">
      <c r="A28" s="418" t="n">
        <f aca="false">'Listado CAPS'!A26</f>
        <v>0</v>
      </c>
      <c r="B28" s="418" t="n">
        <f aca="false">'Listado CAPS'!B26</f>
        <v>0</v>
      </c>
      <c r="C28" s="418" t="n">
        <f aca="false">'Listado CAPS'!C26</f>
        <v>0</v>
      </c>
      <c r="D28" s="418" t="str">
        <f aca="false">'Listado CAPS'!D26</f>
        <v>W</v>
      </c>
      <c r="E28" s="479"/>
      <c r="F28" s="479"/>
      <c r="G28" s="479"/>
      <c r="H28" s="479"/>
      <c r="I28" s="479"/>
      <c r="J28" s="479"/>
      <c r="K28" s="272"/>
      <c r="L28" s="272"/>
      <c r="M28" s="272"/>
      <c r="N28" s="448"/>
      <c r="O28" s="448"/>
      <c r="P28" s="448"/>
      <c r="S28" s="102"/>
      <c r="T28" s="102"/>
      <c r="U28" s="102"/>
      <c r="V28" s="259"/>
      <c r="W28" s="259"/>
      <c r="X28" s="259"/>
      <c r="Y28" s="259"/>
      <c r="Z28" s="259"/>
      <c r="AA28" s="259"/>
      <c r="AB28" s="259"/>
      <c r="AC28" s="259"/>
      <c r="AD28" s="259"/>
      <c r="AE28" s="259"/>
      <c r="AF28" s="259"/>
      <c r="AG28" s="259"/>
      <c r="AH28" s="259"/>
      <c r="AI28" s="259"/>
      <c r="AJ28" s="259"/>
      <c r="AK28" s="259"/>
      <c r="AL28" s="259"/>
      <c r="AM28" s="259"/>
      <c r="AN28" s="259"/>
      <c r="AO28" s="259"/>
      <c r="AP28" s="259"/>
      <c r="AQ28" s="259"/>
      <c r="AR28" s="259"/>
      <c r="AS28" s="259"/>
      <c r="AT28" s="259"/>
      <c r="AU28" s="259"/>
      <c r="AV28" s="259"/>
      <c r="AW28" s="259"/>
      <c r="AX28" s="259"/>
      <c r="AY28" s="259"/>
      <c r="AZ28" s="259"/>
      <c r="BA28" s="259"/>
      <c r="BB28" s="259"/>
      <c r="BC28" s="259"/>
      <c r="BD28" s="259"/>
      <c r="BE28" s="259"/>
      <c r="BF28" s="259"/>
      <c r="BG28" s="259"/>
      <c r="BH28" s="259"/>
      <c r="BI28" s="259"/>
      <c r="BJ28" s="259"/>
      <c r="BK28" s="259"/>
      <c r="BL28" s="259"/>
      <c r="BM28" s="259"/>
      <c r="BN28" s="259"/>
      <c r="BO28" s="259"/>
      <c r="BP28" s="259"/>
      <c r="BQ28" s="259"/>
      <c r="BR28" s="259"/>
      <c r="BS28" s="259"/>
      <c r="BT28" s="259"/>
      <c r="BU28" s="259"/>
      <c r="BV28" s="259"/>
      <c r="BW28" s="259"/>
      <c r="BX28" s="259"/>
      <c r="BY28" s="259"/>
      <c r="BZ28" s="259"/>
      <c r="CA28" s="259"/>
      <c r="CB28" s="259"/>
      <c r="CC28" s="259"/>
      <c r="CD28" s="259"/>
      <c r="CE28" s="259"/>
      <c r="CF28" s="259"/>
      <c r="CG28" s="259"/>
      <c r="CH28" s="259"/>
      <c r="CI28" s="259"/>
      <c r="CJ28" s="259"/>
      <c r="CK28" s="259"/>
      <c r="CL28" s="259"/>
      <c r="CM28" s="259"/>
      <c r="CN28" s="259"/>
      <c r="CO28" s="259"/>
      <c r="CP28" s="259"/>
      <c r="CQ28" s="259"/>
      <c r="CR28" s="259"/>
      <c r="CS28" s="259"/>
      <c r="CT28" s="259"/>
      <c r="CU28" s="259"/>
      <c r="CV28" s="259"/>
      <c r="CW28" s="259"/>
      <c r="CX28" s="259"/>
      <c r="CY28" s="259"/>
      <c r="CZ28" s="259"/>
      <c r="DA28" s="259"/>
      <c r="DB28" s="259"/>
      <c r="DC28" s="259"/>
      <c r="DD28" s="259"/>
      <c r="DE28" s="259"/>
      <c r="DF28" s="259"/>
      <c r="DG28" s="259"/>
      <c r="DH28" s="259"/>
      <c r="DI28" s="259"/>
      <c r="DJ28" s="259"/>
      <c r="DK28" s="259"/>
      <c r="DL28" s="259"/>
      <c r="DM28" s="259"/>
      <c r="DN28" s="259"/>
      <c r="DO28" s="259"/>
      <c r="DP28" s="259"/>
      <c r="DQ28" s="259"/>
      <c r="DR28" s="259"/>
      <c r="DS28" s="259"/>
      <c r="DT28" s="259"/>
      <c r="DU28" s="259"/>
      <c r="DV28" s="259"/>
      <c r="DW28" s="259"/>
      <c r="DX28" s="259"/>
      <c r="DY28" s="259"/>
      <c r="DZ28" s="259"/>
      <c r="EA28" s="259"/>
      <c r="EB28" s="259"/>
      <c r="EC28" s="259"/>
      <c r="ED28" s="259"/>
      <c r="EE28" s="259"/>
      <c r="EF28" s="259"/>
      <c r="EG28" s="259"/>
      <c r="EH28" s="259"/>
      <c r="EI28" s="259"/>
      <c r="EJ28" s="259"/>
      <c r="EK28" s="259"/>
      <c r="EL28" s="259"/>
      <c r="EM28" s="259"/>
      <c r="EN28" s="259"/>
      <c r="EO28" s="259"/>
      <c r="EP28" s="259"/>
      <c r="EQ28" s="259"/>
      <c r="ER28" s="259"/>
      <c r="ES28" s="259"/>
      <c r="ET28" s="259"/>
      <c r="EU28" s="259"/>
      <c r="EV28" s="259"/>
      <c r="EW28" s="259"/>
      <c r="EX28" s="259"/>
      <c r="EY28" s="259"/>
      <c r="EZ28" s="259"/>
      <c r="FA28" s="259"/>
      <c r="FB28" s="259"/>
      <c r="FC28" s="259"/>
      <c r="FD28" s="259"/>
      <c r="FE28" s="259"/>
      <c r="FF28" s="259"/>
      <c r="FG28" s="259"/>
      <c r="FH28" s="259"/>
      <c r="FI28" s="259"/>
      <c r="FJ28" s="259"/>
      <c r="FK28" s="259"/>
      <c r="FL28" s="259"/>
      <c r="FM28" s="259"/>
      <c r="FN28" s="259"/>
      <c r="FO28" s="259"/>
    </row>
    <row r="29" customFormat="false" ht="22.5" hidden="false" customHeight="true" outlineLevel="0" collapsed="false">
      <c r="A29" s="418" t="n">
        <f aca="false">'Listado CAPS'!A27</f>
        <v>0</v>
      </c>
      <c r="B29" s="418" t="n">
        <f aca="false">'Listado CAPS'!B27</f>
        <v>0</v>
      </c>
      <c r="C29" s="418" t="n">
        <f aca="false">'Listado CAPS'!C27</f>
        <v>0</v>
      </c>
      <c r="D29" s="418" t="str">
        <f aca="false">'Listado CAPS'!D27</f>
        <v>X</v>
      </c>
      <c r="E29" s="479"/>
      <c r="F29" s="479"/>
      <c r="G29" s="479"/>
      <c r="H29" s="479"/>
      <c r="I29" s="479"/>
      <c r="J29" s="479"/>
      <c r="K29" s="272"/>
      <c r="L29" s="272"/>
      <c r="M29" s="272"/>
      <c r="N29" s="448"/>
      <c r="O29" s="448"/>
      <c r="P29" s="448"/>
    </row>
    <row r="30" s="402" customFormat="true" ht="22.5" hidden="false" customHeight="true" outlineLevel="0" collapsed="false">
      <c r="A30" s="418" t="n">
        <f aca="false">'Listado CAPS'!A28</f>
        <v>0</v>
      </c>
      <c r="B30" s="418" t="n">
        <f aca="false">'Listado CAPS'!B28</f>
        <v>0</v>
      </c>
      <c r="C30" s="418" t="n">
        <f aca="false">'Listado CAPS'!C28</f>
        <v>0</v>
      </c>
      <c r="D30" s="418" t="str">
        <f aca="false">'Listado CAPS'!D28</f>
        <v>Y</v>
      </c>
      <c r="E30" s="479"/>
      <c r="F30" s="479"/>
      <c r="G30" s="479"/>
      <c r="H30" s="479"/>
      <c r="I30" s="479"/>
      <c r="J30" s="479"/>
      <c r="K30" s="272"/>
      <c r="L30" s="272"/>
      <c r="M30" s="272"/>
      <c r="N30" s="448"/>
      <c r="O30" s="448"/>
      <c r="P30" s="448"/>
      <c r="V30" s="259"/>
      <c r="W30" s="259"/>
      <c r="X30" s="259"/>
      <c r="Y30" s="259"/>
      <c r="Z30" s="259"/>
      <c r="AA30" s="259"/>
      <c r="AB30" s="259"/>
      <c r="AC30" s="259"/>
      <c r="AD30" s="259"/>
      <c r="AE30" s="259"/>
      <c r="AF30" s="259"/>
      <c r="AG30" s="259"/>
      <c r="AH30" s="259"/>
      <c r="AI30" s="259"/>
      <c r="AJ30" s="259"/>
      <c r="AK30" s="259"/>
      <c r="AL30" s="259"/>
      <c r="AM30" s="259"/>
      <c r="AN30" s="259"/>
      <c r="AO30" s="259"/>
      <c r="AP30" s="259"/>
      <c r="AQ30" s="259"/>
      <c r="AR30" s="259"/>
      <c r="AS30" s="259"/>
      <c r="AT30" s="259"/>
      <c r="AU30" s="259"/>
      <c r="AV30" s="259"/>
      <c r="AW30" s="259"/>
      <c r="AX30" s="259"/>
      <c r="AY30" s="259"/>
      <c r="AZ30" s="259"/>
      <c r="BA30" s="259"/>
      <c r="BB30" s="259"/>
      <c r="BC30" s="259"/>
      <c r="BD30" s="259"/>
      <c r="BE30" s="259"/>
      <c r="BF30" s="259"/>
      <c r="BG30" s="259"/>
      <c r="BH30" s="259"/>
      <c r="BI30" s="259"/>
      <c r="BJ30" s="259"/>
      <c r="BK30" s="259"/>
      <c r="BL30" s="259"/>
      <c r="BM30" s="259"/>
      <c r="BN30" s="259"/>
      <c r="BO30" s="259"/>
      <c r="BP30" s="259"/>
      <c r="BQ30" s="259"/>
      <c r="BR30" s="259"/>
      <c r="BS30" s="259"/>
      <c r="BT30" s="259"/>
      <c r="BU30" s="259"/>
      <c r="BV30" s="259"/>
      <c r="BW30" s="259"/>
      <c r="BX30" s="259"/>
      <c r="BY30" s="259"/>
      <c r="BZ30" s="259"/>
      <c r="CA30" s="259"/>
      <c r="CB30" s="259"/>
      <c r="CC30" s="259"/>
      <c r="CD30" s="259"/>
      <c r="CE30" s="259"/>
      <c r="CF30" s="259"/>
      <c r="CG30" s="259"/>
      <c r="CH30" s="259"/>
      <c r="CI30" s="259"/>
      <c r="CJ30" s="259"/>
      <c r="CK30" s="259"/>
      <c r="CL30" s="259"/>
      <c r="CM30" s="259"/>
      <c r="CN30" s="259"/>
      <c r="CO30" s="259"/>
      <c r="CP30" s="259"/>
      <c r="CQ30" s="259"/>
      <c r="CR30" s="259"/>
      <c r="CS30" s="259"/>
      <c r="CT30" s="259"/>
      <c r="CU30" s="259"/>
      <c r="CV30" s="259"/>
      <c r="CW30" s="259"/>
      <c r="CX30" s="259"/>
      <c r="CY30" s="259"/>
      <c r="CZ30" s="259"/>
      <c r="DA30" s="259"/>
      <c r="DB30" s="259"/>
      <c r="DC30" s="259"/>
      <c r="DD30" s="259"/>
      <c r="DE30" s="259"/>
      <c r="DF30" s="259"/>
      <c r="DG30" s="259"/>
      <c r="DH30" s="259"/>
      <c r="DI30" s="259"/>
      <c r="DJ30" s="259"/>
      <c r="DK30" s="259"/>
      <c r="DL30" s="259"/>
      <c r="DM30" s="259"/>
      <c r="DN30" s="259"/>
      <c r="DO30" s="259"/>
      <c r="DP30" s="259"/>
      <c r="DQ30" s="259"/>
      <c r="DR30" s="259"/>
      <c r="DS30" s="259"/>
      <c r="DT30" s="259"/>
      <c r="DU30" s="259"/>
      <c r="DV30" s="259"/>
      <c r="DW30" s="259"/>
      <c r="DX30" s="259"/>
      <c r="DY30" s="259"/>
      <c r="DZ30" s="259"/>
      <c r="EA30" s="259"/>
      <c r="EB30" s="259"/>
      <c r="EC30" s="259"/>
      <c r="ED30" s="259"/>
      <c r="EE30" s="259"/>
      <c r="EF30" s="259"/>
      <c r="EG30" s="259"/>
      <c r="EH30" s="259"/>
      <c r="EI30" s="259"/>
      <c r="EJ30" s="259"/>
      <c r="EK30" s="259"/>
      <c r="EL30" s="259"/>
      <c r="EM30" s="259"/>
      <c r="EN30" s="259"/>
      <c r="EO30" s="259"/>
      <c r="EP30" s="259"/>
      <c r="EQ30" s="259"/>
      <c r="ER30" s="259"/>
      <c r="ES30" s="259"/>
      <c r="ET30" s="259"/>
      <c r="EU30" s="259"/>
      <c r="EV30" s="259"/>
      <c r="EW30" s="259"/>
      <c r="EX30" s="259"/>
      <c r="EY30" s="259"/>
      <c r="EZ30" s="259"/>
      <c r="FA30" s="259"/>
      <c r="FB30" s="259"/>
      <c r="FC30" s="259"/>
      <c r="FD30" s="259"/>
      <c r="FE30" s="259"/>
      <c r="FF30" s="259"/>
      <c r="FG30" s="259"/>
      <c r="FH30" s="259"/>
      <c r="FI30" s="259"/>
      <c r="FJ30" s="259"/>
      <c r="FK30" s="259"/>
      <c r="FL30" s="259"/>
      <c r="FM30" s="259"/>
      <c r="FN30" s="259"/>
      <c r="FO30" s="259"/>
    </row>
    <row r="31" s="402" customFormat="true" ht="22.5" hidden="false" customHeight="true" outlineLevel="0" collapsed="false">
      <c r="A31" s="259"/>
      <c r="B31" s="259"/>
      <c r="C31" s="259"/>
      <c r="D31" s="259"/>
      <c r="E31" s="36"/>
      <c r="F31" s="36"/>
      <c r="G31" s="36"/>
      <c r="H31" s="36"/>
      <c r="I31" s="36"/>
      <c r="J31" s="36"/>
      <c r="K31" s="91"/>
      <c r="L31" s="91"/>
      <c r="M31" s="91"/>
      <c r="V31" s="259"/>
      <c r="W31" s="259"/>
      <c r="X31" s="259"/>
      <c r="Y31" s="259"/>
      <c r="Z31" s="259"/>
      <c r="AA31" s="259"/>
      <c r="AB31" s="259"/>
      <c r="AC31" s="259"/>
      <c r="AD31" s="259"/>
      <c r="AE31" s="259"/>
      <c r="AF31" s="259"/>
      <c r="AG31" s="259"/>
      <c r="AH31" s="259"/>
      <c r="AI31" s="259"/>
      <c r="AJ31" s="259"/>
      <c r="AK31" s="259"/>
      <c r="AL31" s="259"/>
      <c r="AM31" s="259"/>
      <c r="AN31" s="259"/>
      <c r="AO31" s="259"/>
      <c r="AP31" s="259"/>
      <c r="AQ31" s="259"/>
      <c r="AR31" s="259"/>
      <c r="AS31" s="259"/>
      <c r="AT31" s="259"/>
      <c r="AU31" s="259"/>
      <c r="AV31" s="259"/>
      <c r="AW31" s="259"/>
      <c r="AX31" s="259"/>
      <c r="AY31" s="259"/>
      <c r="AZ31" s="259"/>
      <c r="BA31" s="259"/>
      <c r="BB31" s="259"/>
      <c r="BC31" s="259"/>
      <c r="BD31" s="259"/>
      <c r="BE31" s="259"/>
      <c r="BF31" s="259"/>
      <c r="BG31" s="259"/>
      <c r="BH31" s="259"/>
      <c r="BI31" s="259"/>
      <c r="BJ31" s="259"/>
      <c r="BK31" s="259"/>
      <c r="BL31" s="259"/>
      <c r="BM31" s="259"/>
      <c r="BN31" s="259"/>
      <c r="BO31" s="259"/>
      <c r="BP31" s="259"/>
      <c r="BQ31" s="259"/>
      <c r="BR31" s="259"/>
      <c r="BS31" s="259"/>
      <c r="BT31" s="259"/>
      <c r="BU31" s="259"/>
      <c r="BV31" s="259"/>
      <c r="BW31" s="259"/>
      <c r="BX31" s="259"/>
      <c r="BY31" s="259"/>
      <c r="BZ31" s="259"/>
      <c r="CA31" s="259"/>
      <c r="CB31" s="259"/>
      <c r="CC31" s="259"/>
      <c r="CD31" s="259"/>
      <c r="CE31" s="259"/>
      <c r="CF31" s="259"/>
      <c r="CG31" s="259"/>
      <c r="CH31" s="259"/>
      <c r="CI31" s="259"/>
      <c r="CJ31" s="259"/>
      <c r="CK31" s="259"/>
      <c r="CL31" s="259"/>
      <c r="CM31" s="259"/>
      <c r="CN31" s="259"/>
      <c r="CO31" s="259"/>
      <c r="CP31" s="259"/>
      <c r="CQ31" s="259"/>
      <c r="CR31" s="259"/>
      <c r="CS31" s="259"/>
      <c r="CT31" s="259"/>
      <c r="CU31" s="259"/>
      <c r="CV31" s="259"/>
      <c r="CW31" s="259"/>
      <c r="CX31" s="259"/>
      <c r="CY31" s="259"/>
      <c r="CZ31" s="259"/>
      <c r="DA31" s="259"/>
      <c r="DB31" s="259"/>
      <c r="DC31" s="259"/>
      <c r="DD31" s="259"/>
      <c r="DE31" s="259"/>
      <c r="DF31" s="259"/>
      <c r="DG31" s="259"/>
      <c r="DH31" s="259"/>
      <c r="DI31" s="259"/>
      <c r="DJ31" s="259"/>
      <c r="DK31" s="259"/>
      <c r="DL31" s="259"/>
      <c r="DM31" s="259"/>
      <c r="DN31" s="259"/>
      <c r="DO31" s="259"/>
      <c r="DP31" s="259"/>
      <c r="DQ31" s="259"/>
      <c r="DR31" s="259"/>
      <c r="DS31" s="259"/>
      <c r="DT31" s="259"/>
      <c r="DU31" s="259"/>
      <c r="DV31" s="259"/>
      <c r="DW31" s="259"/>
      <c r="DX31" s="259"/>
      <c r="DY31" s="259"/>
      <c r="DZ31" s="259"/>
      <c r="EA31" s="259"/>
      <c r="EB31" s="259"/>
      <c r="EC31" s="259"/>
      <c r="ED31" s="259"/>
      <c r="EE31" s="259"/>
      <c r="EF31" s="259"/>
      <c r="EG31" s="259"/>
      <c r="EH31" s="259"/>
      <c r="EI31" s="259"/>
      <c r="EJ31" s="259"/>
      <c r="EK31" s="259"/>
      <c r="EL31" s="259"/>
      <c r="EM31" s="259"/>
      <c r="EN31" s="259"/>
      <c r="EO31" s="259"/>
      <c r="EP31" s="259"/>
      <c r="EQ31" s="259"/>
      <c r="ER31" s="259"/>
      <c r="ES31" s="259"/>
      <c r="ET31" s="259"/>
      <c r="EU31" s="259"/>
      <c r="EV31" s="259"/>
      <c r="EW31" s="259"/>
      <c r="EX31" s="259"/>
      <c r="EY31" s="259"/>
      <c r="EZ31" s="259"/>
      <c r="FA31" s="259"/>
      <c r="FB31" s="259"/>
      <c r="FC31" s="259"/>
      <c r="FD31" s="259"/>
      <c r="FE31" s="259"/>
      <c r="FF31" s="259"/>
      <c r="FG31" s="259"/>
      <c r="FH31" s="259"/>
      <c r="FI31" s="259"/>
      <c r="FJ31" s="259"/>
      <c r="FK31" s="259"/>
      <c r="FL31" s="259"/>
      <c r="FM31" s="259"/>
      <c r="FN31" s="259"/>
      <c r="FO31" s="259"/>
    </row>
    <row r="32" s="402" customFormat="true" ht="22.5" hidden="false" customHeight="true" outlineLevel="0" collapsed="false">
      <c r="A32" s="259"/>
      <c r="B32" s="259"/>
      <c r="C32" s="259"/>
      <c r="D32" s="259"/>
      <c r="E32" s="36"/>
      <c r="F32" s="36"/>
      <c r="G32" s="36"/>
      <c r="H32" s="36"/>
      <c r="I32" s="36"/>
      <c r="J32" s="36"/>
      <c r="K32" s="91"/>
      <c r="L32" s="91"/>
      <c r="M32" s="91"/>
      <c r="V32" s="259"/>
      <c r="W32" s="259"/>
      <c r="X32" s="259"/>
      <c r="Y32" s="259"/>
      <c r="Z32" s="259"/>
      <c r="AA32" s="259"/>
      <c r="AB32" s="259"/>
      <c r="AC32" s="259"/>
      <c r="AD32" s="259"/>
      <c r="AE32" s="259"/>
      <c r="AF32" s="259"/>
      <c r="AG32" s="259"/>
      <c r="AH32" s="259"/>
      <c r="AI32" s="259"/>
      <c r="AJ32" s="259"/>
      <c r="AK32" s="259"/>
      <c r="AL32" s="259"/>
      <c r="AM32" s="259"/>
      <c r="AN32" s="259"/>
      <c r="AO32" s="259"/>
      <c r="AP32" s="259"/>
      <c r="AQ32" s="259"/>
      <c r="AR32" s="259"/>
      <c r="AS32" s="259"/>
      <c r="AT32" s="259"/>
      <c r="AU32" s="259"/>
      <c r="AV32" s="259"/>
      <c r="AW32" s="259"/>
      <c r="AX32" s="259"/>
      <c r="AY32" s="259"/>
      <c r="AZ32" s="259"/>
      <c r="BA32" s="259"/>
      <c r="BB32" s="259"/>
      <c r="BC32" s="259"/>
      <c r="BD32" s="259"/>
      <c r="BE32" s="259"/>
      <c r="BF32" s="259"/>
      <c r="BG32" s="259"/>
      <c r="BH32" s="259"/>
      <c r="BI32" s="259"/>
      <c r="BJ32" s="259"/>
      <c r="BK32" s="259"/>
      <c r="BL32" s="259"/>
      <c r="BM32" s="259"/>
      <c r="BN32" s="259"/>
      <c r="BO32" s="259"/>
      <c r="BP32" s="259"/>
      <c r="BQ32" s="259"/>
      <c r="BR32" s="259"/>
      <c r="BS32" s="259"/>
      <c r="BT32" s="259"/>
      <c r="BU32" s="259"/>
      <c r="BV32" s="259"/>
      <c r="BW32" s="259"/>
      <c r="BX32" s="259"/>
      <c r="BY32" s="259"/>
      <c r="BZ32" s="259"/>
      <c r="CA32" s="259"/>
      <c r="CB32" s="259"/>
      <c r="CC32" s="259"/>
      <c r="CD32" s="259"/>
      <c r="CE32" s="259"/>
      <c r="CF32" s="259"/>
      <c r="CG32" s="259"/>
      <c r="CH32" s="259"/>
      <c r="CI32" s="259"/>
      <c r="CJ32" s="259"/>
      <c r="CK32" s="259"/>
      <c r="CL32" s="259"/>
      <c r="CM32" s="259"/>
      <c r="CN32" s="259"/>
      <c r="CO32" s="259"/>
      <c r="CP32" s="259"/>
      <c r="CQ32" s="259"/>
      <c r="CR32" s="259"/>
      <c r="CS32" s="259"/>
      <c r="CT32" s="259"/>
      <c r="CU32" s="259"/>
      <c r="CV32" s="259"/>
      <c r="CW32" s="259"/>
      <c r="CX32" s="259"/>
      <c r="CY32" s="259"/>
      <c r="CZ32" s="259"/>
      <c r="DA32" s="259"/>
      <c r="DB32" s="259"/>
      <c r="DC32" s="259"/>
      <c r="DD32" s="259"/>
      <c r="DE32" s="259"/>
      <c r="DF32" s="259"/>
      <c r="DG32" s="259"/>
      <c r="DH32" s="259"/>
      <c r="DI32" s="259"/>
      <c r="DJ32" s="259"/>
      <c r="DK32" s="259"/>
      <c r="DL32" s="259"/>
      <c r="DM32" s="259"/>
      <c r="DN32" s="259"/>
      <c r="DO32" s="259"/>
      <c r="DP32" s="259"/>
      <c r="DQ32" s="259"/>
      <c r="DR32" s="259"/>
      <c r="DS32" s="259"/>
      <c r="DT32" s="259"/>
      <c r="DU32" s="259"/>
      <c r="DV32" s="259"/>
      <c r="DW32" s="259"/>
      <c r="DX32" s="259"/>
      <c r="DY32" s="259"/>
      <c r="DZ32" s="259"/>
      <c r="EA32" s="259"/>
      <c r="EB32" s="259"/>
      <c r="EC32" s="259"/>
      <c r="ED32" s="259"/>
      <c r="EE32" s="259"/>
      <c r="EF32" s="259"/>
      <c r="EG32" s="259"/>
      <c r="EH32" s="259"/>
      <c r="EI32" s="259"/>
      <c r="EJ32" s="259"/>
      <c r="EK32" s="259"/>
      <c r="EL32" s="259"/>
      <c r="EM32" s="259"/>
      <c r="EN32" s="259"/>
      <c r="EO32" s="259"/>
      <c r="EP32" s="259"/>
      <c r="EQ32" s="259"/>
      <c r="ER32" s="259"/>
      <c r="ES32" s="259"/>
      <c r="ET32" s="259"/>
      <c r="EU32" s="259"/>
      <c r="EV32" s="259"/>
      <c r="EW32" s="259"/>
      <c r="EX32" s="259"/>
      <c r="EY32" s="259"/>
      <c r="EZ32" s="259"/>
      <c r="FA32" s="259"/>
      <c r="FB32" s="259"/>
      <c r="FC32" s="259"/>
      <c r="FD32" s="259"/>
      <c r="FE32" s="259"/>
      <c r="FF32" s="259"/>
      <c r="FG32" s="259"/>
      <c r="FH32" s="259"/>
      <c r="FI32" s="259"/>
      <c r="FJ32" s="259"/>
      <c r="FK32" s="259"/>
      <c r="FL32" s="259"/>
      <c r="FM32" s="259"/>
      <c r="FN32" s="259"/>
      <c r="FO32" s="259"/>
    </row>
    <row r="33" s="402" customFormat="true" ht="22.5" hidden="false" customHeight="true" outlineLevel="0" collapsed="false">
      <c r="A33" s="259"/>
      <c r="B33" s="259"/>
      <c r="C33" s="259"/>
      <c r="D33" s="259"/>
      <c r="E33" s="36"/>
      <c r="F33" s="36"/>
      <c r="G33" s="36"/>
      <c r="H33" s="36"/>
      <c r="I33" s="36"/>
      <c r="J33" s="36"/>
      <c r="K33" s="91"/>
      <c r="L33" s="91"/>
      <c r="M33" s="91"/>
      <c r="V33" s="259"/>
      <c r="W33" s="259"/>
      <c r="X33" s="259"/>
      <c r="Y33" s="259"/>
      <c r="Z33" s="259"/>
      <c r="AA33" s="259"/>
      <c r="AB33" s="259"/>
      <c r="AC33" s="259"/>
      <c r="AD33" s="259"/>
      <c r="AE33" s="259"/>
      <c r="AF33" s="259"/>
      <c r="AG33" s="259"/>
      <c r="AH33" s="259"/>
      <c r="AI33" s="259"/>
      <c r="AJ33" s="259"/>
      <c r="AK33" s="259"/>
      <c r="AL33" s="259"/>
      <c r="AM33" s="259"/>
      <c r="AN33" s="259"/>
      <c r="AO33" s="259"/>
      <c r="AP33" s="259"/>
      <c r="AQ33" s="259"/>
      <c r="AR33" s="259"/>
      <c r="AS33" s="259"/>
      <c r="AT33" s="259"/>
      <c r="AU33" s="259"/>
      <c r="AV33" s="259"/>
      <c r="AW33" s="259"/>
      <c r="AX33" s="259"/>
      <c r="AY33" s="259"/>
      <c r="AZ33" s="259"/>
      <c r="BA33" s="259"/>
      <c r="BB33" s="259"/>
      <c r="BC33" s="259"/>
      <c r="BD33" s="259"/>
      <c r="BE33" s="259"/>
      <c r="BF33" s="259"/>
      <c r="BG33" s="259"/>
      <c r="BH33" s="259"/>
      <c r="BI33" s="259"/>
      <c r="BJ33" s="259"/>
      <c r="BK33" s="259"/>
      <c r="BL33" s="259"/>
      <c r="BM33" s="259"/>
      <c r="BN33" s="259"/>
      <c r="BO33" s="259"/>
      <c r="BP33" s="259"/>
      <c r="BQ33" s="259"/>
      <c r="BR33" s="259"/>
      <c r="BS33" s="259"/>
      <c r="BT33" s="259"/>
      <c r="BU33" s="259"/>
      <c r="BV33" s="259"/>
      <c r="BW33" s="259"/>
      <c r="BX33" s="259"/>
      <c r="BY33" s="259"/>
      <c r="BZ33" s="259"/>
      <c r="CA33" s="259"/>
      <c r="CB33" s="259"/>
      <c r="CC33" s="259"/>
      <c r="CD33" s="259"/>
      <c r="CE33" s="259"/>
      <c r="CF33" s="259"/>
      <c r="CG33" s="259"/>
      <c r="CH33" s="259"/>
      <c r="CI33" s="259"/>
      <c r="CJ33" s="259"/>
      <c r="CK33" s="259"/>
      <c r="CL33" s="259"/>
      <c r="CM33" s="259"/>
      <c r="CN33" s="259"/>
      <c r="CO33" s="259"/>
      <c r="CP33" s="259"/>
      <c r="CQ33" s="259"/>
      <c r="CR33" s="259"/>
      <c r="CS33" s="259"/>
      <c r="CT33" s="259"/>
      <c r="CU33" s="259"/>
      <c r="CV33" s="259"/>
      <c r="CW33" s="259"/>
      <c r="CX33" s="259"/>
      <c r="CY33" s="259"/>
      <c r="CZ33" s="259"/>
      <c r="DA33" s="259"/>
      <c r="DB33" s="259"/>
      <c r="DC33" s="259"/>
      <c r="DD33" s="259"/>
      <c r="DE33" s="259"/>
      <c r="DF33" s="259"/>
      <c r="DG33" s="259"/>
      <c r="DH33" s="259"/>
      <c r="DI33" s="259"/>
      <c r="DJ33" s="259"/>
      <c r="DK33" s="259"/>
      <c r="DL33" s="259"/>
      <c r="DM33" s="259"/>
      <c r="DN33" s="259"/>
      <c r="DO33" s="259"/>
      <c r="DP33" s="259"/>
      <c r="DQ33" s="259"/>
      <c r="DR33" s="259"/>
      <c r="DS33" s="259"/>
      <c r="DT33" s="259"/>
      <c r="DU33" s="259"/>
      <c r="DV33" s="259"/>
      <c r="DW33" s="259"/>
      <c r="DX33" s="259"/>
      <c r="DY33" s="259"/>
      <c r="DZ33" s="259"/>
      <c r="EA33" s="259"/>
      <c r="EB33" s="259"/>
      <c r="EC33" s="259"/>
      <c r="ED33" s="259"/>
      <c r="EE33" s="259"/>
      <c r="EF33" s="259"/>
      <c r="EG33" s="259"/>
      <c r="EH33" s="259"/>
      <c r="EI33" s="259"/>
      <c r="EJ33" s="259"/>
      <c r="EK33" s="259"/>
      <c r="EL33" s="259"/>
      <c r="EM33" s="259"/>
      <c r="EN33" s="259"/>
      <c r="EO33" s="259"/>
      <c r="EP33" s="259"/>
      <c r="EQ33" s="259"/>
      <c r="ER33" s="259"/>
      <c r="ES33" s="259"/>
      <c r="ET33" s="259"/>
      <c r="EU33" s="259"/>
      <c r="EV33" s="259"/>
      <c r="EW33" s="259"/>
      <c r="EX33" s="259"/>
      <c r="EY33" s="259"/>
      <c r="EZ33" s="259"/>
      <c r="FA33" s="259"/>
      <c r="FB33" s="259"/>
      <c r="FC33" s="259"/>
      <c r="FD33" s="259"/>
      <c r="FE33" s="259"/>
      <c r="FF33" s="259"/>
      <c r="FG33" s="259"/>
      <c r="FH33" s="259"/>
      <c r="FI33" s="259"/>
      <c r="FJ33" s="259"/>
      <c r="FK33" s="259"/>
      <c r="FL33" s="259"/>
      <c r="FM33" s="259"/>
      <c r="FN33" s="259"/>
      <c r="FO33" s="259"/>
    </row>
    <row r="34" s="402" customFormat="true" ht="22.5" hidden="false" customHeight="true" outlineLevel="0" collapsed="false">
      <c r="A34" s="259"/>
      <c r="B34" s="259"/>
      <c r="C34" s="259"/>
      <c r="D34" s="259"/>
      <c r="E34" s="36"/>
      <c r="F34" s="36"/>
      <c r="G34" s="36"/>
      <c r="H34" s="36"/>
      <c r="I34" s="36"/>
      <c r="J34" s="36"/>
      <c r="K34" s="91"/>
      <c r="L34" s="91"/>
      <c r="M34" s="91"/>
      <c r="N34" s="36"/>
      <c r="O34" s="401"/>
      <c r="P34" s="401"/>
      <c r="Q34" s="401"/>
      <c r="V34" s="259"/>
      <c r="W34" s="259"/>
      <c r="X34" s="259"/>
      <c r="Y34" s="259"/>
      <c r="Z34" s="259"/>
      <c r="AA34" s="259"/>
      <c r="AB34" s="259"/>
      <c r="AC34" s="259"/>
      <c r="AD34" s="259"/>
      <c r="AE34" s="259"/>
      <c r="AF34" s="259"/>
      <c r="AG34" s="259"/>
      <c r="AH34" s="259"/>
      <c r="AI34" s="259"/>
      <c r="AJ34" s="259"/>
      <c r="AK34" s="259"/>
      <c r="AL34" s="259"/>
      <c r="AM34" s="259"/>
      <c r="AN34" s="259"/>
      <c r="AO34" s="259"/>
      <c r="AP34" s="259"/>
      <c r="AQ34" s="259"/>
      <c r="AR34" s="259"/>
      <c r="AS34" s="259"/>
      <c r="AT34" s="259"/>
      <c r="AU34" s="259"/>
      <c r="AV34" s="259"/>
      <c r="AW34" s="259"/>
      <c r="AX34" s="259"/>
      <c r="AY34" s="259"/>
      <c r="AZ34" s="259"/>
      <c r="BA34" s="259"/>
      <c r="BB34" s="259"/>
      <c r="BC34" s="259"/>
      <c r="BD34" s="259"/>
      <c r="BE34" s="259"/>
      <c r="BF34" s="259"/>
      <c r="BG34" s="259"/>
      <c r="BH34" s="259"/>
      <c r="BI34" s="259"/>
      <c r="BJ34" s="259"/>
      <c r="BK34" s="259"/>
      <c r="BL34" s="259"/>
      <c r="BM34" s="259"/>
      <c r="BN34" s="259"/>
      <c r="BO34" s="259"/>
      <c r="BP34" s="259"/>
      <c r="BQ34" s="259"/>
      <c r="BR34" s="259"/>
      <c r="BS34" s="259"/>
      <c r="BT34" s="259"/>
      <c r="BU34" s="259"/>
      <c r="BV34" s="259"/>
      <c r="BW34" s="259"/>
      <c r="BX34" s="259"/>
      <c r="BY34" s="259"/>
      <c r="BZ34" s="259"/>
      <c r="CA34" s="259"/>
      <c r="CB34" s="259"/>
      <c r="CC34" s="259"/>
      <c r="CD34" s="259"/>
      <c r="CE34" s="259"/>
      <c r="CF34" s="259"/>
      <c r="CG34" s="259"/>
      <c r="CH34" s="259"/>
      <c r="CI34" s="259"/>
      <c r="CJ34" s="259"/>
      <c r="CK34" s="259"/>
      <c r="CL34" s="259"/>
      <c r="CM34" s="259"/>
      <c r="CN34" s="259"/>
      <c r="CO34" s="259"/>
      <c r="CP34" s="259"/>
      <c r="CQ34" s="259"/>
      <c r="CR34" s="259"/>
      <c r="CS34" s="259"/>
      <c r="CT34" s="259"/>
      <c r="CU34" s="259"/>
      <c r="CV34" s="259"/>
      <c r="CW34" s="259"/>
      <c r="CX34" s="259"/>
      <c r="CY34" s="259"/>
      <c r="CZ34" s="259"/>
      <c r="DA34" s="259"/>
      <c r="DB34" s="259"/>
      <c r="DC34" s="259"/>
      <c r="DD34" s="259"/>
      <c r="DE34" s="259"/>
      <c r="DF34" s="259"/>
      <c r="DG34" s="259"/>
      <c r="DH34" s="259"/>
      <c r="DI34" s="259"/>
      <c r="DJ34" s="259"/>
      <c r="DK34" s="259"/>
      <c r="DL34" s="259"/>
      <c r="DM34" s="259"/>
      <c r="DN34" s="259"/>
      <c r="DO34" s="259"/>
      <c r="DP34" s="259"/>
      <c r="DQ34" s="259"/>
      <c r="DR34" s="259"/>
      <c r="DS34" s="259"/>
      <c r="DT34" s="259"/>
      <c r="DU34" s="259"/>
      <c r="DV34" s="259"/>
      <c r="DW34" s="259"/>
      <c r="DX34" s="259"/>
      <c r="DY34" s="259"/>
      <c r="DZ34" s="259"/>
      <c r="EA34" s="259"/>
      <c r="EB34" s="259"/>
      <c r="EC34" s="259"/>
      <c r="ED34" s="259"/>
      <c r="EE34" s="259"/>
      <c r="EF34" s="259"/>
      <c r="EG34" s="259"/>
      <c r="EH34" s="259"/>
      <c r="EI34" s="259"/>
      <c r="EJ34" s="259"/>
      <c r="EK34" s="259"/>
      <c r="EL34" s="259"/>
      <c r="EM34" s="259"/>
      <c r="EN34" s="259"/>
      <c r="EO34" s="259"/>
      <c r="EP34" s="259"/>
      <c r="EQ34" s="259"/>
      <c r="ER34" s="259"/>
      <c r="ES34" s="259"/>
      <c r="ET34" s="259"/>
      <c r="EU34" s="259"/>
      <c r="EV34" s="259"/>
      <c r="EW34" s="259"/>
      <c r="EX34" s="259"/>
      <c r="EY34" s="259"/>
      <c r="EZ34" s="259"/>
      <c r="FA34" s="259"/>
      <c r="FB34" s="259"/>
      <c r="FC34" s="259"/>
      <c r="FD34" s="259"/>
      <c r="FE34" s="259"/>
      <c r="FF34" s="259"/>
      <c r="FG34" s="259"/>
      <c r="FH34" s="259"/>
      <c r="FI34" s="259"/>
      <c r="FJ34" s="259"/>
      <c r="FK34" s="259"/>
      <c r="FL34" s="259"/>
      <c r="FM34" s="259"/>
      <c r="FN34" s="259"/>
      <c r="FO34" s="259"/>
    </row>
    <row r="35" s="402" customFormat="true" ht="22.5" hidden="false" customHeight="true" outlineLevel="0" collapsed="false">
      <c r="A35" s="259"/>
      <c r="B35" s="259"/>
      <c r="C35" s="259"/>
      <c r="D35" s="259"/>
      <c r="E35" s="36"/>
      <c r="F35" s="36"/>
      <c r="G35" s="36"/>
      <c r="H35" s="36"/>
      <c r="I35" s="36"/>
      <c r="J35" s="36"/>
      <c r="K35" s="91"/>
      <c r="L35" s="91"/>
      <c r="M35" s="91"/>
      <c r="N35" s="36"/>
      <c r="O35" s="401"/>
      <c r="P35" s="401"/>
      <c r="Q35" s="401"/>
      <c r="V35" s="259"/>
      <c r="W35" s="259"/>
      <c r="X35" s="259"/>
      <c r="Y35" s="259"/>
      <c r="Z35" s="259"/>
      <c r="AA35" s="259"/>
      <c r="AB35" s="259"/>
      <c r="AC35" s="259"/>
      <c r="AD35" s="259"/>
      <c r="AE35" s="259"/>
      <c r="AF35" s="259"/>
      <c r="AG35" s="259"/>
      <c r="AH35" s="259"/>
      <c r="AI35" s="259"/>
      <c r="AJ35" s="259"/>
      <c r="AK35" s="259"/>
      <c r="AL35" s="259"/>
      <c r="AM35" s="259"/>
      <c r="AN35" s="259"/>
      <c r="AO35" s="259"/>
      <c r="AP35" s="259"/>
      <c r="AQ35" s="259"/>
      <c r="AR35" s="259"/>
      <c r="AS35" s="259"/>
      <c r="AT35" s="259"/>
      <c r="AU35" s="259"/>
      <c r="AV35" s="259"/>
      <c r="AW35" s="259"/>
      <c r="AX35" s="259"/>
      <c r="AY35" s="259"/>
      <c r="AZ35" s="259"/>
      <c r="BA35" s="259"/>
      <c r="BB35" s="259"/>
      <c r="BC35" s="259"/>
      <c r="BD35" s="259"/>
      <c r="BE35" s="259"/>
      <c r="BF35" s="259"/>
      <c r="BG35" s="259"/>
      <c r="BH35" s="259"/>
      <c r="BI35" s="259"/>
      <c r="BJ35" s="259"/>
      <c r="BK35" s="259"/>
      <c r="BL35" s="259"/>
      <c r="BM35" s="259"/>
      <c r="BN35" s="259"/>
      <c r="BO35" s="259"/>
      <c r="BP35" s="259"/>
      <c r="BQ35" s="259"/>
      <c r="BR35" s="259"/>
      <c r="BS35" s="259"/>
      <c r="BT35" s="259"/>
      <c r="BU35" s="259"/>
      <c r="BV35" s="259"/>
      <c r="BW35" s="259"/>
      <c r="BX35" s="259"/>
      <c r="BY35" s="259"/>
      <c r="BZ35" s="259"/>
      <c r="CA35" s="259"/>
      <c r="CB35" s="259"/>
      <c r="CC35" s="259"/>
      <c r="CD35" s="259"/>
      <c r="CE35" s="259"/>
      <c r="CF35" s="259"/>
      <c r="CG35" s="259"/>
      <c r="CH35" s="259"/>
      <c r="CI35" s="259"/>
      <c r="CJ35" s="259"/>
      <c r="CK35" s="259"/>
      <c r="CL35" s="259"/>
      <c r="CM35" s="259"/>
      <c r="CN35" s="259"/>
      <c r="CO35" s="259"/>
      <c r="CP35" s="259"/>
      <c r="CQ35" s="259"/>
      <c r="CR35" s="259"/>
      <c r="CS35" s="259"/>
      <c r="CT35" s="259"/>
      <c r="CU35" s="259"/>
      <c r="CV35" s="259"/>
      <c r="CW35" s="259"/>
      <c r="CX35" s="259"/>
      <c r="CY35" s="259"/>
      <c r="CZ35" s="259"/>
      <c r="DA35" s="259"/>
      <c r="DB35" s="259"/>
      <c r="DC35" s="259"/>
      <c r="DD35" s="259"/>
      <c r="DE35" s="259"/>
      <c r="DF35" s="259"/>
      <c r="DG35" s="259"/>
      <c r="DH35" s="259"/>
      <c r="DI35" s="259"/>
      <c r="DJ35" s="259"/>
      <c r="DK35" s="259"/>
      <c r="DL35" s="259"/>
      <c r="DM35" s="259"/>
      <c r="DN35" s="259"/>
      <c r="DO35" s="259"/>
      <c r="DP35" s="259"/>
      <c r="DQ35" s="259"/>
      <c r="DR35" s="259"/>
      <c r="DS35" s="259"/>
      <c r="DT35" s="259"/>
      <c r="DU35" s="259"/>
      <c r="DV35" s="259"/>
      <c r="DW35" s="259"/>
      <c r="DX35" s="259"/>
      <c r="DY35" s="259"/>
      <c r="DZ35" s="259"/>
      <c r="EA35" s="259"/>
      <c r="EB35" s="259"/>
      <c r="EC35" s="259"/>
      <c r="ED35" s="259"/>
      <c r="EE35" s="259"/>
      <c r="EF35" s="259"/>
      <c r="EG35" s="259"/>
      <c r="EH35" s="259"/>
      <c r="EI35" s="259"/>
      <c r="EJ35" s="259"/>
      <c r="EK35" s="259"/>
      <c r="EL35" s="259"/>
      <c r="EM35" s="259"/>
      <c r="EN35" s="259"/>
      <c r="EO35" s="259"/>
      <c r="EP35" s="259"/>
      <c r="EQ35" s="259"/>
      <c r="ER35" s="259"/>
      <c r="ES35" s="259"/>
      <c r="ET35" s="259"/>
      <c r="EU35" s="259"/>
      <c r="EV35" s="259"/>
      <c r="EW35" s="259"/>
      <c r="EX35" s="259"/>
      <c r="EY35" s="259"/>
      <c r="EZ35" s="259"/>
      <c r="FA35" s="259"/>
      <c r="FB35" s="259"/>
      <c r="FC35" s="259"/>
      <c r="FD35" s="259"/>
      <c r="FE35" s="259"/>
      <c r="FF35" s="259"/>
      <c r="FG35" s="259"/>
      <c r="FH35" s="259"/>
      <c r="FI35" s="259"/>
      <c r="FJ35" s="259"/>
      <c r="FK35" s="259"/>
      <c r="FL35" s="259"/>
      <c r="FM35" s="259"/>
      <c r="FN35" s="259"/>
      <c r="FO35" s="259"/>
    </row>
  </sheetData>
  <mergeCells count="70">
    <mergeCell ref="B1:C1"/>
    <mergeCell ref="D1:L1"/>
    <mergeCell ref="O1:P1"/>
    <mergeCell ref="E2:G2"/>
    <mergeCell ref="H2:J2"/>
    <mergeCell ref="A3:A4"/>
    <mergeCell ref="B3:B4"/>
    <mergeCell ref="C3:C4"/>
    <mergeCell ref="D3:D4"/>
    <mergeCell ref="E3:E4"/>
    <mergeCell ref="F3:F4"/>
    <mergeCell ref="G3:G4"/>
    <mergeCell ref="H3:H4"/>
    <mergeCell ref="I3:I4"/>
    <mergeCell ref="J3:J4"/>
    <mergeCell ref="K3:L4"/>
    <mergeCell ref="M3:M4"/>
    <mergeCell ref="N3:P4"/>
    <mergeCell ref="K5:L5"/>
    <mergeCell ref="N5:P5"/>
    <mergeCell ref="K6:L6"/>
    <mergeCell ref="N6:P6"/>
    <mergeCell ref="K7:L7"/>
    <mergeCell ref="N7:P7"/>
    <mergeCell ref="K8:L8"/>
    <mergeCell ref="N8:P8"/>
    <mergeCell ref="K9:L9"/>
    <mergeCell ref="N9:P9"/>
    <mergeCell ref="K10:L10"/>
    <mergeCell ref="N10:P10"/>
    <mergeCell ref="K11:L11"/>
    <mergeCell ref="N11:P11"/>
    <mergeCell ref="K12:L12"/>
    <mergeCell ref="N12:P12"/>
    <mergeCell ref="K13:L13"/>
    <mergeCell ref="N13:P13"/>
    <mergeCell ref="K14:L14"/>
    <mergeCell ref="N14:P14"/>
    <mergeCell ref="K15:L15"/>
    <mergeCell ref="N15:P15"/>
    <mergeCell ref="K16:L16"/>
    <mergeCell ref="N16:P16"/>
    <mergeCell ref="K17:L17"/>
    <mergeCell ref="N17:P17"/>
    <mergeCell ref="K18:L18"/>
    <mergeCell ref="N18:P18"/>
    <mergeCell ref="K19:L19"/>
    <mergeCell ref="N19:P19"/>
    <mergeCell ref="K20:L20"/>
    <mergeCell ref="N20:P20"/>
    <mergeCell ref="K21:L21"/>
    <mergeCell ref="N21:P21"/>
    <mergeCell ref="K22:L22"/>
    <mergeCell ref="N22:P22"/>
    <mergeCell ref="K23:L23"/>
    <mergeCell ref="N23:P23"/>
    <mergeCell ref="K24:L24"/>
    <mergeCell ref="N24:P24"/>
    <mergeCell ref="K25:L25"/>
    <mergeCell ref="N25:P25"/>
    <mergeCell ref="K26:L26"/>
    <mergeCell ref="N26:P26"/>
    <mergeCell ref="K27:L27"/>
    <mergeCell ref="N27:P27"/>
    <mergeCell ref="K28:L28"/>
    <mergeCell ref="N28:P28"/>
    <mergeCell ref="K29:L29"/>
    <mergeCell ref="N29:P29"/>
    <mergeCell ref="K30:L30"/>
    <mergeCell ref="N30:P30"/>
  </mergeCells>
  <hyperlinks>
    <hyperlink ref="B1" location="'Tabla de Contenidos'!A1" display="Volver a Tabla de contenidos"/>
    <hyperlink ref="M1" location="'RESULTADO FINAL SOSTENIBILIDAD'!A1" display="Ir a Resultados Finales"/>
  </hyperlinks>
  <printOptions headings="false" gridLines="false" gridLinesSet="true" horizontalCentered="false" verticalCentered="false"/>
  <pageMargins left="0.708333333333333" right="0.708333333333333" top="0.747916666666667" bottom="0.748611111111111" header="0.511811023622047" footer="0.315277777777778"/>
  <pageSetup paperSize="5" scale="55" fitToWidth="1" fitToHeight="1" pageOrder="downThenOver" orientation="landscape" blackAndWhite="false" draft="false" cellComments="none" horizontalDpi="300" verticalDpi="300" copies="1"/>
  <headerFooter differentFirst="false" differentOddEven="false">
    <oddHeader/>
    <oddFooter>&amp;C&amp;Pde&amp;N&amp;R&amp;F</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1B6FF"/>
    <pageSetUpPr fitToPage="false"/>
  </sheetPr>
  <dimension ref="A1:BZ203"/>
  <sheetViews>
    <sheetView showFormulas="false" showGridLines="false" showRowColHeaders="true" showZeros="true" rightToLeft="false" tabSelected="false" showOutlineSymbols="true" defaultGridColor="true" view="normal" topLeftCell="G1" colorId="64" zoomScale="90" zoomScaleNormal="90" zoomScalePageLayoutView="100" workbookViewId="0">
      <selection pane="topLeft" activeCell="W1" activeCellId="0" sqref="W1"/>
    </sheetView>
  </sheetViews>
  <sheetFormatPr defaultColWidth="11.43359375" defaultRowHeight="16.5" customHeight="false" zeroHeight="false" outlineLevelRow="0" outlineLevelCol="0"/>
  <cols>
    <col collapsed="false" customWidth="true" hidden="false" outlineLevel="0" max="3" min="1" style="94" width="13.42"/>
    <col collapsed="false" customWidth="true" hidden="false" outlineLevel="0" max="5" min="4" style="95" width="23.86"/>
    <col collapsed="false" customWidth="true" hidden="false" outlineLevel="0" max="6" min="6" style="99" width="15.85"/>
    <col collapsed="false" customWidth="true" hidden="false" outlineLevel="0" max="7" min="7" style="99" width="17.42"/>
    <col collapsed="false" customWidth="true" hidden="false" outlineLevel="0" max="8" min="8" style="99" width="19.14"/>
    <col collapsed="false" customWidth="true" hidden="false" outlineLevel="0" max="9" min="9" style="99" width="15.57"/>
    <col collapsed="false" customWidth="true" hidden="false" outlineLevel="0" max="10" min="10" style="99" width="16"/>
    <col collapsed="false" customWidth="true" hidden="false" outlineLevel="0" max="11" min="11" style="99" width="4.42"/>
    <col collapsed="false" customWidth="true" hidden="false" outlineLevel="0" max="12" min="12" style="99" width="17.71"/>
    <col collapsed="false" customWidth="true" hidden="false" outlineLevel="0" max="13" min="13" style="99" width="18.86"/>
    <col collapsed="false" customWidth="true" hidden="false" outlineLevel="0" max="15" min="14" style="143" width="18.71"/>
    <col collapsed="false" customWidth="true" hidden="false" outlineLevel="0" max="16" min="16" style="143" width="15.29"/>
    <col collapsed="false" customWidth="true" hidden="false" outlineLevel="0" max="17" min="17" style="143" width="16.84"/>
    <col collapsed="false" customWidth="true" hidden="false" outlineLevel="0" max="18" min="18" style="143" width="5.57"/>
    <col collapsed="false" customWidth="true" hidden="false" outlineLevel="0" max="19" min="19" style="143" width="23"/>
    <col collapsed="false" customWidth="true" hidden="false" outlineLevel="0" max="20" min="20" style="99" width="4.29"/>
    <col collapsed="false" customWidth="true" hidden="false" outlineLevel="0" max="21" min="21" style="143" width="18.29"/>
    <col collapsed="false" customWidth="true" hidden="false" outlineLevel="0" max="22" min="22" style="497" width="5.14"/>
    <col collapsed="false" customWidth="true" hidden="false" outlineLevel="0" max="23" min="23" style="497" width="20.85"/>
    <col collapsed="false" customWidth="true" hidden="false" outlineLevel="0" max="24" min="24" style="497" width="19.57"/>
    <col collapsed="false" customWidth="true" hidden="false" outlineLevel="0" max="25" min="25" style="94" width="13.86"/>
    <col collapsed="false" customWidth="true" hidden="false" outlineLevel="0" max="26" min="26" style="94" width="14.86"/>
    <col collapsed="false" customWidth="true" hidden="false" outlineLevel="0" max="27" min="27" style="94" width="15.85"/>
    <col collapsed="false" customWidth="true" hidden="false" outlineLevel="0" max="28" min="28" style="94" width="16.14"/>
    <col collapsed="false" customWidth="true" hidden="false" outlineLevel="0" max="29" min="29" style="94" width="14.42"/>
    <col collapsed="false" customWidth="true" hidden="false" outlineLevel="0" max="30" min="30" style="94" width="16.14"/>
    <col collapsed="false" customWidth="true" hidden="false" outlineLevel="0" max="31" min="31" style="94" width="7.86"/>
    <col collapsed="false" customWidth="false" hidden="false" outlineLevel="0" max="33" min="32" style="94" width="11.43"/>
    <col collapsed="false" customWidth="true" hidden="false" outlineLevel="0" max="34" min="34" style="94" width="11.29"/>
    <col collapsed="false" customWidth="false" hidden="false" outlineLevel="0" max="38" min="35" style="94" width="11.43"/>
    <col collapsed="false" customWidth="true" hidden="false" outlineLevel="0" max="39" min="39" style="94" width="4.14"/>
    <col collapsed="false" customWidth="true" hidden="false" outlineLevel="0" max="40" min="40" style="94" width="16.14"/>
    <col collapsed="false" customWidth="true" hidden="false" outlineLevel="0" max="41" min="41" style="94" width="6"/>
    <col collapsed="false" customWidth="true" hidden="false" outlineLevel="0" max="42" min="42" style="94" width="14.86"/>
    <col collapsed="false" customWidth="true" hidden="false" outlineLevel="0" max="43" min="43" style="94" width="7.16"/>
    <col collapsed="false" customWidth="false" hidden="false" outlineLevel="0" max="16384" min="44" style="94" width="11.43"/>
  </cols>
  <sheetData>
    <row r="1" s="143" customFormat="true" ht="39" hidden="false" customHeight="true" outlineLevel="0" collapsed="false">
      <c r="A1" s="403"/>
      <c r="B1" s="188" t="s">
        <v>246</v>
      </c>
      <c r="C1" s="188"/>
      <c r="D1" s="404" t="s">
        <v>455</v>
      </c>
      <c r="E1" s="404"/>
      <c r="F1" s="404"/>
      <c r="G1" s="404"/>
      <c r="H1" s="404"/>
      <c r="I1" s="404"/>
      <c r="J1" s="404"/>
      <c r="K1" s="404"/>
      <c r="L1" s="404"/>
      <c r="M1" s="404"/>
      <c r="N1" s="404"/>
      <c r="O1" s="404"/>
      <c r="P1" s="404"/>
      <c r="Q1" s="404"/>
      <c r="R1" s="404"/>
      <c r="S1" s="404"/>
      <c r="T1" s="404"/>
      <c r="U1" s="404"/>
      <c r="V1" s="404"/>
      <c r="W1" s="405" t="s">
        <v>176</v>
      </c>
    </row>
    <row r="2" s="143" customFormat="true" ht="54.75" hidden="false" customHeight="true" outlineLevel="0" collapsed="false">
      <c r="A2" s="498"/>
      <c r="B2" s="498"/>
      <c r="C2" s="498"/>
      <c r="D2" s="498"/>
      <c r="E2" s="407" t="s">
        <v>456</v>
      </c>
      <c r="F2" s="407"/>
      <c r="G2" s="407"/>
      <c r="H2" s="499"/>
      <c r="I2" s="499"/>
      <c r="J2" s="499"/>
      <c r="K2" s="499"/>
      <c r="L2" s="499"/>
      <c r="M2" s="499"/>
      <c r="N2" s="500" t="s">
        <v>457</v>
      </c>
      <c r="O2" s="500"/>
      <c r="P2" s="500"/>
      <c r="Q2" s="500"/>
      <c r="R2" s="500"/>
      <c r="S2" s="500"/>
      <c r="T2" s="501"/>
      <c r="U2" s="501"/>
      <c r="V2" s="501"/>
    </row>
    <row r="3" customFormat="false" ht="30" hidden="false" customHeight="true" outlineLevel="0" collapsed="false">
      <c r="A3" s="502" t="s">
        <v>315</v>
      </c>
      <c r="B3" s="502" t="s">
        <v>17</v>
      </c>
      <c r="C3" s="502" t="s">
        <v>317</v>
      </c>
      <c r="D3" s="503" t="s">
        <v>318</v>
      </c>
      <c r="E3" s="503" t="s">
        <v>274</v>
      </c>
      <c r="F3" s="504" t="s">
        <v>150</v>
      </c>
      <c r="G3" s="504"/>
      <c r="H3" s="504"/>
      <c r="I3" s="504"/>
      <c r="J3" s="504"/>
      <c r="K3" s="505" t="s">
        <v>64</v>
      </c>
      <c r="L3" s="506" t="s">
        <v>458</v>
      </c>
      <c r="M3" s="506"/>
      <c r="N3" s="506"/>
      <c r="O3" s="506"/>
      <c r="P3" s="506"/>
      <c r="Q3" s="506"/>
      <c r="R3" s="505" t="s">
        <v>65</v>
      </c>
      <c r="S3" s="504" t="s">
        <v>152</v>
      </c>
      <c r="T3" s="505" t="s">
        <v>66</v>
      </c>
      <c r="U3" s="507" t="s">
        <v>153</v>
      </c>
      <c r="V3" s="505" t="s">
        <v>67</v>
      </c>
      <c r="W3" s="508" t="s">
        <v>131</v>
      </c>
      <c r="X3" s="508" t="s">
        <v>132</v>
      </c>
    </row>
    <row r="4" s="116" customFormat="true" ht="81.75" hidden="false" customHeight="true" outlineLevel="0" collapsed="false">
      <c r="A4" s="502"/>
      <c r="B4" s="502"/>
      <c r="C4" s="502"/>
      <c r="D4" s="503"/>
      <c r="E4" s="503"/>
      <c r="F4" s="509" t="s">
        <v>168</v>
      </c>
      <c r="G4" s="509" t="s">
        <v>169</v>
      </c>
      <c r="H4" s="509" t="s">
        <v>459</v>
      </c>
      <c r="I4" s="509" t="s">
        <v>171</v>
      </c>
      <c r="J4" s="509" t="s">
        <v>172</v>
      </c>
      <c r="K4" s="505"/>
      <c r="L4" s="510" t="s">
        <v>460</v>
      </c>
      <c r="M4" s="510" t="s">
        <v>461</v>
      </c>
      <c r="N4" s="510" t="s">
        <v>462</v>
      </c>
      <c r="O4" s="510" t="s">
        <v>463</v>
      </c>
      <c r="P4" s="510" t="s">
        <v>464</v>
      </c>
      <c r="Q4" s="510" t="s">
        <v>465</v>
      </c>
      <c r="R4" s="505"/>
      <c r="S4" s="511" t="s">
        <v>466</v>
      </c>
      <c r="T4" s="505"/>
      <c r="U4" s="512" t="s">
        <v>467</v>
      </c>
      <c r="V4" s="505"/>
      <c r="W4" s="508"/>
      <c r="X4" s="508"/>
    </row>
    <row r="5" s="102" customFormat="true" ht="30.75" hidden="false" customHeight="true" outlineLevel="0" collapsed="false">
      <c r="A5" s="513" t="str">
        <f aca="false">'Listado CAPS'!A3</f>
        <v>Madriz</v>
      </c>
      <c r="B5" s="513" t="str">
        <f aca="false">'Listado CAPS'!B3</f>
        <v>Yalaguina</v>
      </c>
      <c r="C5" s="513" t="str">
        <f aca="false">'Listado CAPS'!C3</f>
        <v>Los Encuentros</v>
      </c>
      <c r="D5" s="503" t="str">
        <f aca="false">'Listado CAPS'!D3</f>
        <v>Los Encuentros</v>
      </c>
      <c r="E5" s="503" t="str">
        <f aca="false">'Listado CAPS'!E3</f>
        <v>MAG</v>
      </c>
      <c r="F5" s="514" t="n">
        <v>1</v>
      </c>
      <c r="G5" s="514"/>
      <c r="H5" s="514" t="n">
        <v>1</v>
      </c>
      <c r="I5" s="514" t="n">
        <v>1</v>
      </c>
      <c r="J5" s="514" t="n">
        <v>1</v>
      </c>
      <c r="K5" s="131" t="n">
        <f aca="false">+SUM(F5:J5)</f>
        <v>4</v>
      </c>
      <c r="L5" s="142" t="n">
        <v>1</v>
      </c>
      <c r="M5" s="142" t="n">
        <v>1</v>
      </c>
      <c r="N5" s="142" t="n">
        <v>1</v>
      </c>
      <c r="O5" s="142" t="n">
        <v>1</v>
      </c>
      <c r="P5" s="142" t="n">
        <v>1</v>
      </c>
      <c r="Q5" s="142" t="n">
        <v>1</v>
      </c>
      <c r="R5" s="131" t="n">
        <f aca="false">+SUM(L5:Q5)</f>
        <v>6</v>
      </c>
      <c r="S5" s="514"/>
      <c r="T5" s="131" t="n">
        <f aca="false">+S5</f>
        <v>0</v>
      </c>
      <c r="U5" s="514"/>
      <c r="V5" s="515" t="n">
        <f aca="false">+U5</f>
        <v>0</v>
      </c>
      <c r="W5" s="516"/>
      <c r="X5" s="142"/>
    </row>
    <row r="6" s="102" customFormat="true" ht="27" hidden="false" customHeight="true" outlineLevel="0" collapsed="false">
      <c r="A6" s="513" t="n">
        <f aca="false">'Listado CAPS'!A4</f>
        <v>0</v>
      </c>
      <c r="B6" s="513" t="n">
        <f aca="false">'Listado CAPS'!B4</f>
        <v>0</v>
      </c>
      <c r="C6" s="513" t="n">
        <f aca="false">'Listado CAPS'!C4</f>
        <v>0</v>
      </c>
      <c r="D6" s="503" t="str">
        <f aca="false">'Listado CAPS'!D4</f>
        <v>B</v>
      </c>
      <c r="E6" s="503"/>
      <c r="F6" s="483"/>
      <c r="G6" s="483"/>
      <c r="H6" s="483"/>
      <c r="I6" s="483"/>
      <c r="J6" s="483"/>
      <c r="K6" s="131" t="n">
        <f aca="false">+SUM(F6:J6)</f>
        <v>0</v>
      </c>
      <c r="L6" s="142"/>
      <c r="M6" s="142"/>
      <c r="N6" s="142"/>
      <c r="O6" s="142"/>
      <c r="P6" s="142"/>
      <c r="Q6" s="142"/>
      <c r="R6" s="131" t="n">
        <f aca="false">+SUM(L6:Q6)</f>
        <v>0</v>
      </c>
      <c r="S6" s="514"/>
      <c r="T6" s="131" t="n">
        <f aca="false">+S6</f>
        <v>0</v>
      </c>
      <c r="U6" s="514"/>
      <c r="V6" s="515" t="n">
        <f aca="false">+U6</f>
        <v>0</v>
      </c>
      <c r="W6" s="516"/>
      <c r="X6" s="142"/>
    </row>
    <row r="7" s="102" customFormat="true" ht="27" hidden="false" customHeight="true" outlineLevel="0" collapsed="false">
      <c r="A7" s="513" t="n">
        <f aca="false">'Listado CAPS'!A5</f>
        <v>0</v>
      </c>
      <c r="B7" s="513" t="n">
        <f aca="false">'Listado CAPS'!B5</f>
        <v>0</v>
      </c>
      <c r="C7" s="513" t="n">
        <f aca="false">'Listado CAPS'!C5</f>
        <v>0</v>
      </c>
      <c r="D7" s="503" t="str">
        <f aca="false">'Listado CAPS'!D5</f>
        <v>C</v>
      </c>
      <c r="E7" s="503"/>
      <c r="F7" s="483"/>
      <c r="G7" s="483"/>
      <c r="H7" s="483"/>
      <c r="I7" s="483"/>
      <c r="J7" s="483"/>
      <c r="K7" s="131" t="n">
        <f aca="false">+SUM(F7:J7)</f>
        <v>0</v>
      </c>
      <c r="L7" s="142"/>
      <c r="M7" s="142"/>
      <c r="N7" s="142"/>
      <c r="O7" s="142"/>
      <c r="P7" s="142"/>
      <c r="Q7" s="142"/>
      <c r="R7" s="131" t="n">
        <f aca="false">+SUM(L7:Q7)</f>
        <v>0</v>
      </c>
      <c r="S7" s="514"/>
      <c r="T7" s="131" t="n">
        <f aca="false">+S7</f>
        <v>0</v>
      </c>
      <c r="U7" s="514"/>
      <c r="V7" s="515" t="n">
        <f aca="false">+U7</f>
        <v>0</v>
      </c>
      <c r="W7" s="516"/>
      <c r="X7" s="142"/>
    </row>
    <row r="8" s="102" customFormat="true" ht="27" hidden="false" customHeight="true" outlineLevel="0" collapsed="false">
      <c r="A8" s="513" t="n">
        <f aca="false">'Listado CAPS'!A6</f>
        <v>0</v>
      </c>
      <c r="B8" s="513" t="n">
        <f aca="false">'Listado CAPS'!B6</f>
        <v>0</v>
      </c>
      <c r="C8" s="513" t="n">
        <f aca="false">'Listado CAPS'!C6</f>
        <v>0</v>
      </c>
      <c r="D8" s="503" t="str">
        <f aca="false">'Listado CAPS'!D6</f>
        <v>D</v>
      </c>
      <c r="E8" s="503"/>
      <c r="F8" s="483"/>
      <c r="G8" s="483"/>
      <c r="H8" s="483"/>
      <c r="I8" s="483"/>
      <c r="J8" s="483"/>
      <c r="K8" s="131" t="n">
        <f aca="false">+SUM(F8:J8)</f>
        <v>0</v>
      </c>
      <c r="L8" s="142"/>
      <c r="M8" s="142"/>
      <c r="N8" s="142"/>
      <c r="O8" s="142"/>
      <c r="P8" s="142"/>
      <c r="Q8" s="142"/>
      <c r="R8" s="131" t="n">
        <f aca="false">+SUM(L8:Q8)</f>
        <v>0</v>
      </c>
      <c r="S8" s="514"/>
      <c r="T8" s="131" t="n">
        <f aca="false">+S8</f>
        <v>0</v>
      </c>
      <c r="U8" s="514"/>
      <c r="V8" s="515" t="n">
        <f aca="false">+U8</f>
        <v>0</v>
      </c>
      <c r="W8" s="516"/>
      <c r="X8" s="142"/>
    </row>
    <row r="9" s="102" customFormat="true" ht="27" hidden="false" customHeight="true" outlineLevel="0" collapsed="false">
      <c r="A9" s="513" t="n">
        <f aca="false">'Listado CAPS'!A7</f>
        <v>0</v>
      </c>
      <c r="B9" s="513" t="n">
        <f aca="false">'Listado CAPS'!B7</f>
        <v>0</v>
      </c>
      <c r="C9" s="513" t="n">
        <f aca="false">'Listado CAPS'!C7</f>
        <v>0</v>
      </c>
      <c r="D9" s="503" t="str">
        <f aca="false">'Listado CAPS'!D7</f>
        <v>E</v>
      </c>
      <c r="E9" s="503"/>
      <c r="F9" s="483"/>
      <c r="G9" s="483"/>
      <c r="H9" s="483"/>
      <c r="I9" s="483"/>
      <c r="J9" s="483"/>
      <c r="K9" s="131" t="n">
        <f aca="false">+SUM(F9:J9)</f>
        <v>0</v>
      </c>
      <c r="L9" s="142"/>
      <c r="M9" s="142"/>
      <c r="N9" s="142"/>
      <c r="O9" s="142"/>
      <c r="P9" s="142"/>
      <c r="Q9" s="142"/>
      <c r="R9" s="131" t="n">
        <f aca="false">+SUM(L9:Q9)</f>
        <v>0</v>
      </c>
      <c r="S9" s="514"/>
      <c r="T9" s="131" t="n">
        <f aca="false">+S9</f>
        <v>0</v>
      </c>
      <c r="U9" s="514"/>
      <c r="V9" s="515" t="n">
        <f aca="false">+U9</f>
        <v>0</v>
      </c>
      <c r="W9" s="516"/>
      <c r="X9" s="142"/>
    </row>
    <row r="10" s="518" customFormat="true" ht="27" hidden="false" customHeight="true" outlineLevel="0" collapsed="false">
      <c r="A10" s="513" t="n">
        <f aca="false">'Listado CAPS'!A8</f>
        <v>0</v>
      </c>
      <c r="B10" s="513" t="n">
        <f aca="false">'Listado CAPS'!B8</f>
        <v>0</v>
      </c>
      <c r="C10" s="513" t="n">
        <f aca="false">'Listado CAPS'!C8</f>
        <v>0</v>
      </c>
      <c r="D10" s="503" t="str">
        <f aca="false">'Listado CAPS'!D8</f>
        <v>F</v>
      </c>
      <c r="E10" s="503"/>
      <c r="F10" s="483"/>
      <c r="G10" s="483"/>
      <c r="H10" s="483"/>
      <c r="I10" s="483"/>
      <c r="J10" s="483"/>
      <c r="K10" s="131" t="n">
        <f aca="false">+SUM(F10:J10)</f>
        <v>0</v>
      </c>
      <c r="L10" s="142"/>
      <c r="M10" s="142"/>
      <c r="N10" s="142"/>
      <c r="O10" s="142"/>
      <c r="P10" s="142"/>
      <c r="Q10" s="142"/>
      <c r="R10" s="131" t="n">
        <f aca="false">+SUM(L10:Q10)</f>
        <v>0</v>
      </c>
      <c r="S10" s="514"/>
      <c r="T10" s="131" t="n">
        <f aca="false">+S10</f>
        <v>0</v>
      </c>
      <c r="U10" s="514"/>
      <c r="V10" s="515" t="n">
        <f aca="false">+U10</f>
        <v>0</v>
      </c>
      <c r="W10" s="516"/>
      <c r="X10" s="517"/>
      <c r="Y10" s="102"/>
      <c r="Z10" s="102"/>
      <c r="AA10" s="102"/>
      <c r="AB10" s="102"/>
      <c r="AC10" s="102"/>
      <c r="AD10" s="102"/>
      <c r="AE10" s="102"/>
      <c r="AF10" s="102"/>
      <c r="AG10" s="102"/>
      <c r="AH10" s="102"/>
      <c r="AI10" s="102"/>
      <c r="AJ10" s="102"/>
      <c r="AK10" s="102"/>
      <c r="AL10" s="102"/>
      <c r="AM10" s="102"/>
      <c r="AN10" s="102"/>
      <c r="AO10" s="102"/>
      <c r="AP10" s="102"/>
      <c r="AQ10" s="102"/>
      <c r="AR10" s="102"/>
      <c r="AS10" s="102"/>
      <c r="AT10" s="102"/>
      <c r="AU10" s="102"/>
      <c r="AV10" s="102"/>
      <c r="AW10" s="102"/>
      <c r="AX10" s="102"/>
      <c r="AY10" s="102"/>
      <c r="AZ10" s="102"/>
      <c r="BA10" s="102"/>
      <c r="BB10" s="102"/>
      <c r="BC10" s="102"/>
      <c r="BD10" s="102"/>
      <c r="BE10" s="102"/>
      <c r="BF10" s="102"/>
      <c r="BG10" s="102"/>
      <c r="BH10" s="102"/>
      <c r="BI10" s="102"/>
      <c r="BJ10" s="102"/>
      <c r="BK10" s="102"/>
      <c r="BL10" s="102"/>
      <c r="BM10" s="102"/>
      <c r="BN10" s="102"/>
      <c r="BO10" s="102"/>
      <c r="BP10" s="102"/>
      <c r="BQ10" s="102"/>
      <c r="BR10" s="102"/>
      <c r="BS10" s="102"/>
      <c r="BT10" s="102"/>
      <c r="BU10" s="102"/>
      <c r="BV10" s="102"/>
      <c r="BW10" s="102"/>
      <c r="BX10" s="102"/>
      <c r="BY10" s="102"/>
      <c r="BZ10" s="102"/>
    </row>
    <row r="11" s="518" customFormat="true" ht="27" hidden="false" customHeight="true" outlineLevel="0" collapsed="false">
      <c r="A11" s="513" t="n">
        <f aca="false">'Listado CAPS'!A9</f>
        <v>0</v>
      </c>
      <c r="B11" s="513" t="n">
        <f aca="false">'Listado CAPS'!B9</f>
        <v>0</v>
      </c>
      <c r="C11" s="513" t="n">
        <f aca="false">'Listado CAPS'!C9</f>
        <v>0</v>
      </c>
      <c r="D11" s="503" t="str">
        <f aca="false">'Listado CAPS'!D9</f>
        <v>G</v>
      </c>
      <c r="E11" s="503"/>
      <c r="F11" s="483"/>
      <c r="G11" s="483"/>
      <c r="H11" s="483"/>
      <c r="I11" s="483"/>
      <c r="J11" s="483"/>
      <c r="K11" s="131" t="n">
        <f aca="false">+SUM(F11:J11)</f>
        <v>0</v>
      </c>
      <c r="L11" s="142"/>
      <c r="M11" s="142"/>
      <c r="N11" s="142"/>
      <c r="O11" s="142"/>
      <c r="P11" s="142"/>
      <c r="Q11" s="142"/>
      <c r="R11" s="131" t="n">
        <f aca="false">+SUM(L11:Q11)</f>
        <v>0</v>
      </c>
      <c r="S11" s="514"/>
      <c r="T11" s="131" t="n">
        <f aca="false">+S11</f>
        <v>0</v>
      </c>
      <c r="U11" s="514"/>
      <c r="V11" s="515" t="n">
        <f aca="false">+U11</f>
        <v>0</v>
      </c>
      <c r="W11" s="516"/>
      <c r="X11" s="517"/>
      <c r="Y11" s="102"/>
      <c r="Z11" s="102"/>
      <c r="AA11" s="102"/>
      <c r="AB11" s="102"/>
      <c r="AC11" s="102"/>
      <c r="AD11" s="102"/>
      <c r="AE11" s="102"/>
      <c r="AF11" s="102"/>
      <c r="AG11" s="102"/>
      <c r="AH11" s="102"/>
      <c r="AI11" s="102"/>
      <c r="AJ11" s="102"/>
      <c r="AK11" s="102"/>
      <c r="AL11" s="102"/>
      <c r="AM11" s="102"/>
      <c r="AN11" s="102"/>
      <c r="AO11" s="102"/>
      <c r="AP11" s="102"/>
      <c r="AQ11" s="102"/>
      <c r="AR11" s="102"/>
      <c r="AS11" s="102"/>
      <c r="AT11" s="102"/>
      <c r="AU11" s="102"/>
      <c r="AV11" s="102"/>
      <c r="AW11" s="102"/>
      <c r="AX11" s="102"/>
      <c r="AY11" s="102"/>
      <c r="AZ11" s="102"/>
      <c r="BA11" s="102"/>
      <c r="BB11" s="102"/>
      <c r="BC11" s="102"/>
      <c r="BD11" s="102"/>
      <c r="BE11" s="102"/>
      <c r="BF11" s="102"/>
      <c r="BG11" s="102"/>
      <c r="BH11" s="102"/>
      <c r="BI11" s="102"/>
      <c r="BJ11" s="102"/>
      <c r="BK11" s="102"/>
      <c r="BL11" s="102"/>
      <c r="BM11" s="102"/>
      <c r="BN11" s="102"/>
      <c r="BO11" s="102"/>
      <c r="BP11" s="102"/>
      <c r="BQ11" s="102"/>
      <c r="BR11" s="102"/>
      <c r="BS11" s="102"/>
      <c r="BT11" s="102"/>
      <c r="BU11" s="102"/>
      <c r="BV11" s="102"/>
      <c r="BW11" s="102"/>
      <c r="BX11" s="102"/>
      <c r="BY11" s="102"/>
      <c r="BZ11" s="102"/>
    </row>
    <row r="12" s="518" customFormat="true" ht="27" hidden="false" customHeight="true" outlineLevel="0" collapsed="false">
      <c r="A12" s="513" t="n">
        <f aca="false">'Listado CAPS'!A10</f>
        <v>0</v>
      </c>
      <c r="B12" s="513" t="n">
        <f aca="false">'Listado CAPS'!B10</f>
        <v>0</v>
      </c>
      <c r="C12" s="513" t="n">
        <f aca="false">'Listado CAPS'!C10</f>
        <v>0</v>
      </c>
      <c r="D12" s="503" t="str">
        <f aca="false">'Listado CAPS'!D10</f>
        <v>H</v>
      </c>
      <c r="E12" s="503"/>
      <c r="F12" s="483"/>
      <c r="G12" s="483"/>
      <c r="H12" s="483"/>
      <c r="I12" s="483"/>
      <c r="J12" s="483"/>
      <c r="K12" s="131" t="n">
        <f aca="false">+SUM(F12:J12)</f>
        <v>0</v>
      </c>
      <c r="L12" s="142"/>
      <c r="M12" s="142"/>
      <c r="N12" s="142"/>
      <c r="O12" s="142"/>
      <c r="P12" s="142"/>
      <c r="Q12" s="142"/>
      <c r="R12" s="131" t="n">
        <f aca="false">+SUM(L12:Q12)</f>
        <v>0</v>
      </c>
      <c r="S12" s="514"/>
      <c r="T12" s="131" t="n">
        <f aca="false">+S12</f>
        <v>0</v>
      </c>
      <c r="U12" s="514"/>
      <c r="V12" s="515" t="n">
        <f aca="false">+U12</f>
        <v>0</v>
      </c>
      <c r="W12" s="516"/>
      <c r="X12" s="142"/>
      <c r="Y12" s="102"/>
      <c r="Z12" s="102"/>
      <c r="AA12" s="102"/>
      <c r="AB12" s="102"/>
      <c r="AC12" s="102"/>
      <c r="AD12" s="102"/>
      <c r="AE12" s="102"/>
      <c r="AF12" s="102"/>
      <c r="AG12" s="102"/>
      <c r="AH12" s="102"/>
      <c r="AI12" s="102"/>
      <c r="AJ12" s="102"/>
      <c r="AK12" s="102"/>
      <c r="AL12" s="102"/>
      <c r="AM12" s="102"/>
      <c r="AN12" s="102"/>
      <c r="AO12" s="102"/>
      <c r="AP12" s="102"/>
      <c r="AQ12" s="102"/>
      <c r="AR12" s="102"/>
      <c r="AS12" s="102"/>
      <c r="AT12" s="102"/>
      <c r="AU12" s="102"/>
      <c r="AV12" s="102"/>
      <c r="AW12" s="102"/>
      <c r="AX12" s="102"/>
      <c r="AY12" s="102"/>
      <c r="AZ12" s="102"/>
      <c r="BA12" s="102"/>
      <c r="BB12" s="102"/>
      <c r="BC12" s="102"/>
      <c r="BD12" s="102"/>
      <c r="BE12" s="102"/>
      <c r="BF12" s="102"/>
      <c r="BG12" s="102"/>
      <c r="BH12" s="102"/>
      <c r="BI12" s="102"/>
      <c r="BJ12" s="102"/>
      <c r="BK12" s="102"/>
      <c r="BL12" s="102"/>
      <c r="BM12" s="102"/>
      <c r="BN12" s="102"/>
      <c r="BO12" s="102"/>
      <c r="BP12" s="102"/>
      <c r="BQ12" s="102"/>
      <c r="BR12" s="102"/>
      <c r="BS12" s="102"/>
      <c r="BT12" s="102"/>
      <c r="BU12" s="102"/>
      <c r="BV12" s="102"/>
      <c r="BW12" s="102"/>
      <c r="BX12" s="102"/>
      <c r="BY12" s="102"/>
      <c r="BZ12" s="102"/>
    </row>
    <row r="13" s="518" customFormat="true" ht="27" hidden="false" customHeight="true" outlineLevel="0" collapsed="false">
      <c r="A13" s="513" t="n">
        <f aca="false">'Listado CAPS'!A11</f>
        <v>0</v>
      </c>
      <c r="B13" s="513" t="n">
        <f aca="false">'Listado CAPS'!B11</f>
        <v>0</v>
      </c>
      <c r="C13" s="513" t="n">
        <f aca="false">'Listado CAPS'!C11</f>
        <v>0</v>
      </c>
      <c r="D13" s="503" t="str">
        <f aca="false">'Listado CAPS'!D11</f>
        <v>I</v>
      </c>
      <c r="E13" s="503"/>
      <c r="F13" s="483"/>
      <c r="G13" s="483"/>
      <c r="H13" s="483"/>
      <c r="I13" s="483"/>
      <c r="J13" s="483"/>
      <c r="K13" s="131" t="n">
        <f aca="false">+SUM(F13:J13)</f>
        <v>0</v>
      </c>
      <c r="L13" s="142"/>
      <c r="M13" s="142"/>
      <c r="N13" s="142"/>
      <c r="O13" s="142"/>
      <c r="P13" s="142"/>
      <c r="Q13" s="142"/>
      <c r="R13" s="131" t="n">
        <f aca="false">+SUM(L13:Q13)</f>
        <v>0</v>
      </c>
      <c r="S13" s="514"/>
      <c r="T13" s="131" t="n">
        <f aca="false">+S13</f>
        <v>0</v>
      </c>
      <c r="U13" s="514"/>
      <c r="V13" s="515" t="n">
        <f aca="false">+U13</f>
        <v>0</v>
      </c>
      <c r="W13" s="516"/>
      <c r="X13" s="142"/>
      <c r="Y13" s="102"/>
      <c r="Z13" s="102"/>
      <c r="AA13" s="102"/>
      <c r="AB13" s="102"/>
      <c r="AC13" s="102"/>
      <c r="AD13" s="102"/>
      <c r="AE13" s="102"/>
      <c r="AF13" s="102"/>
      <c r="AG13" s="102"/>
      <c r="AH13" s="102"/>
      <c r="AI13" s="102"/>
      <c r="AJ13" s="102"/>
      <c r="AK13" s="102"/>
      <c r="AL13" s="102"/>
      <c r="AM13" s="102"/>
      <c r="AN13" s="102"/>
      <c r="AO13" s="102"/>
      <c r="AP13" s="102"/>
      <c r="AQ13" s="102"/>
      <c r="AR13" s="102"/>
      <c r="AS13" s="102"/>
      <c r="AT13" s="102"/>
      <c r="AU13" s="102"/>
      <c r="AV13" s="102"/>
      <c r="AW13" s="102"/>
      <c r="AX13" s="102"/>
      <c r="AY13" s="102"/>
      <c r="AZ13" s="102"/>
      <c r="BA13" s="102"/>
      <c r="BB13" s="102"/>
      <c r="BC13" s="102"/>
      <c r="BD13" s="102"/>
      <c r="BE13" s="102"/>
      <c r="BF13" s="102"/>
      <c r="BG13" s="102"/>
      <c r="BH13" s="102"/>
      <c r="BI13" s="102"/>
      <c r="BJ13" s="102"/>
      <c r="BK13" s="102"/>
      <c r="BL13" s="102"/>
      <c r="BM13" s="102"/>
      <c r="BN13" s="102"/>
      <c r="BO13" s="102"/>
      <c r="BP13" s="102"/>
      <c r="BQ13" s="102"/>
      <c r="BR13" s="102"/>
      <c r="BS13" s="102"/>
      <c r="BT13" s="102"/>
      <c r="BU13" s="102"/>
      <c r="BV13" s="102"/>
      <c r="BW13" s="102"/>
      <c r="BX13" s="102"/>
      <c r="BY13" s="102"/>
      <c r="BZ13" s="102"/>
    </row>
    <row r="14" s="518" customFormat="true" ht="27" hidden="false" customHeight="true" outlineLevel="0" collapsed="false">
      <c r="A14" s="513" t="n">
        <f aca="false">'Listado CAPS'!A12</f>
        <v>0</v>
      </c>
      <c r="B14" s="513" t="n">
        <f aca="false">'Listado CAPS'!B12</f>
        <v>0</v>
      </c>
      <c r="C14" s="513" t="n">
        <f aca="false">'Listado CAPS'!C12</f>
        <v>0</v>
      </c>
      <c r="D14" s="503" t="str">
        <f aca="false">'Listado CAPS'!D12</f>
        <v>J</v>
      </c>
      <c r="E14" s="503"/>
      <c r="F14" s="483"/>
      <c r="G14" s="483"/>
      <c r="H14" s="483"/>
      <c r="I14" s="483"/>
      <c r="J14" s="483"/>
      <c r="K14" s="131" t="n">
        <f aca="false">+SUM(F14:J14)</f>
        <v>0</v>
      </c>
      <c r="L14" s="142"/>
      <c r="M14" s="142"/>
      <c r="N14" s="142"/>
      <c r="O14" s="142"/>
      <c r="P14" s="142"/>
      <c r="Q14" s="142"/>
      <c r="R14" s="131" t="n">
        <f aca="false">+SUM(L14:Q14)</f>
        <v>0</v>
      </c>
      <c r="S14" s="514"/>
      <c r="T14" s="131" t="n">
        <f aca="false">+S14</f>
        <v>0</v>
      </c>
      <c r="U14" s="514"/>
      <c r="V14" s="515" t="n">
        <f aca="false">+U14</f>
        <v>0</v>
      </c>
      <c r="W14" s="516"/>
      <c r="X14" s="142"/>
      <c r="Y14" s="102"/>
      <c r="Z14" s="102"/>
      <c r="AA14" s="102"/>
      <c r="AB14" s="102"/>
      <c r="AC14" s="102"/>
      <c r="AD14" s="102"/>
      <c r="AE14" s="102"/>
      <c r="AF14" s="102"/>
      <c r="AG14" s="102"/>
      <c r="AH14" s="102"/>
      <c r="AI14" s="102"/>
      <c r="AJ14" s="102"/>
      <c r="AK14" s="102"/>
      <c r="AL14" s="102"/>
      <c r="AM14" s="102"/>
      <c r="AN14" s="102"/>
      <c r="AO14" s="102"/>
      <c r="AP14" s="102"/>
      <c r="AQ14" s="102"/>
      <c r="AR14" s="102"/>
      <c r="AS14" s="102"/>
      <c r="AT14" s="102"/>
      <c r="AU14" s="102"/>
      <c r="AV14" s="102"/>
      <c r="AW14" s="102"/>
      <c r="AX14" s="102"/>
      <c r="AY14" s="102"/>
      <c r="AZ14" s="102"/>
      <c r="BA14" s="102"/>
      <c r="BB14" s="102"/>
      <c r="BC14" s="102"/>
      <c r="BD14" s="102"/>
      <c r="BE14" s="102"/>
      <c r="BF14" s="102"/>
      <c r="BG14" s="102"/>
      <c r="BH14" s="102"/>
      <c r="BI14" s="102"/>
      <c r="BJ14" s="102"/>
      <c r="BK14" s="102"/>
      <c r="BL14" s="102"/>
      <c r="BM14" s="102"/>
      <c r="BN14" s="102"/>
      <c r="BO14" s="102"/>
      <c r="BP14" s="102"/>
      <c r="BQ14" s="102"/>
      <c r="BR14" s="102"/>
      <c r="BS14" s="102"/>
      <c r="BT14" s="102"/>
      <c r="BU14" s="102"/>
      <c r="BV14" s="102"/>
      <c r="BW14" s="102"/>
      <c r="BX14" s="102"/>
      <c r="BY14" s="102"/>
      <c r="BZ14" s="102"/>
    </row>
    <row r="15" s="518" customFormat="true" ht="27" hidden="false" customHeight="true" outlineLevel="0" collapsed="false">
      <c r="A15" s="513" t="n">
        <f aca="false">'Listado CAPS'!A13</f>
        <v>0</v>
      </c>
      <c r="B15" s="513" t="n">
        <f aca="false">'Listado CAPS'!B13</f>
        <v>0</v>
      </c>
      <c r="C15" s="513" t="n">
        <f aca="false">'Listado CAPS'!C13</f>
        <v>0</v>
      </c>
      <c r="D15" s="503" t="str">
        <f aca="false">'Listado CAPS'!D13</f>
        <v>K</v>
      </c>
      <c r="E15" s="503"/>
      <c r="F15" s="483"/>
      <c r="G15" s="483"/>
      <c r="H15" s="483"/>
      <c r="I15" s="483"/>
      <c r="J15" s="483"/>
      <c r="K15" s="131" t="n">
        <f aca="false">+SUM(F15:J15)</f>
        <v>0</v>
      </c>
      <c r="L15" s="142"/>
      <c r="M15" s="142"/>
      <c r="N15" s="142"/>
      <c r="O15" s="142"/>
      <c r="P15" s="142"/>
      <c r="Q15" s="142"/>
      <c r="R15" s="131" t="n">
        <f aca="false">+SUM(L15:Q15)</f>
        <v>0</v>
      </c>
      <c r="S15" s="514"/>
      <c r="T15" s="131" t="n">
        <f aca="false">+S15</f>
        <v>0</v>
      </c>
      <c r="U15" s="514"/>
      <c r="V15" s="515" t="n">
        <f aca="false">+U15</f>
        <v>0</v>
      </c>
      <c r="W15" s="516"/>
      <c r="X15" s="142"/>
      <c r="Y15" s="102"/>
      <c r="Z15" s="102"/>
      <c r="AA15" s="102"/>
      <c r="AB15" s="102"/>
      <c r="AC15" s="102"/>
      <c r="AD15" s="102"/>
      <c r="AE15" s="102"/>
      <c r="AF15" s="102"/>
      <c r="AG15" s="102"/>
      <c r="AH15" s="102"/>
      <c r="AI15" s="102"/>
      <c r="AJ15" s="102"/>
      <c r="AK15" s="102"/>
      <c r="AL15" s="102"/>
      <c r="AM15" s="102"/>
      <c r="AN15" s="102"/>
      <c r="AO15" s="102"/>
      <c r="AP15" s="102"/>
      <c r="AQ15" s="102"/>
      <c r="AR15" s="102"/>
      <c r="AS15" s="102"/>
      <c r="AT15" s="102"/>
      <c r="AU15" s="102"/>
      <c r="AV15" s="102"/>
      <c r="AW15" s="102"/>
      <c r="AX15" s="102"/>
      <c r="AY15" s="102"/>
      <c r="AZ15" s="102"/>
      <c r="BA15" s="102"/>
      <c r="BB15" s="102"/>
      <c r="BC15" s="102"/>
      <c r="BD15" s="102"/>
      <c r="BE15" s="102"/>
      <c r="BF15" s="102"/>
      <c r="BG15" s="102"/>
      <c r="BH15" s="102"/>
      <c r="BI15" s="102"/>
      <c r="BJ15" s="102"/>
      <c r="BK15" s="102"/>
      <c r="BL15" s="102"/>
      <c r="BM15" s="102"/>
      <c r="BN15" s="102"/>
      <c r="BO15" s="102"/>
      <c r="BP15" s="102"/>
      <c r="BQ15" s="102"/>
      <c r="BR15" s="102"/>
      <c r="BS15" s="102"/>
      <c r="BT15" s="102"/>
      <c r="BU15" s="102"/>
      <c r="BV15" s="102"/>
      <c r="BW15" s="102"/>
      <c r="BX15" s="102"/>
      <c r="BY15" s="102"/>
      <c r="BZ15" s="102"/>
    </row>
    <row r="16" s="518" customFormat="true" ht="27" hidden="false" customHeight="true" outlineLevel="0" collapsed="false">
      <c r="A16" s="513" t="n">
        <f aca="false">'Listado CAPS'!A14</f>
        <v>0</v>
      </c>
      <c r="B16" s="513" t="n">
        <f aca="false">'Listado CAPS'!B14</f>
        <v>0</v>
      </c>
      <c r="C16" s="513" t="n">
        <f aca="false">'Listado CAPS'!C14</f>
        <v>0</v>
      </c>
      <c r="D16" s="503" t="str">
        <f aca="false">'Listado CAPS'!D14</f>
        <v>L</v>
      </c>
      <c r="E16" s="503"/>
      <c r="F16" s="483"/>
      <c r="G16" s="483"/>
      <c r="H16" s="483"/>
      <c r="I16" s="483"/>
      <c r="J16" s="483"/>
      <c r="K16" s="131" t="n">
        <f aca="false">+SUM(F16:J16)</f>
        <v>0</v>
      </c>
      <c r="L16" s="142"/>
      <c r="M16" s="142"/>
      <c r="N16" s="142"/>
      <c r="O16" s="142"/>
      <c r="P16" s="142"/>
      <c r="Q16" s="142"/>
      <c r="R16" s="131" t="n">
        <f aca="false">+SUM(L16:Q16)</f>
        <v>0</v>
      </c>
      <c r="S16" s="514"/>
      <c r="T16" s="131" t="n">
        <f aca="false">+S16</f>
        <v>0</v>
      </c>
      <c r="U16" s="514"/>
      <c r="V16" s="515" t="n">
        <f aca="false">+U16</f>
        <v>0</v>
      </c>
      <c r="W16" s="516"/>
      <c r="X16" s="142"/>
      <c r="Y16" s="102"/>
      <c r="Z16" s="102"/>
      <c r="AA16" s="102"/>
      <c r="AB16" s="102"/>
      <c r="AC16" s="102"/>
      <c r="AD16" s="102"/>
      <c r="AE16" s="102"/>
      <c r="AF16" s="102"/>
      <c r="AG16" s="102"/>
      <c r="AH16" s="102"/>
      <c r="AI16" s="102"/>
      <c r="AJ16" s="102"/>
      <c r="AK16" s="102"/>
      <c r="AL16" s="102"/>
      <c r="AM16" s="102"/>
      <c r="AN16" s="102"/>
      <c r="AO16" s="102"/>
      <c r="AP16" s="102"/>
      <c r="AQ16" s="102"/>
      <c r="AR16" s="102"/>
      <c r="AS16" s="102"/>
      <c r="AT16" s="102"/>
      <c r="AU16" s="102"/>
      <c r="AV16" s="102"/>
      <c r="AW16" s="102"/>
      <c r="AX16" s="102"/>
      <c r="AY16" s="102"/>
      <c r="AZ16" s="102"/>
      <c r="BA16" s="102"/>
      <c r="BB16" s="102"/>
      <c r="BC16" s="102"/>
      <c r="BD16" s="102"/>
      <c r="BE16" s="102"/>
      <c r="BF16" s="102"/>
      <c r="BG16" s="102"/>
      <c r="BH16" s="102"/>
      <c r="BI16" s="102"/>
      <c r="BJ16" s="102"/>
      <c r="BK16" s="102"/>
      <c r="BL16" s="102"/>
      <c r="BM16" s="102"/>
      <c r="BN16" s="102"/>
      <c r="BO16" s="102"/>
      <c r="BP16" s="102"/>
      <c r="BQ16" s="102"/>
      <c r="BR16" s="102"/>
      <c r="BS16" s="102"/>
      <c r="BT16" s="102"/>
      <c r="BU16" s="102"/>
      <c r="BV16" s="102"/>
      <c r="BW16" s="102"/>
      <c r="BX16" s="102"/>
      <c r="BY16" s="102"/>
      <c r="BZ16" s="102"/>
    </row>
    <row r="17" s="518" customFormat="true" ht="27" hidden="false" customHeight="true" outlineLevel="0" collapsed="false">
      <c r="A17" s="513" t="n">
        <f aca="false">'Listado CAPS'!A15</f>
        <v>0</v>
      </c>
      <c r="B17" s="513" t="n">
        <f aca="false">'Listado CAPS'!B15</f>
        <v>0</v>
      </c>
      <c r="C17" s="513" t="n">
        <f aca="false">'Listado CAPS'!C15</f>
        <v>0</v>
      </c>
      <c r="D17" s="503" t="str">
        <f aca="false">'Listado CAPS'!D15</f>
        <v>M</v>
      </c>
      <c r="E17" s="503"/>
      <c r="F17" s="483"/>
      <c r="G17" s="483"/>
      <c r="H17" s="483"/>
      <c r="I17" s="483"/>
      <c r="J17" s="483"/>
      <c r="K17" s="131" t="n">
        <f aca="false">+SUM(F17:J17)</f>
        <v>0</v>
      </c>
      <c r="L17" s="142"/>
      <c r="M17" s="142"/>
      <c r="N17" s="142"/>
      <c r="O17" s="142"/>
      <c r="P17" s="142"/>
      <c r="Q17" s="142"/>
      <c r="R17" s="131" t="n">
        <f aca="false">+SUM(L17:Q17)</f>
        <v>0</v>
      </c>
      <c r="S17" s="514"/>
      <c r="T17" s="131" t="n">
        <f aca="false">+S17</f>
        <v>0</v>
      </c>
      <c r="U17" s="514"/>
      <c r="V17" s="515" t="n">
        <f aca="false">+U17</f>
        <v>0</v>
      </c>
      <c r="W17" s="516"/>
      <c r="X17" s="142"/>
      <c r="Y17" s="102"/>
      <c r="Z17" s="102"/>
      <c r="AA17" s="102"/>
      <c r="AB17" s="102"/>
      <c r="AC17" s="102"/>
      <c r="AD17" s="102"/>
      <c r="AE17" s="102"/>
      <c r="AF17" s="102"/>
      <c r="AG17" s="102"/>
      <c r="AH17" s="102"/>
      <c r="AI17" s="102"/>
      <c r="AJ17" s="102"/>
      <c r="AK17" s="102"/>
      <c r="AL17" s="102"/>
      <c r="AM17" s="102"/>
      <c r="AN17" s="102"/>
      <c r="AO17" s="102"/>
      <c r="AP17" s="102"/>
      <c r="AQ17" s="102"/>
      <c r="AR17" s="102"/>
      <c r="AS17" s="102"/>
      <c r="AT17" s="102"/>
      <c r="AU17" s="102"/>
      <c r="AV17" s="102"/>
      <c r="AW17" s="102"/>
      <c r="AX17" s="102"/>
      <c r="AY17" s="102"/>
      <c r="AZ17" s="102"/>
      <c r="BA17" s="102"/>
      <c r="BB17" s="102"/>
      <c r="BC17" s="102"/>
      <c r="BD17" s="102"/>
      <c r="BE17" s="102"/>
      <c r="BF17" s="102"/>
      <c r="BG17" s="102"/>
      <c r="BH17" s="102"/>
      <c r="BI17" s="102"/>
      <c r="BJ17" s="102"/>
      <c r="BK17" s="102"/>
      <c r="BL17" s="102"/>
      <c r="BM17" s="102"/>
      <c r="BN17" s="102"/>
      <c r="BO17" s="102"/>
      <c r="BP17" s="102"/>
      <c r="BQ17" s="102"/>
      <c r="BR17" s="102"/>
      <c r="BS17" s="102"/>
      <c r="BT17" s="102"/>
      <c r="BU17" s="102"/>
      <c r="BV17" s="102"/>
      <c r="BW17" s="102"/>
      <c r="BX17" s="102"/>
      <c r="BY17" s="102"/>
      <c r="BZ17" s="102"/>
    </row>
    <row r="18" s="518" customFormat="true" ht="27" hidden="false" customHeight="true" outlineLevel="0" collapsed="false">
      <c r="A18" s="513" t="n">
        <f aca="false">'Listado CAPS'!A16</f>
        <v>0</v>
      </c>
      <c r="B18" s="513" t="n">
        <f aca="false">'Listado CAPS'!B16</f>
        <v>0</v>
      </c>
      <c r="C18" s="513" t="n">
        <f aca="false">'Listado CAPS'!C16</f>
        <v>0</v>
      </c>
      <c r="D18" s="503" t="str">
        <f aca="false">'Listado CAPS'!D16</f>
        <v>N</v>
      </c>
      <c r="E18" s="503"/>
      <c r="F18" s="483"/>
      <c r="G18" s="514"/>
      <c r="H18" s="483"/>
      <c r="I18" s="483"/>
      <c r="J18" s="483"/>
      <c r="K18" s="131" t="n">
        <f aca="false">+SUM(F18:J18)</f>
        <v>0</v>
      </c>
      <c r="L18" s="142"/>
      <c r="M18" s="142"/>
      <c r="N18" s="142"/>
      <c r="O18" s="142"/>
      <c r="P18" s="142"/>
      <c r="Q18" s="142"/>
      <c r="R18" s="131" t="n">
        <f aca="false">+SUM(L18:Q18)</f>
        <v>0</v>
      </c>
      <c r="S18" s="514"/>
      <c r="T18" s="131" t="n">
        <f aca="false">+S18</f>
        <v>0</v>
      </c>
      <c r="U18" s="514"/>
      <c r="V18" s="515" t="n">
        <f aca="false">+U18</f>
        <v>0</v>
      </c>
      <c r="W18" s="516"/>
      <c r="X18" s="142"/>
      <c r="Y18" s="102"/>
      <c r="Z18" s="102"/>
      <c r="AA18" s="102"/>
      <c r="AB18" s="102"/>
      <c r="AC18" s="102"/>
      <c r="AD18" s="102"/>
      <c r="AE18" s="102"/>
      <c r="AF18" s="102"/>
      <c r="AG18" s="102"/>
      <c r="AH18" s="102"/>
      <c r="AI18" s="102"/>
      <c r="AJ18" s="102"/>
      <c r="AK18" s="102"/>
      <c r="AL18" s="102"/>
      <c r="AM18" s="102"/>
      <c r="AN18" s="102"/>
      <c r="AO18" s="102"/>
      <c r="AP18" s="102"/>
      <c r="AQ18" s="102"/>
      <c r="AR18" s="102"/>
      <c r="AS18" s="102"/>
      <c r="AT18" s="102"/>
      <c r="AU18" s="102"/>
      <c r="AV18" s="102"/>
      <c r="AW18" s="102"/>
      <c r="AX18" s="102"/>
      <c r="AY18" s="102"/>
      <c r="AZ18" s="102"/>
      <c r="BA18" s="102"/>
      <c r="BB18" s="102"/>
      <c r="BC18" s="102"/>
      <c r="BD18" s="102"/>
      <c r="BE18" s="102"/>
      <c r="BF18" s="102"/>
      <c r="BG18" s="102"/>
      <c r="BH18" s="102"/>
      <c r="BI18" s="102"/>
      <c r="BJ18" s="102"/>
      <c r="BK18" s="102"/>
      <c r="BL18" s="102"/>
      <c r="BM18" s="102"/>
      <c r="BN18" s="102"/>
      <c r="BO18" s="102"/>
      <c r="BP18" s="102"/>
      <c r="BQ18" s="102"/>
      <c r="BR18" s="102"/>
      <c r="BS18" s="102"/>
      <c r="BT18" s="102"/>
      <c r="BU18" s="102"/>
      <c r="BV18" s="102"/>
      <c r="BW18" s="102"/>
      <c r="BX18" s="102"/>
      <c r="BY18" s="102"/>
      <c r="BZ18" s="102"/>
    </row>
    <row r="19" s="518" customFormat="true" ht="27" hidden="false" customHeight="true" outlineLevel="0" collapsed="false">
      <c r="A19" s="513" t="n">
        <f aca="false">'Listado CAPS'!A17</f>
        <v>0</v>
      </c>
      <c r="B19" s="513" t="n">
        <f aca="false">'Listado CAPS'!B17</f>
        <v>0</v>
      </c>
      <c r="C19" s="513" t="n">
        <f aca="false">'Listado CAPS'!C17</f>
        <v>0</v>
      </c>
      <c r="D19" s="503" t="str">
        <f aca="false">'Listado CAPS'!D17</f>
        <v>Ñ</v>
      </c>
      <c r="E19" s="503"/>
      <c r="F19" s="483"/>
      <c r="G19" s="514"/>
      <c r="H19" s="483"/>
      <c r="I19" s="483"/>
      <c r="J19" s="483"/>
      <c r="K19" s="131" t="n">
        <f aca="false">+SUM(F19:J19)</f>
        <v>0</v>
      </c>
      <c r="L19" s="142"/>
      <c r="M19" s="142"/>
      <c r="N19" s="142"/>
      <c r="O19" s="142"/>
      <c r="P19" s="142"/>
      <c r="Q19" s="142"/>
      <c r="R19" s="131" t="n">
        <f aca="false">+SUM(L19:Q19)</f>
        <v>0</v>
      </c>
      <c r="S19" s="514"/>
      <c r="T19" s="131" t="n">
        <f aca="false">+S19</f>
        <v>0</v>
      </c>
      <c r="U19" s="514"/>
      <c r="V19" s="515" t="n">
        <f aca="false">+U19</f>
        <v>0</v>
      </c>
      <c r="W19" s="516"/>
      <c r="X19" s="142"/>
      <c r="Y19" s="102"/>
      <c r="Z19" s="102"/>
      <c r="AA19" s="102"/>
      <c r="AB19" s="102"/>
      <c r="AC19" s="102"/>
      <c r="AD19" s="102"/>
      <c r="AE19" s="102"/>
      <c r="AF19" s="102"/>
      <c r="AG19" s="102"/>
      <c r="AH19" s="102"/>
      <c r="AI19" s="102"/>
      <c r="AJ19" s="102"/>
      <c r="AK19" s="102"/>
      <c r="AL19" s="102"/>
      <c r="AM19" s="102"/>
      <c r="AN19" s="102"/>
      <c r="AO19" s="102"/>
      <c r="AP19" s="102"/>
      <c r="AQ19" s="102"/>
      <c r="AR19" s="102"/>
      <c r="AS19" s="102"/>
      <c r="AT19" s="102"/>
      <c r="AU19" s="102"/>
      <c r="AV19" s="102"/>
      <c r="AW19" s="102"/>
      <c r="AX19" s="102"/>
      <c r="AY19" s="102"/>
      <c r="AZ19" s="102"/>
      <c r="BA19" s="102"/>
      <c r="BB19" s="102"/>
      <c r="BC19" s="102"/>
      <c r="BD19" s="102"/>
      <c r="BE19" s="102"/>
      <c r="BF19" s="102"/>
      <c r="BG19" s="102"/>
      <c r="BH19" s="102"/>
      <c r="BI19" s="102"/>
      <c r="BJ19" s="102"/>
      <c r="BK19" s="102"/>
      <c r="BL19" s="102"/>
      <c r="BM19" s="102"/>
      <c r="BN19" s="102"/>
      <c r="BO19" s="102"/>
      <c r="BP19" s="102"/>
      <c r="BQ19" s="102"/>
      <c r="BR19" s="102"/>
      <c r="BS19" s="102"/>
      <c r="BT19" s="102"/>
      <c r="BU19" s="102"/>
      <c r="BV19" s="102"/>
      <c r="BW19" s="102"/>
      <c r="BX19" s="102"/>
      <c r="BY19" s="102"/>
      <c r="BZ19" s="102"/>
    </row>
    <row r="20" s="518" customFormat="true" ht="27" hidden="false" customHeight="true" outlineLevel="0" collapsed="false">
      <c r="A20" s="513" t="n">
        <f aca="false">'Listado CAPS'!A18</f>
        <v>0</v>
      </c>
      <c r="B20" s="513" t="n">
        <f aca="false">'Listado CAPS'!B18</f>
        <v>0</v>
      </c>
      <c r="C20" s="513" t="n">
        <f aca="false">'Listado CAPS'!C18</f>
        <v>0</v>
      </c>
      <c r="D20" s="503" t="str">
        <f aca="false">'Listado CAPS'!D18</f>
        <v>O</v>
      </c>
      <c r="E20" s="503"/>
      <c r="F20" s="483"/>
      <c r="G20" s="514"/>
      <c r="H20" s="483"/>
      <c r="I20" s="483"/>
      <c r="J20" s="483"/>
      <c r="K20" s="131" t="n">
        <f aca="false">+SUM(F20:J20)</f>
        <v>0</v>
      </c>
      <c r="L20" s="142"/>
      <c r="M20" s="142"/>
      <c r="N20" s="142"/>
      <c r="O20" s="142"/>
      <c r="P20" s="142"/>
      <c r="Q20" s="142"/>
      <c r="R20" s="131" t="n">
        <f aca="false">+SUM(L20:Q20)</f>
        <v>0</v>
      </c>
      <c r="S20" s="514"/>
      <c r="T20" s="131" t="n">
        <f aca="false">+S20</f>
        <v>0</v>
      </c>
      <c r="U20" s="514"/>
      <c r="V20" s="515" t="n">
        <f aca="false">+U20</f>
        <v>0</v>
      </c>
      <c r="W20" s="516"/>
      <c r="X20" s="142"/>
      <c r="Y20" s="102"/>
      <c r="Z20" s="102"/>
      <c r="AA20" s="102"/>
      <c r="AB20" s="102"/>
      <c r="AC20" s="102"/>
      <c r="AD20" s="102"/>
      <c r="AE20" s="102"/>
      <c r="AF20" s="102"/>
      <c r="AG20" s="102"/>
      <c r="AH20" s="102"/>
      <c r="AI20" s="102"/>
      <c r="AJ20" s="102"/>
      <c r="AK20" s="102"/>
      <c r="AL20" s="102"/>
      <c r="AM20" s="102"/>
      <c r="AN20" s="102"/>
      <c r="AO20" s="102"/>
      <c r="AP20" s="102"/>
      <c r="AQ20" s="102"/>
      <c r="AR20" s="102"/>
      <c r="AS20" s="102"/>
      <c r="AT20" s="102"/>
      <c r="AU20" s="102"/>
      <c r="AV20" s="102"/>
      <c r="AW20" s="102"/>
      <c r="AX20" s="102"/>
      <c r="AY20" s="102"/>
      <c r="AZ20" s="102"/>
      <c r="BA20" s="102"/>
      <c r="BB20" s="102"/>
      <c r="BC20" s="102"/>
      <c r="BD20" s="102"/>
      <c r="BE20" s="102"/>
      <c r="BF20" s="102"/>
      <c r="BG20" s="102"/>
      <c r="BH20" s="102"/>
      <c r="BI20" s="102"/>
      <c r="BJ20" s="102"/>
      <c r="BK20" s="102"/>
      <c r="BL20" s="102"/>
      <c r="BM20" s="102"/>
      <c r="BN20" s="102"/>
      <c r="BO20" s="102"/>
      <c r="BP20" s="102"/>
      <c r="BQ20" s="102"/>
      <c r="BR20" s="102"/>
      <c r="BS20" s="102"/>
      <c r="BT20" s="102"/>
      <c r="BU20" s="102"/>
      <c r="BV20" s="102"/>
      <c r="BW20" s="102"/>
      <c r="BX20" s="102"/>
      <c r="BY20" s="102"/>
      <c r="BZ20" s="102"/>
    </row>
    <row r="21" s="518" customFormat="true" ht="27" hidden="false" customHeight="true" outlineLevel="0" collapsed="false">
      <c r="A21" s="513" t="n">
        <f aca="false">'Listado CAPS'!A19</f>
        <v>0</v>
      </c>
      <c r="B21" s="513" t="n">
        <f aca="false">'Listado CAPS'!B19</f>
        <v>0</v>
      </c>
      <c r="C21" s="513" t="n">
        <f aca="false">'Listado CAPS'!C19</f>
        <v>0</v>
      </c>
      <c r="D21" s="503" t="str">
        <f aca="false">'Listado CAPS'!D19</f>
        <v>P</v>
      </c>
      <c r="E21" s="503"/>
      <c r="F21" s="483"/>
      <c r="G21" s="514"/>
      <c r="H21" s="483"/>
      <c r="I21" s="483"/>
      <c r="J21" s="483"/>
      <c r="K21" s="131" t="n">
        <f aca="false">+SUM(F21:J21)</f>
        <v>0</v>
      </c>
      <c r="L21" s="142"/>
      <c r="M21" s="142"/>
      <c r="N21" s="142"/>
      <c r="O21" s="142"/>
      <c r="P21" s="142"/>
      <c r="Q21" s="142"/>
      <c r="R21" s="131" t="n">
        <f aca="false">+SUM(L21:Q21)</f>
        <v>0</v>
      </c>
      <c r="S21" s="514"/>
      <c r="T21" s="131" t="n">
        <f aca="false">+S21</f>
        <v>0</v>
      </c>
      <c r="U21" s="514"/>
      <c r="V21" s="515" t="n">
        <f aca="false">+U21</f>
        <v>0</v>
      </c>
      <c r="W21" s="516"/>
      <c r="X21" s="142"/>
      <c r="Y21" s="102"/>
      <c r="Z21" s="102"/>
      <c r="AA21" s="102"/>
      <c r="AB21" s="102"/>
      <c r="AC21" s="102"/>
      <c r="AD21" s="102"/>
      <c r="AE21" s="102"/>
      <c r="AF21" s="102"/>
      <c r="AG21" s="102"/>
      <c r="AH21" s="102"/>
      <c r="AI21" s="102"/>
      <c r="AJ21" s="102"/>
      <c r="AK21" s="102"/>
      <c r="AL21" s="102"/>
      <c r="AM21" s="102"/>
      <c r="AN21" s="102"/>
      <c r="AO21" s="102"/>
      <c r="AP21" s="102"/>
      <c r="AQ21" s="102"/>
      <c r="AR21" s="102"/>
      <c r="AS21" s="102"/>
      <c r="AT21" s="102"/>
      <c r="AU21" s="102"/>
      <c r="AV21" s="102"/>
      <c r="AW21" s="102"/>
      <c r="AX21" s="102"/>
      <c r="AY21" s="102"/>
      <c r="AZ21" s="102"/>
      <c r="BA21" s="102"/>
      <c r="BB21" s="102"/>
      <c r="BC21" s="102"/>
      <c r="BD21" s="102"/>
      <c r="BE21" s="102"/>
      <c r="BF21" s="102"/>
      <c r="BG21" s="102"/>
      <c r="BH21" s="102"/>
      <c r="BI21" s="102"/>
      <c r="BJ21" s="102"/>
      <c r="BK21" s="102"/>
      <c r="BL21" s="102"/>
      <c r="BM21" s="102"/>
      <c r="BN21" s="102"/>
      <c r="BO21" s="102"/>
      <c r="BP21" s="102"/>
      <c r="BQ21" s="102"/>
      <c r="BR21" s="102"/>
      <c r="BS21" s="102"/>
      <c r="BT21" s="102"/>
      <c r="BU21" s="102"/>
      <c r="BV21" s="102"/>
      <c r="BW21" s="102"/>
      <c r="BX21" s="102"/>
      <c r="BY21" s="102"/>
      <c r="BZ21" s="102"/>
    </row>
    <row r="22" s="518" customFormat="true" ht="27" hidden="false" customHeight="true" outlineLevel="0" collapsed="false">
      <c r="A22" s="513" t="n">
        <f aca="false">'Listado CAPS'!A20</f>
        <v>0</v>
      </c>
      <c r="B22" s="513" t="n">
        <f aca="false">'Listado CAPS'!B20</f>
        <v>0</v>
      </c>
      <c r="C22" s="513" t="n">
        <f aca="false">'Listado CAPS'!C20</f>
        <v>0</v>
      </c>
      <c r="D22" s="503" t="str">
        <f aca="false">'Listado CAPS'!D20</f>
        <v>Q</v>
      </c>
      <c r="E22" s="503"/>
      <c r="F22" s="483"/>
      <c r="G22" s="514"/>
      <c r="H22" s="483"/>
      <c r="I22" s="483"/>
      <c r="J22" s="483"/>
      <c r="K22" s="131" t="n">
        <f aca="false">+SUM(F22:J22)</f>
        <v>0</v>
      </c>
      <c r="L22" s="142"/>
      <c r="M22" s="142"/>
      <c r="N22" s="142"/>
      <c r="O22" s="142"/>
      <c r="P22" s="142"/>
      <c r="Q22" s="142"/>
      <c r="R22" s="131" t="n">
        <f aca="false">+SUM(L22:Q22)</f>
        <v>0</v>
      </c>
      <c r="S22" s="514"/>
      <c r="T22" s="131" t="n">
        <f aca="false">+S22</f>
        <v>0</v>
      </c>
      <c r="U22" s="514"/>
      <c r="V22" s="515" t="n">
        <f aca="false">+U22</f>
        <v>0</v>
      </c>
      <c r="W22" s="516"/>
      <c r="X22" s="142"/>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2"/>
      <c r="BJ22" s="102"/>
      <c r="BK22" s="102"/>
      <c r="BL22" s="102"/>
      <c r="BM22" s="102"/>
      <c r="BN22" s="102"/>
      <c r="BO22" s="102"/>
      <c r="BP22" s="102"/>
      <c r="BQ22" s="102"/>
      <c r="BR22" s="102"/>
      <c r="BS22" s="102"/>
      <c r="BT22" s="102"/>
      <c r="BU22" s="102"/>
      <c r="BV22" s="102"/>
      <c r="BW22" s="102"/>
      <c r="BX22" s="102"/>
      <c r="BY22" s="102"/>
      <c r="BZ22" s="102"/>
    </row>
    <row r="23" s="518" customFormat="true" ht="27" hidden="false" customHeight="true" outlineLevel="0" collapsed="false">
      <c r="A23" s="513" t="n">
        <f aca="false">'Listado CAPS'!A21</f>
        <v>0</v>
      </c>
      <c r="B23" s="513" t="n">
        <f aca="false">'Listado CAPS'!B21</f>
        <v>0</v>
      </c>
      <c r="C23" s="513" t="n">
        <f aca="false">'Listado CAPS'!C21</f>
        <v>0</v>
      </c>
      <c r="D23" s="503" t="str">
        <f aca="false">'Listado CAPS'!D21</f>
        <v>R</v>
      </c>
      <c r="E23" s="503" t="n">
        <f aca="false">'Listado CAPS'!E21</f>
        <v>0</v>
      </c>
      <c r="F23" s="483"/>
      <c r="G23" s="514"/>
      <c r="H23" s="483"/>
      <c r="I23" s="483"/>
      <c r="J23" s="483"/>
      <c r="K23" s="131" t="n">
        <f aca="false">+SUM(F23:J23)</f>
        <v>0</v>
      </c>
      <c r="L23" s="142"/>
      <c r="M23" s="142"/>
      <c r="N23" s="142"/>
      <c r="O23" s="142"/>
      <c r="P23" s="142"/>
      <c r="Q23" s="142"/>
      <c r="R23" s="131" t="n">
        <f aca="false">+SUM(L23:Q23)</f>
        <v>0</v>
      </c>
      <c r="S23" s="514"/>
      <c r="T23" s="131" t="n">
        <f aca="false">+S23</f>
        <v>0</v>
      </c>
      <c r="U23" s="514"/>
      <c r="V23" s="515" t="n">
        <f aca="false">+U23</f>
        <v>0</v>
      </c>
      <c r="W23" s="516"/>
      <c r="X23" s="142"/>
      <c r="Y23" s="102"/>
      <c r="Z23" s="102"/>
      <c r="AA23" s="102"/>
      <c r="AB23" s="102"/>
      <c r="AC23" s="102"/>
      <c r="AD23" s="102"/>
      <c r="AE23" s="102"/>
      <c r="AF23" s="102"/>
      <c r="AG23" s="102"/>
      <c r="AH23" s="102"/>
      <c r="AI23" s="102"/>
      <c r="AJ23" s="102"/>
      <c r="AK23" s="102"/>
      <c r="AL23" s="102"/>
      <c r="AM23" s="102"/>
      <c r="AN23" s="102"/>
      <c r="AO23" s="102"/>
      <c r="AP23" s="102"/>
      <c r="AQ23" s="102"/>
      <c r="AR23" s="102"/>
      <c r="AS23" s="102"/>
      <c r="AT23" s="102"/>
      <c r="AU23" s="102"/>
      <c r="AV23" s="102"/>
      <c r="AW23" s="102"/>
      <c r="AX23" s="102"/>
      <c r="AY23" s="102"/>
      <c r="AZ23" s="102"/>
      <c r="BA23" s="102"/>
      <c r="BB23" s="102"/>
      <c r="BC23" s="102"/>
      <c r="BD23" s="102"/>
      <c r="BE23" s="102"/>
      <c r="BF23" s="102"/>
      <c r="BG23" s="102"/>
      <c r="BH23" s="102"/>
      <c r="BI23" s="102"/>
      <c r="BJ23" s="102"/>
      <c r="BK23" s="102"/>
      <c r="BL23" s="102"/>
      <c r="BM23" s="102"/>
      <c r="BN23" s="102"/>
      <c r="BO23" s="102"/>
      <c r="BP23" s="102"/>
      <c r="BQ23" s="102"/>
      <c r="BR23" s="102"/>
      <c r="BS23" s="102"/>
      <c r="BT23" s="102"/>
      <c r="BU23" s="102"/>
      <c r="BV23" s="102"/>
      <c r="BW23" s="102"/>
      <c r="BX23" s="102"/>
      <c r="BY23" s="102"/>
      <c r="BZ23" s="102"/>
    </row>
    <row r="24" s="518" customFormat="true" ht="27" hidden="false" customHeight="true" outlineLevel="0" collapsed="false">
      <c r="A24" s="513" t="n">
        <f aca="false">'Listado CAPS'!A22</f>
        <v>0</v>
      </c>
      <c r="B24" s="513" t="n">
        <f aca="false">'Listado CAPS'!B22</f>
        <v>0</v>
      </c>
      <c r="C24" s="513" t="n">
        <f aca="false">'Listado CAPS'!C22</f>
        <v>0</v>
      </c>
      <c r="D24" s="503" t="str">
        <f aca="false">'Listado CAPS'!D22</f>
        <v>S</v>
      </c>
      <c r="E24" s="503" t="n">
        <f aca="false">'Listado CAPS'!E22</f>
        <v>0</v>
      </c>
      <c r="F24" s="483"/>
      <c r="G24" s="514"/>
      <c r="H24" s="483"/>
      <c r="I24" s="483"/>
      <c r="J24" s="483"/>
      <c r="K24" s="131" t="n">
        <f aca="false">+SUM(F24:J24)</f>
        <v>0</v>
      </c>
      <c r="L24" s="142"/>
      <c r="M24" s="142"/>
      <c r="N24" s="142"/>
      <c r="O24" s="142"/>
      <c r="P24" s="142"/>
      <c r="Q24" s="142"/>
      <c r="R24" s="131" t="n">
        <f aca="false">+SUM(L24:Q24)</f>
        <v>0</v>
      </c>
      <c r="S24" s="514"/>
      <c r="T24" s="131" t="n">
        <f aca="false">+S24</f>
        <v>0</v>
      </c>
      <c r="U24" s="514"/>
      <c r="V24" s="515" t="n">
        <f aca="false">+U24</f>
        <v>0</v>
      </c>
      <c r="W24" s="516"/>
      <c r="X24" s="142"/>
      <c r="Y24" s="102"/>
      <c r="Z24" s="102"/>
      <c r="AA24" s="102"/>
      <c r="AB24" s="102"/>
      <c r="AC24" s="102"/>
      <c r="AD24" s="102"/>
      <c r="AE24" s="102"/>
      <c r="AF24" s="102"/>
      <c r="AG24" s="102"/>
      <c r="AH24" s="102"/>
      <c r="AI24" s="102"/>
      <c r="AJ24" s="102"/>
      <c r="AK24" s="102"/>
      <c r="AL24" s="102"/>
      <c r="AM24" s="102"/>
      <c r="AN24" s="102"/>
      <c r="AO24" s="102"/>
      <c r="AP24" s="102"/>
      <c r="AQ24" s="102"/>
      <c r="AR24" s="102"/>
      <c r="AS24" s="102"/>
      <c r="AT24" s="102"/>
      <c r="AU24" s="102"/>
      <c r="AV24" s="102"/>
      <c r="AW24" s="102"/>
      <c r="AX24" s="102"/>
      <c r="AY24" s="102"/>
      <c r="AZ24" s="102"/>
      <c r="BA24" s="102"/>
      <c r="BB24" s="102"/>
      <c r="BC24" s="102"/>
      <c r="BD24" s="102"/>
      <c r="BE24" s="102"/>
      <c r="BF24" s="102"/>
      <c r="BG24" s="102"/>
      <c r="BH24" s="102"/>
      <c r="BI24" s="102"/>
      <c r="BJ24" s="102"/>
      <c r="BK24" s="102"/>
      <c r="BL24" s="102"/>
      <c r="BM24" s="102"/>
      <c r="BN24" s="102"/>
      <c r="BO24" s="102"/>
      <c r="BP24" s="102"/>
      <c r="BQ24" s="102"/>
      <c r="BR24" s="102"/>
      <c r="BS24" s="102"/>
      <c r="BT24" s="102"/>
      <c r="BU24" s="102"/>
      <c r="BV24" s="102"/>
      <c r="BW24" s="102"/>
      <c r="BX24" s="102"/>
      <c r="BY24" s="102"/>
      <c r="BZ24" s="102"/>
    </row>
    <row r="25" s="518" customFormat="true" ht="27" hidden="false" customHeight="true" outlineLevel="0" collapsed="false">
      <c r="A25" s="513" t="n">
        <f aca="false">'Listado CAPS'!A23</f>
        <v>0</v>
      </c>
      <c r="B25" s="513" t="n">
        <f aca="false">'Listado CAPS'!B23</f>
        <v>0</v>
      </c>
      <c r="C25" s="513" t="n">
        <f aca="false">'Listado CAPS'!C23</f>
        <v>0</v>
      </c>
      <c r="D25" s="503" t="str">
        <f aca="false">'Listado CAPS'!D23</f>
        <v>T</v>
      </c>
      <c r="E25" s="503" t="n">
        <f aca="false">'Listado CAPS'!E23</f>
        <v>0</v>
      </c>
      <c r="F25" s="483"/>
      <c r="G25" s="514"/>
      <c r="H25" s="483"/>
      <c r="I25" s="483"/>
      <c r="J25" s="483"/>
      <c r="K25" s="131" t="n">
        <f aca="false">+SUM(F25:J25)</f>
        <v>0</v>
      </c>
      <c r="L25" s="142"/>
      <c r="M25" s="142"/>
      <c r="N25" s="142"/>
      <c r="O25" s="142"/>
      <c r="P25" s="142"/>
      <c r="Q25" s="142"/>
      <c r="R25" s="131" t="n">
        <f aca="false">+SUM(L25:Q25)</f>
        <v>0</v>
      </c>
      <c r="S25" s="514"/>
      <c r="T25" s="131" t="n">
        <f aca="false">+S25</f>
        <v>0</v>
      </c>
      <c r="U25" s="514"/>
      <c r="V25" s="515" t="n">
        <f aca="false">+U25</f>
        <v>0</v>
      </c>
      <c r="W25" s="516"/>
      <c r="X25" s="142"/>
      <c r="Y25" s="102"/>
      <c r="Z25" s="102"/>
      <c r="AA25" s="102"/>
      <c r="AB25" s="102"/>
      <c r="AC25" s="102"/>
      <c r="AD25" s="102"/>
      <c r="AE25" s="102"/>
      <c r="AF25" s="102"/>
      <c r="AG25" s="102"/>
      <c r="AH25" s="102"/>
      <c r="AI25" s="102"/>
      <c r="AJ25" s="102"/>
      <c r="AK25" s="102"/>
      <c r="AL25" s="102"/>
      <c r="AM25" s="102"/>
      <c r="AN25" s="102"/>
      <c r="AO25" s="102"/>
      <c r="AP25" s="102"/>
      <c r="AQ25" s="102"/>
      <c r="AR25" s="102"/>
      <c r="AS25" s="102"/>
      <c r="AT25" s="102"/>
      <c r="AU25" s="102"/>
      <c r="AV25" s="102"/>
      <c r="AW25" s="102"/>
      <c r="AX25" s="102"/>
      <c r="AY25" s="102"/>
      <c r="AZ25" s="102"/>
      <c r="BA25" s="102"/>
      <c r="BB25" s="102"/>
      <c r="BC25" s="102"/>
      <c r="BD25" s="102"/>
      <c r="BE25" s="102"/>
      <c r="BF25" s="102"/>
      <c r="BG25" s="102"/>
      <c r="BH25" s="102"/>
      <c r="BI25" s="102"/>
      <c r="BJ25" s="102"/>
      <c r="BK25" s="102"/>
      <c r="BL25" s="102"/>
      <c r="BM25" s="102"/>
      <c r="BN25" s="102"/>
      <c r="BO25" s="102"/>
      <c r="BP25" s="102"/>
      <c r="BQ25" s="102"/>
      <c r="BR25" s="102"/>
      <c r="BS25" s="102"/>
      <c r="BT25" s="102"/>
      <c r="BU25" s="102"/>
      <c r="BV25" s="102"/>
      <c r="BW25" s="102"/>
      <c r="BX25" s="102"/>
      <c r="BY25" s="102"/>
      <c r="BZ25" s="102"/>
    </row>
    <row r="26" s="518" customFormat="true" ht="27" hidden="false" customHeight="true" outlineLevel="0" collapsed="false">
      <c r="A26" s="513" t="n">
        <f aca="false">'Listado CAPS'!A24</f>
        <v>0</v>
      </c>
      <c r="B26" s="513" t="n">
        <f aca="false">'Listado CAPS'!B24</f>
        <v>0</v>
      </c>
      <c r="C26" s="513" t="n">
        <f aca="false">'Listado CAPS'!C24</f>
        <v>0</v>
      </c>
      <c r="D26" s="503" t="str">
        <f aca="false">'Listado CAPS'!D24</f>
        <v>U</v>
      </c>
      <c r="E26" s="503" t="n">
        <f aca="false">'Listado CAPS'!E24</f>
        <v>0</v>
      </c>
      <c r="F26" s="483"/>
      <c r="G26" s="514"/>
      <c r="H26" s="483"/>
      <c r="I26" s="483"/>
      <c r="J26" s="483"/>
      <c r="K26" s="131" t="n">
        <f aca="false">+SUM(F26:J26)</f>
        <v>0</v>
      </c>
      <c r="L26" s="142"/>
      <c r="M26" s="142"/>
      <c r="N26" s="142"/>
      <c r="O26" s="142"/>
      <c r="P26" s="142"/>
      <c r="Q26" s="142"/>
      <c r="R26" s="131" t="n">
        <f aca="false">+SUM(L26:Q26)</f>
        <v>0</v>
      </c>
      <c r="S26" s="514"/>
      <c r="T26" s="131" t="n">
        <f aca="false">+S26</f>
        <v>0</v>
      </c>
      <c r="U26" s="514"/>
      <c r="V26" s="515" t="n">
        <f aca="false">+U26</f>
        <v>0</v>
      </c>
      <c r="W26" s="516"/>
      <c r="X26" s="142"/>
      <c r="Y26" s="102"/>
      <c r="Z26" s="102"/>
      <c r="AA26" s="102"/>
      <c r="AB26" s="102"/>
      <c r="AC26" s="102"/>
      <c r="AD26" s="102"/>
      <c r="AE26" s="102"/>
      <c r="AF26" s="102"/>
      <c r="AG26" s="102"/>
      <c r="AH26" s="102"/>
      <c r="AI26" s="102"/>
      <c r="AJ26" s="102"/>
      <c r="AK26" s="102"/>
      <c r="AL26" s="102"/>
      <c r="AM26" s="102"/>
      <c r="AN26" s="102"/>
      <c r="AO26" s="102"/>
      <c r="AP26" s="102"/>
      <c r="AQ26" s="102"/>
      <c r="AR26" s="102"/>
      <c r="AS26" s="102"/>
      <c r="AT26" s="102"/>
      <c r="AU26" s="102"/>
      <c r="AV26" s="102"/>
      <c r="AW26" s="102"/>
      <c r="AX26" s="102"/>
      <c r="AY26" s="102"/>
      <c r="AZ26" s="102"/>
      <c r="BA26" s="102"/>
      <c r="BB26" s="102"/>
      <c r="BC26" s="102"/>
      <c r="BD26" s="102"/>
      <c r="BE26" s="102"/>
      <c r="BF26" s="102"/>
      <c r="BG26" s="102"/>
      <c r="BH26" s="102"/>
      <c r="BI26" s="102"/>
      <c r="BJ26" s="102"/>
      <c r="BK26" s="102"/>
      <c r="BL26" s="102"/>
      <c r="BM26" s="102"/>
      <c r="BN26" s="102"/>
      <c r="BO26" s="102"/>
      <c r="BP26" s="102"/>
      <c r="BQ26" s="102"/>
      <c r="BR26" s="102"/>
      <c r="BS26" s="102"/>
      <c r="BT26" s="102"/>
      <c r="BU26" s="102"/>
      <c r="BV26" s="102"/>
      <c r="BW26" s="102"/>
      <c r="BX26" s="102"/>
      <c r="BY26" s="102"/>
      <c r="BZ26" s="102"/>
    </row>
    <row r="27" s="518" customFormat="true" ht="27" hidden="false" customHeight="true" outlineLevel="0" collapsed="false">
      <c r="A27" s="513" t="n">
        <f aca="false">'Listado CAPS'!A25</f>
        <v>0</v>
      </c>
      <c r="B27" s="513" t="n">
        <f aca="false">'Listado CAPS'!B25</f>
        <v>0</v>
      </c>
      <c r="C27" s="513" t="n">
        <f aca="false">'Listado CAPS'!C25</f>
        <v>0</v>
      </c>
      <c r="D27" s="503" t="str">
        <f aca="false">'Listado CAPS'!D25</f>
        <v>V</v>
      </c>
      <c r="E27" s="503" t="n">
        <f aca="false">'Listado CAPS'!E25</f>
        <v>0</v>
      </c>
      <c r="F27" s="483"/>
      <c r="G27" s="514"/>
      <c r="H27" s="483"/>
      <c r="I27" s="483"/>
      <c r="J27" s="483"/>
      <c r="K27" s="131" t="n">
        <f aca="false">+SUM(F27:J27)</f>
        <v>0</v>
      </c>
      <c r="L27" s="142"/>
      <c r="M27" s="142"/>
      <c r="N27" s="142"/>
      <c r="O27" s="142"/>
      <c r="P27" s="142"/>
      <c r="Q27" s="142"/>
      <c r="R27" s="131" t="n">
        <f aca="false">+SUM(L27:Q27)</f>
        <v>0</v>
      </c>
      <c r="S27" s="514"/>
      <c r="T27" s="131" t="n">
        <f aca="false">+S27</f>
        <v>0</v>
      </c>
      <c r="U27" s="514"/>
      <c r="V27" s="515" t="n">
        <f aca="false">+U27</f>
        <v>0</v>
      </c>
      <c r="W27" s="516"/>
      <c r="X27" s="142"/>
      <c r="Y27" s="102"/>
      <c r="Z27" s="102"/>
      <c r="AA27" s="102"/>
      <c r="AB27" s="102"/>
      <c r="AC27" s="102"/>
      <c r="AD27" s="102"/>
      <c r="AE27" s="102"/>
      <c r="AF27" s="102"/>
      <c r="AG27" s="102"/>
      <c r="AH27" s="102"/>
      <c r="AI27" s="102"/>
      <c r="AJ27" s="102"/>
      <c r="AK27" s="102"/>
      <c r="AL27" s="102"/>
      <c r="AM27" s="102"/>
      <c r="AN27" s="102"/>
      <c r="AO27" s="102"/>
      <c r="AP27" s="102"/>
      <c r="AQ27" s="102"/>
      <c r="AR27" s="102"/>
      <c r="AS27" s="102"/>
      <c r="AT27" s="102"/>
      <c r="AU27" s="102"/>
      <c r="AV27" s="102"/>
      <c r="AW27" s="102"/>
      <c r="AX27" s="102"/>
      <c r="AY27" s="102"/>
      <c r="AZ27" s="102"/>
      <c r="BA27" s="102"/>
      <c r="BB27" s="102"/>
      <c r="BC27" s="102"/>
      <c r="BD27" s="102"/>
      <c r="BE27" s="102"/>
      <c r="BF27" s="102"/>
      <c r="BG27" s="102"/>
      <c r="BH27" s="102"/>
      <c r="BI27" s="102"/>
      <c r="BJ27" s="102"/>
      <c r="BK27" s="102"/>
      <c r="BL27" s="102"/>
      <c r="BM27" s="102"/>
      <c r="BN27" s="102"/>
      <c r="BO27" s="102"/>
      <c r="BP27" s="102"/>
      <c r="BQ27" s="102"/>
      <c r="BR27" s="102"/>
      <c r="BS27" s="102"/>
      <c r="BT27" s="102"/>
      <c r="BU27" s="102"/>
      <c r="BV27" s="102"/>
      <c r="BW27" s="102"/>
      <c r="BX27" s="102"/>
      <c r="BY27" s="102"/>
      <c r="BZ27" s="102"/>
    </row>
    <row r="28" s="518" customFormat="true" ht="27" hidden="false" customHeight="true" outlineLevel="0" collapsed="false">
      <c r="A28" s="513" t="n">
        <f aca="false">'Listado CAPS'!A26</f>
        <v>0</v>
      </c>
      <c r="B28" s="513" t="n">
        <f aca="false">'Listado CAPS'!B26</f>
        <v>0</v>
      </c>
      <c r="C28" s="513" t="n">
        <f aca="false">'Listado CAPS'!C26</f>
        <v>0</v>
      </c>
      <c r="D28" s="503" t="str">
        <f aca="false">'Listado CAPS'!D26</f>
        <v>W</v>
      </c>
      <c r="E28" s="503" t="n">
        <f aca="false">'Listado CAPS'!E26</f>
        <v>0</v>
      </c>
      <c r="F28" s="483"/>
      <c r="G28" s="514"/>
      <c r="H28" s="483"/>
      <c r="I28" s="483"/>
      <c r="J28" s="483"/>
      <c r="K28" s="131" t="n">
        <f aca="false">+SUM(F28:J28)</f>
        <v>0</v>
      </c>
      <c r="L28" s="142"/>
      <c r="M28" s="142"/>
      <c r="N28" s="142"/>
      <c r="O28" s="142"/>
      <c r="P28" s="142"/>
      <c r="Q28" s="142"/>
      <c r="R28" s="131" t="n">
        <f aca="false">+SUM(L28:Q28)</f>
        <v>0</v>
      </c>
      <c r="S28" s="514"/>
      <c r="T28" s="131" t="n">
        <f aca="false">+S28</f>
        <v>0</v>
      </c>
      <c r="U28" s="514"/>
      <c r="V28" s="515" t="n">
        <f aca="false">+U28</f>
        <v>0</v>
      </c>
      <c r="W28" s="516"/>
      <c r="X28" s="142"/>
      <c r="Y28" s="102"/>
      <c r="Z28" s="102"/>
      <c r="AA28" s="102"/>
      <c r="AB28" s="102"/>
      <c r="AC28" s="102"/>
      <c r="AD28" s="102"/>
      <c r="AE28" s="102"/>
      <c r="AF28" s="102"/>
      <c r="AG28" s="102"/>
      <c r="AH28" s="102"/>
      <c r="AI28" s="102"/>
      <c r="AJ28" s="102"/>
      <c r="AK28" s="102"/>
      <c r="AL28" s="102"/>
      <c r="AM28" s="102"/>
      <c r="AN28" s="102"/>
      <c r="AO28" s="102"/>
      <c r="AP28" s="102"/>
      <c r="AQ28" s="102"/>
      <c r="AR28" s="102"/>
      <c r="AS28" s="102"/>
      <c r="AT28" s="102"/>
      <c r="AU28" s="102"/>
      <c r="AV28" s="102"/>
      <c r="AW28" s="102"/>
      <c r="AX28" s="102"/>
      <c r="AY28" s="102"/>
      <c r="AZ28" s="102"/>
      <c r="BA28" s="102"/>
      <c r="BB28" s="102"/>
      <c r="BC28" s="102"/>
      <c r="BD28" s="102"/>
      <c r="BE28" s="102"/>
      <c r="BF28" s="102"/>
      <c r="BG28" s="102"/>
      <c r="BH28" s="102"/>
      <c r="BI28" s="102"/>
      <c r="BJ28" s="102"/>
      <c r="BK28" s="102"/>
      <c r="BL28" s="102"/>
      <c r="BM28" s="102"/>
      <c r="BN28" s="102"/>
      <c r="BO28" s="102"/>
      <c r="BP28" s="102"/>
      <c r="BQ28" s="102"/>
      <c r="BR28" s="102"/>
      <c r="BS28" s="102"/>
      <c r="BT28" s="102"/>
      <c r="BU28" s="102"/>
      <c r="BV28" s="102"/>
      <c r="BW28" s="102"/>
      <c r="BX28" s="102"/>
      <c r="BY28" s="102"/>
      <c r="BZ28" s="102"/>
    </row>
    <row r="29" s="520" customFormat="true" ht="27" hidden="false" customHeight="true" outlineLevel="0" collapsed="false">
      <c r="A29" s="513" t="n">
        <f aca="false">'Listado CAPS'!A27</f>
        <v>0</v>
      </c>
      <c r="B29" s="513" t="n">
        <f aca="false">'Listado CAPS'!B27</f>
        <v>0</v>
      </c>
      <c r="C29" s="513" t="n">
        <f aca="false">'Listado CAPS'!C27</f>
        <v>0</v>
      </c>
      <c r="D29" s="503" t="str">
        <f aca="false">'Listado CAPS'!D27</f>
        <v>X</v>
      </c>
      <c r="E29" s="503" t="n">
        <f aca="false">'Listado CAPS'!E27</f>
        <v>0</v>
      </c>
      <c r="F29" s="483"/>
      <c r="G29" s="483"/>
      <c r="H29" s="483"/>
      <c r="I29" s="483"/>
      <c r="J29" s="483"/>
      <c r="K29" s="131" t="n">
        <f aca="false">+SUM(F29:J29)</f>
        <v>0</v>
      </c>
      <c r="L29" s="142"/>
      <c r="M29" s="142"/>
      <c r="N29" s="142"/>
      <c r="O29" s="142"/>
      <c r="P29" s="142"/>
      <c r="Q29" s="142"/>
      <c r="R29" s="131" t="n">
        <f aca="false">+SUM(L29:Q29)</f>
        <v>0</v>
      </c>
      <c r="S29" s="514"/>
      <c r="T29" s="131" t="n">
        <f aca="false">+S29</f>
        <v>0</v>
      </c>
      <c r="U29" s="514"/>
      <c r="V29" s="515" t="n">
        <f aca="false">+U29</f>
        <v>0</v>
      </c>
      <c r="W29" s="519"/>
      <c r="X29" s="482"/>
      <c r="Y29" s="102"/>
      <c r="Z29" s="102"/>
      <c r="AA29" s="102"/>
      <c r="AB29" s="102"/>
      <c r="AC29" s="102"/>
      <c r="AD29" s="102"/>
      <c r="AE29" s="102"/>
      <c r="AF29" s="102"/>
      <c r="AG29" s="102"/>
      <c r="AH29" s="102"/>
      <c r="AI29" s="102"/>
      <c r="AJ29" s="102"/>
      <c r="AK29" s="102"/>
      <c r="AL29" s="102"/>
      <c r="AM29" s="102"/>
      <c r="AN29" s="102"/>
      <c r="AO29" s="102"/>
      <c r="AP29" s="102"/>
      <c r="AQ29" s="102"/>
      <c r="AR29" s="102"/>
      <c r="AS29" s="102"/>
      <c r="AT29" s="102"/>
      <c r="AU29" s="102"/>
      <c r="AV29" s="102"/>
      <c r="AW29" s="102"/>
      <c r="AX29" s="102"/>
      <c r="AY29" s="102"/>
      <c r="AZ29" s="102"/>
      <c r="BA29" s="102"/>
      <c r="BB29" s="102"/>
      <c r="BC29" s="102"/>
      <c r="BD29" s="102"/>
      <c r="BE29" s="102"/>
      <c r="BF29" s="102"/>
      <c r="BG29" s="102"/>
      <c r="BH29" s="102"/>
      <c r="BI29" s="102"/>
      <c r="BJ29" s="102"/>
      <c r="BK29" s="102"/>
      <c r="BL29" s="102"/>
      <c r="BM29" s="102"/>
      <c r="BN29" s="102"/>
      <c r="BO29" s="102"/>
      <c r="BP29" s="102"/>
      <c r="BQ29" s="102"/>
      <c r="BR29" s="102"/>
      <c r="BS29" s="102"/>
      <c r="BT29" s="102"/>
      <c r="BU29" s="102"/>
      <c r="BV29" s="102"/>
      <c r="BW29" s="102"/>
      <c r="BX29" s="102"/>
      <c r="BY29" s="102"/>
      <c r="BZ29" s="102"/>
    </row>
    <row r="30" s="102" customFormat="true" ht="27" hidden="false" customHeight="true" outlineLevel="0" collapsed="false">
      <c r="A30" s="513" t="n">
        <f aca="false">'Listado CAPS'!A28</f>
        <v>0</v>
      </c>
      <c r="B30" s="513" t="n">
        <f aca="false">'Listado CAPS'!B28</f>
        <v>0</v>
      </c>
      <c r="C30" s="513" t="n">
        <f aca="false">'Listado CAPS'!C28</f>
        <v>0</v>
      </c>
      <c r="D30" s="503" t="str">
        <f aca="false">'Listado CAPS'!D28</f>
        <v>Y</v>
      </c>
      <c r="E30" s="503" t="n">
        <f aca="false">'Listado CAPS'!E28</f>
        <v>0</v>
      </c>
      <c r="F30" s="483"/>
      <c r="G30" s="483"/>
      <c r="H30" s="483"/>
      <c r="I30" s="483"/>
      <c r="J30" s="483"/>
      <c r="K30" s="131" t="n">
        <f aca="false">+SUM(F30:J30)</f>
        <v>0</v>
      </c>
      <c r="L30" s="142"/>
      <c r="M30" s="142"/>
      <c r="N30" s="142"/>
      <c r="O30" s="142"/>
      <c r="P30" s="142"/>
      <c r="Q30" s="142"/>
      <c r="R30" s="131" t="n">
        <f aca="false">+SUM(L30:Q30)</f>
        <v>0</v>
      </c>
      <c r="S30" s="514"/>
      <c r="T30" s="131" t="n">
        <f aca="false">+S30</f>
        <v>0</v>
      </c>
      <c r="U30" s="514"/>
      <c r="V30" s="515" t="n">
        <f aca="false">+U30</f>
        <v>0</v>
      </c>
      <c r="W30" s="516"/>
      <c r="X30" s="142"/>
    </row>
    <row r="31" customFormat="false" ht="22.5" hidden="false" customHeight="true" outlineLevel="0" collapsed="false">
      <c r="A31" s="145"/>
      <c r="B31" s="145"/>
      <c r="C31" s="145"/>
      <c r="D31" s="146"/>
      <c r="E31" s="146"/>
      <c r="F31" s="521"/>
      <c r="G31" s="521"/>
      <c r="H31" s="521"/>
      <c r="I31" s="521"/>
      <c r="J31" s="521"/>
      <c r="K31" s="521"/>
      <c r="L31" s="521"/>
      <c r="M31" s="521"/>
      <c r="N31" s="521"/>
      <c r="O31" s="521"/>
      <c r="P31" s="521"/>
      <c r="Q31" s="521"/>
      <c r="R31" s="521"/>
      <c r="S31" s="521"/>
      <c r="T31" s="521"/>
      <c r="U31" s="521"/>
      <c r="V31" s="521"/>
      <c r="W31" s="143"/>
      <c r="X31" s="143"/>
    </row>
    <row r="32" s="175" customFormat="true" ht="22.5" hidden="false" customHeight="true" outlineLevel="0" collapsed="false">
      <c r="A32" s="181"/>
      <c r="B32" s="181"/>
      <c r="C32" s="181"/>
      <c r="D32" s="522"/>
      <c r="E32" s="522"/>
      <c r="F32" s="523"/>
      <c r="G32" s="523"/>
      <c r="H32" s="523"/>
      <c r="I32" s="523"/>
      <c r="J32" s="523"/>
      <c r="K32" s="523"/>
      <c r="L32" s="523"/>
      <c r="M32" s="523"/>
      <c r="N32" s="523"/>
      <c r="O32" s="523"/>
      <c r="P32" s="523"/>
      <c r="Q32" s="523"/>
      <c r="R32" s="523"/>
      <c r="S32" s="523"/>
      <c r="T32" s="523"/>
      <c r="U32" s="523"/>
      <c r="V32" s="523"/>
      <c r="W32" s="524"/>
      <c r="X32" s="524"/>
    </row>
    <row r="33" s="175" customFormat="true" ht="22.5" hidden="false" customHeight="true" outlineLevel="0" collapsed="false">
      <c r="A33" s="181"/>
      <c r="B33" s="181"/>
      <c r="C33" s="181"/>
      <c r="D33" s="522"/>
      <c r="E33" s="522"/>
      <c r="F33" s="523"/>
      <c r="G33" s="523"/>
      <c r="H33" s="523"/>
      <c r="I33" s="523"/>
      <c r="J33" s="523"/>
      <c r="K33" s="523"/>
      <c r="L33" s="523"/>
      <c r="M33" s="523"/>
      <c r="N33" s="523"/>
      <c r="O33" s="523"/>
      <c r="P33" s="523"/>
      <c r="Q33" s="523"/>
      <c r="R33" s="523"/>
      <c r="S33" s="523"/>
      <c r="T33" s="523"/>
      <c r="U33" s="523"/>
      <c r="V33" s="523"/>
      <c r="W33" s="524"/>
      <c r="X33" s="524"/>
    </row>
    <row r="34" s="175" customFormat="true" ht="22.5" hidden="false" customHeight="true" outlineLevel="0" collapsed="false">
      <c r="A34" s="181"/>
      <c r="B34" s="181"/>
      <c r="C34" s="181"/>
      <c r="D34" s="522"/>
      <c r="E34" s="522"/>
      <c r="F34" s="523"/>
      <c r="G34" s="523"/>
      <c r="H34" s="523"/>
      <c r="I34" s="523"/>
      <c r="J34" s="523"/>
      <c r="K34" s="523"/>
      <c r="L34" s="523"/>
      <c r="M34" s="523"/>
      <c r="N34" s="523"/>
      <c r="O34" s="523"/>
      <c r="P34" s="523"/>
      <c r="Q34" s="523"/>
      <c r="R34" s="523"/>
      <c r="S34" s="523"/>
      <c r="T34" s="523"/>
      <c r="U34" s="523"/>
      <c r="V34" s="523"/>
      <c r="W34" s="524"/>
      <c r="X34" s="524"/>
    </row>
    <row r="35" customFormat="false" ht="22.5" hidden="false" customHeight="true" outlineLevel="0" collapsed="false">
      <c r="A35" s="145"/>
      <c r="B35" s="145"/>
      <c r="C35" s="145"/>
      <c r="D35" s="146"/>
      <c r="E35" s="146"/>
      <c r="F35" s="521"/>
      <c r="G35" s="521"/>
      <c r="H35" s="521"/>
      <c r="I35" s="521"/>
      <c r="J35" s="521"/>
      <c r="K35" s="521"/>
      <c r="L35" s="521"/>
      <c r="M35" s="521"/>
      <c r="N35" s="521"/>
      <c r="O35" s="521"/>
      <c r="P35" s="521"/>
      <c r="Q35" s="521"/>
      <c r="R35" s="521"/>
      <c r="S35" s="521"/>
      <c r="T35" s="521"/>
      <c r="U35" s="521"/>
      <c r="V35" s="521"/>
      <c r="W35" s="143"/>
      <c r="X35" s="143"/>
    </row>
    <row r="36" customFormat="false" ht="22.5" hidden="false" customHeight="true" outlineLevel="0" collapsed="false">
      <c r="A36" s="145"/>
      <c r="B36" s="145"/>
      <c r="C36" s="145"/>
      <c r="D36" s="146"/>
      <c r="E36" s="146"/>
      <c r="F36" s="521"/>
      <c r="G36" s="521"/>
      <c r="H36" s="521"/>
      <c r="I36" s="521"/>
      <c r="J36" s="521"/>
      <c r="K36" s="521"/>
      <c r="L36" s="521"/>
      <c r="M36" s="521"/>
      <c r="N36" s="521"/>
      <c r="O36" s="521"/>
      <c r="P36" s="521"/>
      <c r="Q36" s="521"/>
      <c r="R36" s="521"/>
      <c r="S36" s="521"/>
      <c r="T36" s="521"/>
      <c r="U36" s="521"/>
      <c r="V36" s="521"/>
      <c r="W36" s="143"/>
      <c r="X36" s="143"/>
    </row>
    <row r="37" customFormat="false" ht="22.5" hidden="false" customHeight="true" outlineLevel="0" collapsed="false">
      <c r="A37" s="145"/>
      <c r="B37" s="145"/>
      <c r="C37" s="145"/>
      <c r="D37" s="146"/>
      <c r="E37" s="146"/>
      <c r="F37" s="521"/>
      <c r="G37" s="521"/>
      <c r="H37" s="521"/>
      <c r="I37" s="521"/>
      <c r="J37" s="521"/>
      <c r="K37" s="521"/>
      <c r="L37" s="521"/>
      <c r="M37" s="521"/>
      <c r="N37" s="521"/>
      <c r="O37" s="521"/>
      <c r="P37" s="521"/>
      <c r="Q37" s="521"/>
      <c r="R37" s="521"/>
      <c r="S37" s="521"/>
      <c r="T37" s="521"/>
      <c r="U37" s="521"/>
      <c r="V37" s="521"/>
      <c r="W37" s="143"/>
      <c r="X37" s="143"/>
    </row>
    <row r="38" customFormat="false" ht="22.5" hidden="false" customHeight="true" outlineLevel="0" collapsed="false">
      <c r="A38" s="145"/>
      <c r="B38" s="145"/>
      <c r="C38" s="145"/>
      <c r="D38" s="146"/>
      <c r="E38" s="146"/>
      <c r="F38" s="521"/>
      <c r="G38" s="521"/>
      <c r="H38" s="521"/>
      <c r="I38" s="521"/>
      <c r="J38" s="521"/>
      <c r="K38" s="521"/>
      <c r="L38" s="521"/>
      <c r="M38" s="521"/>
      <c r="N38" s="521"/>
      <c r="O38" s="521"/>
      <c r="P38" s="521"/>
      <c r="Q38" s="521"/>
      <c r="R38" s="521"/>
      <c r="S38" s="521"/>
      <c r="T38" s="521"/>
      <c r="U38" s="521"/>
      <c r="V38" s="521"/>
      <c r="W38" s="143"/>
      <c r="X38" s="143"/>
    </row>
    <row r="39" customFormat="false" ht="22.5" hidden="false" customHeight="true" outlineLevel="0" collapsed="false">
      <c r="A39" s="145"/>
      <c r="B39" s="145"/>
      <c r="C39" s="145"/>
      <c r="D39" s="146"/>
      <c r="E39" s="146"/>
      <c r="F39" s="521"/>
      <c r="G39" s="521"/>
      <c r="H39" s="521"/>
      <c r="I39" s="521"/>
      <c r="J39" s="521"/>
      <c r="K39" s="521"/>
      <c r="L39" s="521"/>
      <c r="M39" s="521"/>
      <c r="N39" s="521"/>
      <c r="O39" s="521"/>
      <c r="P39" s="521"/>
      <c r="Q39" s="521"/>
      <c r="R39" s="521"/>
      <c r="S39" s="521"/>
      <c r="T39" s="521"/>
      <c r="U39" s="521"/>
      <c r="V39" s="521"/>
      <c r="W39" s="143"/>
      <c r="X39" s="143"/>
    </row>
    <row r="40" customFormat="false" ht="22.5" hidden="false" customHeight="true" outlineLevel="0" collapsed="false">
      <c r="A40" s="145"/>
      <c r="B40" s="145"/>
      <c r="C40" s="145"/>
      <c r="D40" s="146"/>
      <c r="E40" s="146"/>
      <c r="F40" s="521"/>
      <c r="G40" s="521"/>
      <c r="H40" s="521"/>
      <c r="I40" s="521"/>
      <c r="J40" s="521"/>
      <c r="K40" s="521"/>
      <c r="L40" s="521"/>
      <c r="M40" s="521"/>
      <c r="N40" s="521"/>
      <c r="O40" s="521"/>
      <c r="P40" s="521"/>
      <c r="Q40" s="521"/>
      <c r="R40" s="521"/>
      <c r="S40" s="521"/>
      <c r="T40" s="521"/>
      <c r="U40" s="521"/>
      <c r="V40" s="521"/>
      <c r="W40" s="143"/>
      <c r="X40" s="143"/>
    </row>
    <row r="41" customFormat="false" ht="22.5" hidden="false" customHeight="true" outlineLevel="0" collapsed="false">
      <c r="A41" s="145"/>
      <c r="B41" s="145"/>
      <c r="C41" s="145"/>
      <c r="D41" s="146"/>
      <c r="E41" s="146"/>
      <c r="F41" s="521"/>
      <c r="G41" s="521"/>
      <c r="H41" s="521"/>
      <c r="I41" s="521"/>
      <c r="J41" s="521"/>
      <c r="K41" s="521"/>
      <c r="L41" s="521"/>
      <c r="M41" s="521"/>
      <c r="N41" s="521"/>
      <c r="O41" s="521"/>
      <c r="P41" s="521"/>
      <c r="Q41" s="521"/>
      <c r="R41" s="521"/>
      <c r="S41" s="521"/>
      <c r="T41" s="521"/>
      <c r="U41" s="521"/>
      <c r="V41" s="521"/>
      <c r="W41" s="143"/>
      <c r="X41" s="143"/>
    </row>
    <row r="42" customFormat="false" ht="22.5" hidden="false" customHeight="true" outlineLevel="0" collapsed="false">
      <c r="A42" s="145"/>
      <c r="B42" s="145"/>
      <c r="C42" s="145"/>
      <c r="D42" s="146"/>
      <c r="E42" s="146"/>
      <c r="F42" s="521"/>
      <c r="G42" s="521"/>
      <c r="H42" s="521"/>
      <c r="I42" s="521"/>
      <c r="J42" s="521"/>
      <c r="K42" s="521"/>
      <c r="L42" s="521"/>
      <c r="M42" s="521"/>
      <c r="N42" s="521"/>
      <c r="O42" s="521"/>
      <c r="P42" s="521"/>
      <c r="Q42" s="521"/>
      <c r="R42" s="521"/>
      <c r="S42" s="521"/>
      <c r="T42" s="521"/>
      <c r="U42" s="521"/>
      <c r="V42" s="521"/>
      <c r="W42" s="143"/>
      <c r="X42" s="143"/>
    </row>
    <row r="43" customFormat="false" ht="22.5" hidden="false" customHeight="true" outlineLevel="0" collapsed="false">
      <c r="A43" s="145"/>
      <c r="B43" s="145"/>
      <c r="C43" s="145"/>
      <c r="D43" s="146"/>
      <c r="E43" s="146"/>
      <c r="F43" s="521"/>
      <c r="G43" s="521"/>
      <c r="H43" s="521"/>
      <c r="I43" s="521"/>
      <c r="J43" s="521"/>
      <c r="K43" s="521"/>
      <c r="L43" s="521"/>
      <c r="M43" s="521"/>
      <c r="N43" s="521"/>
      <c r="O43" s="521"/>
      <c r="P43" s="521"/>
      <c r="Q43" s="521"/>
      <c r="R43" s="521"/>
      <c r="S43" s="521"/>
      <c r="T43" s="521"/>
      <c r="U43" s="521"/>
      <c r="V43" s="521"/>
      <c r="W43" s="143"/>
      <c r="X43" s="143"/>
    </row>
    <row r="44" customFormat="false" ht="22.5" hidden="false" customHeight="true" outlineLevel="0" collapsed="false">
      <c r="A44" s="145"/>
      <c r="B44" s="145"/>
      <c r="C44" s="145"/>
      <c r="D44" s="146"/>
      <c r="E44" s="146"/>
      <c r="F44" s="521"/>
      <c r="G44" s="521"/>
      <c r="H44" s="521"/>
      <c r="I44" s="521"/>
      <c r="J44" s="521"/>
      <c r="K44" s="521"/>
      <c r="L44" s="521"/>
      <c r="M44" s="521"/>
      <c r="N44" s="521"/>
      <c r="O44" s="521"/>
      <c r="P44" s="521"/>
      <c r="Q44" s="521"/>
      <c r="R44" s="521"/>
      <c r="S44" s="521"/>
      <c r="T44" s="521"/>
      <c r="U44" s="521"/>
      <c r="V44" s="521"/>
      <c r="W44" s="143"/>
      <c r="X44" s="143"/>
    </row>
    <row r="45" customFormat="false" ht="22.5" hidden="false" customHeight="true" outlineLevel="0" collapsed="false">
      <c r="A45" s="145"/>
      <c r="B45" s="145"/>
      <c r="C45" s="145"/>
      <c r="D45" s="146"/>
      <c r="E45" s="146"/>
      <c r="F45" s="521"/>
      <c r="G45" s="521"/>
      <c r="H45" s="521"/>
      <c r="I45" s="521"/>
      <c r="J45" s="521"/>
      <c r="K45" s="521"/>
      <c r="L45" s="521"/>
      <c r="M45" s="521"/>
      <c r="N45" s="521"/>
      <c r="O45" s="521"/>
      <c r="P45" s="521"/>
      <c r="Q45" s="521"/>
      <c r="R45" s="521"/>
      <c r="S45" s="521"/>
      <c r="T45" s="521"/>
      <c r="U45" s="521"/>
      <c r="V45" s="521"/>
      <c r="W45" s="143"/>
      <c r="X45" s="143"/>
    </row>
    <row r="46" customFormat="false" ht="22.5" hidden="false" customHeight="true" outlineLevel="0" collapsed="false">
      <c r="A46" s="145"/>
      <c r="B46" s="145"/>
      <c r="C46" s="145"/>
      <c r="D46" s="146"/>
      <c r="E46" s="146"/>
      <c r="F46" s="521"/>
      <c r="G46" s="521"/>
      <c r="H46" s="521"/>
      <c r="I46" s="521"/>
      <c r="J46" s="521"/>
      <c r="K46" s="521"/>
      <c r="L46" s="521"/>
      <c r="M46" s="521"/>
      <c r="N46" s="521"/>
      <c r="O46" s="521"/>
      <c r="P46" s="521"/>
      <c r="Q46" s="521"/>
      <c r="R46" s="521"/>
      <c r="S46" s="521"/>
      <c r="T46" s="521"/>
      <c r="U46" s="521"/>
      <c r="V46" s="521"/>
    </row>
    <row r="47" customFormat="false" ht="22.5" hidden="false" customHeight="true" outlineLevel="0" collapsed="false">
      <c r="A47" s="145"/>
      <c r="B47" s="145"/>
      <c r="C47" s="145"/>
      <c r="D47" s="146"/>
      <c r="E47" s="146"/>
      <c r="F47" s="521"/>
      <c r="G47" s="521"/>
      <c r="H47" s="521"/>
      <c r="I47" s="521"/>
      <c r="J47" s="521"/>
      <c r="K47" s="521"/>
      <c r="L47" s="521"/>
      <c r="M47" s="521"/>
      <c r="N47" s="521"/>
      <c r="O47" s="521"/>
      <c r="P47" s="521"/>
      <c r="Q47" s="521"/>
      <c r="R47" s="521"/>
      <c r="S47" s="521"/>
      <c r="T47" s="521"/>
      <c r="U47" s="521"/>
      <c r="V47" s="521"/>
    </row>
    <row r="48" customFormat="false" ht="22.5" hidden="false" customHeight="true" outlineLevel="0" collapsed="false">
      <c r="A48" s="145"/>
      <c r="B48" s="145"/>
      <c r="C48" s="145"/>
      <c r="D48" s="146"/>
      <c r="E48" s="146"/>
      <c r="F48" s="521"/>
      <c r="G48" s="521"/>
      <c r="H48" s="521"/>
      <c r="I48" s="521"/>
      <c r="J48" s="521"/>
      <c r="K48" s="521"/>
      <c r="L48" s="521"/>
      <c r="M48" s="521"/>
      <c r="N48" s="521"/>
      <c r="O48" s="521"/>
      <c r="P48" s="521"/>
      <c r="Q48" s="521"/>
      <c r="R48" s="521"/>
      <c r="S48" s="521"/>
      <c r="T48" s="521"/>
      <c r="U48" s="521"/>
      <c r="V48" s="521"/>
    </row>
    <row r="49" customFormat="false" ht="22.5" hidden="false" customHeight="true" outlineLevel="0" collapsed="false">
      <c r="A49" s="145"/>
      <c r="B49" s="145"/>
      <c r="C49" s="145"/>
      <c r="D49" s="146"/>
      <c r="E49" s="146"/>
      <c r="F49" s="521"/>
      <c r="G49" s="521"/>
      <c r="H49" s="521"/>
      <c r="I49" s="521"/>
      <c r="J49" s="521"/>
      <c r="K49" s="521"/>
      <c r="L49" s="521"/>
      <c r="M49" s="521"/>
      <c r="N49" s="521"/>
      <c r="O49" s="521"/>
      <c r="P49" s="521"/>
      <c r="Q49" s="521"/>
      <c r="R49" s="521"/>
      <c r="S49" s="521"/>
      <c r="T49" s="521"/>
      <c r="U49" s="521"/>
      <c r="V49" s="521"/>
    </row>
    <row r="50" customFormat="false" ht="22.5" hidden="false" customHeight="true" outlineLevel="0" collapsed="false">
      <c r="A50" s="145"/>
      <c r="B50" s="145"/>
      <c r="C50" s="145"/>
      <c r="D50" s="146"/>
      <c r="E50" s="146"/>
      <c r="F50" s="521"/>
      <c r="G50" s="521"/>
      <c r="H50" s="521"/>
      <c r="I50" s="521"/>
      <c r="J50" s="521"/>
      <c r="K50" s="521"/>
      <c r="L50" s="521"/>
      <c r="M50" s="521"/>
      <c r="N50" s="521"/>
      <c r="O50" s="521"/>
      <c r="P50" s="521"/>
      <c r="Q50" s="521"/>
      <c r="R50" s="521"/>
      <c r="S50" s="521"/>
      <c r="T50" s="521"/>
      <c r="U50" s="521"/>
      <c r="V50" s="521"/>
    </row>
    <row r="51" customFormat="false" ht="22.5" hidden="false" customHeight="true" outlineLevel="0" collapsed="false">
      <c r="A51" s="145"/>
      <c r="B51" s="145"/>
      <c r="C51" s="145"/>
      <c r="D51" s="146"/>
      <c r="E51" s="146"/>
      <c r="F51" s="521"/>
      <c r="G51" s="521"/>
      <c r="H51" s="521"/>
      <c r="I51" s="521"/>
      <c r="J51" s="521"/>
      <c r="K51" s="521"/>
      <c r="L51" s="521"/>
      <c r="M51" s="521"/>
      <c r="N51" s="521"/>
      <c r="O51" s="521"/>
      <c r="P51" s="521"/>
      <c r="Q51" s="521"/>
      <c r="R51" s="521"/>
      <c r="S51" s="521"/>
      <c r="T51" s="521"/>
      <c r="U51" s="521"/>
      <c r="V51" s="521"/>
    </row>
    <row r="52" customFormat="false" ht="22.5" hidden="false" customHeight="true" outlineLevel="0" collapsed="false">
      <c r="A52" s="145"/>
      <c r="B52" s="145"/>
      <c r="C52" s="145"/>
      <c r="D52" s="146"/>
      <c r="E52" s="146"/>
      <c r="F52" s="521"/>
      <c r="G52" s="521"/>
      <c r="H52" s="521"/>
      <c r="I52" s="521"/>
      <c r="J52" s="521"/>
      <c r="K52" s="521"/>
      <c r="L52" s="521"/>
      <c r="M52" s="521"/>
      <c r="N52" s="521"/>
      <c r="O52" s="521"/>
      <c r="P52" s="521"/>
      <c r="Q52" s="521"/>
      <c r="R52" s="521"/>
      <c r="S52" s="521"/>
      <c r="T52" s="521"/>
      <c r="U52" s="521"/>
      <c r="V52" s="521"/>
    </row>
    <row r="53" s="96" customFormat="true" ht="22.5" hidden="false" customHeight="true" outlineLevel="0" collapsed="false">
      <c r="A53" s="145"/>
      <c r="B53" s="145"/>
      <c r="C53" s="145"/>
      <c r="D53" s="146"/>
      <c r="E53" s="146"/>
      <c r="F53" s="521"/>
      <c r="G53" s="521"/>
      <c r="H53" s="521"/>
      <c r="I53" s="521"/>
      <c r="J53" s="521"/>
      <c r="K53" s="521"/>
      <c r="L53" s="521"/>
      <c r="M53" s="521"/>
      <c r="N53" s="521"/>
      <c r="O53" s="521"/>
      <c r="P53" s="521"/>
      <c r="Q53" s="521"/>
      <c r="R53" s="521"/>
      <c r="S53" s="521"/>
      <c r="T53" s="521"/>
      <c r="U53" s="521"/>
      <c r="V53" s="521"/>
      <c r="W53" s="497"/>
      <c r="X53" s="497"/>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4"/>
      <c r="AW53" s="94"/>
      <c r="AX53" s="94"/>
      <c r="AY53" s="94"/>
    </row>
    <row r="54" s="96" customFormat="true" ht="22.5" hidden="false" customHeight="true" outlineLevel="0" collapsed="false">
      <c r="A54" s="145"/>
      <c r="B54" s="145"/>
      <c r="C54" s="145"/>
      <c r="D54" s="146"/>
      <c r="E54" s="146"/>
      <c r="F54" s="521"/>
      <c r="G54" s="521"/>
      <c r="H54" s="521"/>
      <c r="I54" s="521"/>
      <c r="J54" s="521"/>
      <c r="K54" s="521"/>
      <c r="L54" s="521"/>
      <c r="M54" s="521"/>
      <c r="N54" s="521"/>
      <c r="O54" s="521"/>
      <c r="P54" s="521"/>
      <c r="Q54" s="521"/>
      <c r="R54" s="521"/>
      <c r="S54" s="521"/>
      <c r="T54" s="521"/>
      <c r="U54" s="521"/>
      <c r="V54" s="521"/>
      <c r="W54" s="497"/>
      <c r="X54" s="497"/>
      <c r="Y54" s="94"/>
      <c r="Z54" s="94"/>
      <c r="AA54" s="94"/>
      <c r="AB54" s="94"/>
      <c r="AC54" s="94"/>
      <c r="AD54" s="94"/>
      <c r="AE54" s="94"/>
      <c r="AF54" s="94"/>
      <c r="AG54" s="94"/>
      <c r="AH54" s="94"/>
      <c r="AI54" s="94"/>
      <c r="AJ54" s="94"/>
      <c r="AK54" s="94"/>
      <c r="AL54" s="94"/>
      <c r="AM54" s="94"/>
      <c r="AN54" s="94"/>
      <c r="AO54" s="94"/>
      <c r="AP54" s="94"/>
      <c r="AQ54" s="94"/>
      <c r="AR54" s="94"/>
      <c r="AS54" s="94"/>
      <c r="AT54" s="94"/>
      <c r="AU54" s="94"/>
      <c r="AV54" s="94"/>
      <c r="AW54" s="94"/>
      <c r="AX54" s="94"/>
      <c r="AY54" s="94"/>
    </row>
    <row r="55" customFormat="false" ht="22.5" hidden="false" customHeight="true" outlineLevel="0" collapsed="false">
      <c r="A55" s="145"/>
      <c r="B55" s="145"/>
      <c r="C55" s="145"/>
      <c r="D55" s="146"/>
      <c r="E55" s="146"/>
      <c r="F55" s="521"/>
      <c r="G55" s="521"/>
      <c r="H55" s="521"/>
      <c r="I55" s="521"/>
      <c r="J55" s="521"/>
      <c r="K55" s="521"/>
      <c r="L55" s="521"/>
      <c r="M55" s="521"/>
      <c r="N55" s="521"/>
      <c r="O55" s="521"/>
      <c r="P55" s="521"/>
      <c r="Q55" s="521"/>
      <c r="R55" s="521"/>
      <c r="S55" s="521"/>
      <c r="T55" s="521"/>
      <c r="U55" s="521"/>
      <c r="V55" s="521"/>
    </row>
    <row r="56" customFormat="false" ht="22.5" hidden="false" customHeight="true" outlineLevel="0" collapsed="false">
      <c r="A56" s="145"/>
      <c r="B56" s="145"/>
      <c r="C56" s="145"/>
      <c r="D56" s="146"/>
      <c r="E56" s="146"/>
      <c r="F56" s="521"/>
      <c r="G56" s="521"/>
      <c r="H56" s="521"/>
      <c r="I56" s="521"/>
      <c r="J56" s="521"/>
      <c r="K56" s="521"/>
      <c r="L56" s="521"/>
      <c r="M56" s="521"/>
      <c r="N56" s="521"/>
      <c r="O56" s="521"/>
      <c r="P56" s="521"/>
      <c r="Q56" s="521"/>
      <c r="R56" s="521"/>
      <c r="S56" s="521"/>
      <c r="T56" s="521"/>
      <c r="U56" s="521"/>
      <c r="V56" s="521"/>
    </row>
    <row r="57" customFormat="false" ht="22.5" hidden="false" customHeight="true" outlineLevel="0" collapsed="false">
      <c r="A57" s="145"/>
      <c r="B57" s="145"/>
      <c r="C57" s="145"/>
      <c r="D57" s="146"/>
      <c r="E57" s="146"/>
      <c r="F57" s="521"/>
      <c r="G57" s="521"/>
      <c r="H57" s="521"/>
      <c r="I57" s="521"/>
      <c r="J57" s="521"/>
      <c r="K57" s="521"/>
      <c r="L57" s="521"/>
      <c r="M57" s="521"/>
      <c r="N57" s="521"/>
      <c r="O57" s="521"/>
      <c r="P57" s="521"/>
      <c r="Q57" s="521"/>
      <c r="R57" s="521"/>
      <c r="S57" s="521"/>
      <c r="T57" s="521"/>
      <c r="U57" s="521"/>
      <c r="V57" s="521"/>
    </row>
    <row r="58" customFormat="false" ht="22.5" hidden="false" customHeight="true" outlineLevel="0" collapsed="false">
      <c r="A58" s="145"/>
      <c r="B58" s="145"/>
      <c r="C58" s="145"/>
      <c r="D58" s="146"/>
      <c r="E58" s="146"/>
      <c r="F58" s="521"/>
      <c r="G58" s="521"/>
      <c r="H58" s="521"/>
      <c r="I58" s="521"/>
      <c r="J58" s="521"/>
      <c r="K58" s="521"/>
      <c r="L58" s="521"/>
      <c r="M58" s="521"/>
      <c r="N58" s="521"/>
      <c r="O58" s="521"/>
      <c r="P58" s="521"/>
      <c r="Q58" s="521"/>
      <c r="R58" s="521"/>
      <c r="S58" s="521"/>
      <c r="T58" s="521"/>
      <c r="U58" s="521"/>
      <c r="V58" s="521"/>
    </row>
    <row r="59" customFormat="false" ht="22.5" hidden="false" customHeight="true" outlineLevel="0" collapsed="false">
      <c r="A59" s="145"/>
      <c r="B59" s="145"/>
      <c r="C59" s="145"/>
      <c r="D59" s="146"/>
      <c r="E59" s="146"/>
      <c r="F59" s="521"/>
      <c r="G59" s="521"/>
      <c r="H59" s="521"/>
      <c r="I59" s="521"/>
      <c r="J59" s="521"/>
      <c r="K59" s="521"/>
      <c r="L59" s="521"/>
      <c r="M59" s="521"/>
      <c r="N59" s="521"/>
      <c r="O59" s="521"/>
      <c r="P59" s="521"/>
      <c r="Q59" s="521"/>
      <c r="R59" s="521"/>
      <c r="S59" s="521"/>
      <c r="T59" s="521"/>
      <c r="U59" s="521"/>
      <c r="V59" s="521"/>
    </row>
    <row r="60" customFormat="false" ht="22.5" hidden="false" customHeight="true" outlineLevel="0" collapsed="false">
      <c r="A60" s="145"/>
      <c r="B60" s="145"/>
      <c r="C60" s="145"/>
      <c r="D60" s="146"/>
      <c r="E60" s="146"/>
      <c r="F60" s="521"/>
      <c r="G60" s="521"/>
      <c r="H60" s="521"/>
      <c r="I60" s="521"/>
      <c r="J60" s="521"/>
      <c r="K60" s="521"/>
      <c r="L60" s="521"/>
      <c r="M60" s="521"/>
      <c r="N60" s="521"/>
      <c r="O60" s="521"/>
      <c r="P60" s="521"/>
      <c r="Q60" s="521"/>
      <c r="R60" s="521"/>
      <c r="S60" s="521"/>
      <c r="T60" s="521"/>
      <c r="U60" s="521"/>
      <c r="V60" s="521"/>
    </row>
    <row r="61" customFormat="false" ht="22.5" hidden="false" customHeight="true" outlineLevel="0" collapsed="false">
      <c r="A61" s="145"/>
      <c r="B61" s="145"/>
      <c r="C61" s="145"/>
      <c r="D61" s="146"/>
      <c r="E61" s="146"/>
      <c r="F61" s="521"/>
      <c r="G61" s="521"/>
      <c r="H61" s="521"/>
      <c r="I61" s="521"/>
      <c r="J61" s="521"/>
      <c r="K61" s="521"/>
      <c r="L61" s="521"/>
      <c r="M61" s="521"/>
      <c r="N61" s="521"/>
      <c r="O61" s="521"/>
      <c r="P61" s="521"/>
      <c r="Q61" s="521"/>
      <c r="R61" s="521"/>
      <c r="S61" s="521"/>
      <c r="T61" s="521"/>
      <c r="U61" s="521"/>
      <c r="V61" s="521"/>
    </row>
    <row r="62" customFormat="false" ht="22.5" hidden="false" customHeight="true" outlineLevel="0" collapsed="false">
      <c r="A62" s="145"/>
      <c r="B62" s="145"/>
      <c r="C62" s="145"/>
      <c r="D62" s="146"/>
      <c r="E62" s="146"/>
      <c r="F62" s="521"/>
      <c r="G62" s="521"/>
      <c r="H62" s="521"/>
      <c r="I62" s="521"/>
      <c r="J62" s="521"/>
      <c r="K62" s="521"/>
      <c r="L62" s="521"/>
      <c r="M62" s="521"/>
      <c r="N62" s="521"/>
      <c r="O62" s="521"/>
      <c r="P62" s="521"/>
      <c r="Q62" s="521"/>
      <c r="R62" s="521"/>
      <c r="S62" s="521"/>
      <c r="T62" s="521"/>
      <c r="U62" s="521"/>
      <c r="V62" s="521"/>
    </row>
    <row r="63" customFormat="false" ht="22.5" hidden="false" customHeight="true" outlineLevel="0" collapsed="false">
      <c r="A63" s="145"/>
      <c r="B63" s="145"/>
      <c r="C63" s="145"/>
      <c r="D63" s="146"/>
      <c r="E63" s="146"/>
      <c r="F63" s="521"/>
      <c r="G63" s="521"/>
      <c r="H63" s="521"/>
      <c r="I63" s="521"/>
      <c r="J63" s="521"/>
      <c r="K63" s="521"/>
      <c r="L63" s="521"/>
      <c r="M63" s="521"/>
      <c r="N63" s="521"/>
      <c r="O63" s="521"/>
      <c r="P63" s="521"/>
      <c r="Q63" s="521"/>
      <c r="R63" s="521"/>
      <c r="S63" s="521"/>
      <c r="T63" s="521"/>
      <c r="U63" s="521"/>
      <c r="V63" s="521"/>
    </row>
    <row r="64" customFormat="false" ht="22.5" hidden="false" customHeight="true" outlineLevel="0" collapsed="false">
      <c r="A64" s="145"/>
      <c r="B64" s="145"/>
      <c r="C64" s="145"/>
      <c r="D64" s="146"/>
      <c r="E64" s="146"/>
      <c r="F64" s="521"/>
      <c r="G64" s="521"/>
      <c r="H64" s="521"/>
      <c r="I64" s="521"/>
      <c r="J64" s="521"/>
      <c r="K64" s="521"/>
      <c r="L64" s="521"/>
      <c r="M64" s="521"/>
      <c r="N64" s="521"/>
      <c r="O64" s="521"/>
      <c r="P64" s="521"/>
      <c r="Q64" s="521"/>
      <c r="R64" s="521"/>
      <c r="S64" s="521"/>
      <c r="T64" s="521"/>
      <c r="U64" s="521"/>
      <c r="V64" s="521"/>
    </row>
    <row r="65" customFormat="false" ht="22.5" hidden="false" customHeight="true" outlineLevel="0" collapsed="false">
      <c r="A65" s="145"/>
      <c r="B65" s="145"/>
      <c r="C65" s="145"/>
      <c r="D65" s="146"/>
      <c r="E65" s="146"/>
      <c r="F65" s="521"/>
      <c r="G65" s="521"/>
      <c r="H65" s="521"/>
      <c r="I65" s="521"/>
      <c r="J65" s="521"/>
      <c r="K65" s="521"/>
      <c r="L65" s="521"/>
      <c r="M65" s="521"/>
      <c r="N65" s="521"/>
      <c r="O65" s="521"/>
      <c r="P65" s="521"/>
      <c r="Q65" s="521"/>
      <c r="R65" s="521"/>
      <c r="S65" s="521"/>
      <c r="T65" s="521"/>
      <c r="U65" s="521"/>
      <c r="V65" s="521"/>
    </row>
    <row r="66" customFormat="false" ht="22.5" hidden="false" customHeight="true" outlineLevel="0" collapsed="false">
      <c r="A66" s="145"/>
      <c r="B66" s="145"/>
      <c r="C66" s="145"/>
      <c r="D66" s="146"/>
      <c r="E66" s="146"/>
      <c r="F66" s="521"/>
      <c r="G66" s="521"/>
      <c r="H66" s="521"/>
      <c r="I66" s="521"/>
      <c r="J66" s="521"/>
      <c r="K66" s="521"/>
      <c r="L66" s="521"/>
      <c r="M66" s="521"/>
      <c r="N66" s="521"/>
      <c r="O66" s="521"/>
      <c r="P66" s="521"/>
      <c r="Q66" s="521"/>
      <c r="R66" s="521"/>
      <c r="S66" s="521"/>
      <c r="T66" s="521"/>
      <c r="U66" s="521"/>
      <c r="V66" s="521"/>
    </row>
    <row r="67" customFormat="false" ht="22.5" hidden="false" customHeight="true" outlineLevel="0" collapsed="false">
      <c r="A67" s="145"/>
      <c r="B67" s="145"/>
      <c r="C67" s="145"/>
      <c r="D67" s="146"/>
      <c r="E67" s="146"/>
      <c r="F67" s="521"/>
      <c r="G67" s="521"/>
      <c r="H67" s="521"/>
      <c r="I67" s="521"/>
      <c r="J67" s="521"/>
      <c r="K67" s="521"/>
      <c r="L67" s="521"/>
      <c r="M67" s="521"/>
      <c r="N67" s="521"/>
      <c r="O67" s="521"/>
      <c r="P67" s="521"/>
      <c r="Q67" s="521"/>
      <c r="R67" s="521"/>
      <c r="S67" s="521"/>
      <c r="T67" s="521"/>
      <c r="U67" s="521"/>
      <c r="V67" s="521"/>
    </row>
    <row r="68" customFormat="false" ht="22.5" hidden="false" customHeight="true" outlineLevel="0" collapsed="false">
      <c r="A68" s="145"/>
      <c r="B68" s="145"/>
      <c r="C68" s="145"/>
      <c r="D68" s="146"/>
      <c r="E68" s="146"/>
      <c r="F68" s="521"/>
      <c r="G68" s="521"/>
      <c r="H68" s="521"/>
      <c r="I68" s="521"/>
      <c r="J68" s="521"/>
      <c r="K68" s="521"/>
      <c r="L68" s="521"/>
      <c r="M68" s="521"/>
      <c r="N68" s="521"/>
      <c r="O68" s="521"/>
      <c r="P68" s="521"/>
      <c r="Q68" s="521"/>
      <c r="R68" s="521"/>
      <c r="S68" s="521"/>
      <c r="T68" s="521"/>
      <c r="U68" s="521"/>
      <c r="V68" s="521"/>
    </row>
    <row r="69" customFormat="false" ht="22.5" hidden="false" customHeight="true" outlineLevel="0" collapsed="false">
      <c r="A69" s="145"/>
      <c r="B69" s="145"/>
      <c r="C69" s="145"/>
      <c r="D69" s="146"/>
      <c r="E69" s="146"/>
      <c r="F69" s="521"/>
      <c r="G69" s="521"/>
      <c r="H69" s="521"/>
      <c r="I69" s="521"/>
      <c r="J69" s="521"/>
      <c r="K69" s="521"/>
      <c r="L69" s="521"/>
      <c r="M69" s="521"/>
      <c r="N69" s="521"/>
      <c r="O69" s="521"/>
      <c r="P69" s="521"/>
      <c r="Q69" s="521"/>
      <c r="R69" s="521"/>
      <c r="S69" s="521"/>
      <c r="T69" s="521"/>
      <c r="U69" s="521"/>
      <c r="V69" s="521"/>
    </row>
    <row r="70" customFormat="false" ht="22.5" hidden="false" customHeight="true" outlineLevel="0" collapsed="false">
      <c r="A70" s="145"/>
      <c r="B70" s="145"/>
      <c r="C70" s="145"/>
      <c r="D70" s="146"/>
      <c r="E70" s="146"/>
      <c r="F70" s="521"/>
      <c r="G70" s="521"/>
      <c r="H70" s="521"/>
      <c r="I70" s="521"/>
      <c r="J70" s="521"/>
      <c r="K70" s="521"/>
      <c r="L70" s="521"/>
      <c r="M70" s="521"/>
      <c r="N70" s="521"/>
      <c r="O70" s="521"/>
      <c r="P70" s="521"/>
      <c r="Q70" s="521"/>
      <c r="R70" s="521"/>
      <c r="S70" s="521"/>
      <c r="T70" s="521"/>
      <c r="U70" s="521"/>
      <c r="V70" s="521"/>
    </row>
    <row r="71" customFormat="false" ht="22.5" hidden="false" customHeight="true" outlineLevel="0" collapsed="false">
      <c r="A71" s="145"/>
      <c r="B71" s="145"/>
      <c r="C71" s="145"/>
      <c r="D71" s="146"/>
      <c r="E71" s="146"/>
      <c r="F71" s="521"/>
      <c r="G71" s="521"/>
      <c r="H71" s="521"/>
      <c r="I71" s="521"/>
      <c r="J71" s="521"/>
      <c r="K71" s="521"/>
      <c r="L71" s="521"/>
      <c r="M71" s="521"/>
      <c r="N71" s="521"/>
      <c r="O71" s="521"/>
      <c r="P71" s="521"/>
      <c r="Q71" s="521"/>
      <c r="R71" s="521"/>
      <c r="S71" s="521"/>
      <c r="T71" s="521"/>
      <c r="U71" s="521"/>
      <c r="V71" s="521"/>
    </row>
    <row r="72" customFormat="false" ht="22.5" hidden="false" customHeight="true" outlineLevel="0" collapsed="false">
      <c r="A72" s="145"/>
      <c r="B72" s="145"/>
      <c r="C72" s="145"/>
      <c r="D72" s="146"/>
      <c r="E72" s="146"/>
      <c r="F72" s="521"/>
      <c r="G72" s="521"/>
      <c r="H72" s="521"/>
      <c r="I72" s="521"/>
      <c r="J72" s="521"/>
      <c r="K72" s="521"/>
      <c r="L72" s="521"/>
      <c r="M72" s="521"/>
      <c r="N72" s="521"/>
      <c r="O72" s="521"/>
      <c r="P72" s="521"/>
      <c r="Q72" s="521"/>
      <c r="R72" s="521"/>
      <c r="S72" s="521"/>
      <c r="T72" s="521"/>
      <c r="U72" s="521"/>
      <c r="V72" s="521"/>
    </row>
    <row r="73" customFormat="false" ht="22.5" hidden="false" customHeight="true" outlineLevel="0" collapsed="false">
      <c r="A73" s="145"/>
      <c r="B73" s="145"/>
      <c r="C73" s="145"/>
      <c r="D73" s="146"/>
      <c r="E73" s="146"/>
      <c r="F73" s="521"/>
      <c r="G73" s="521"/>
      <c r="H73" s="521"/>
      <c r="I73" s="521"/>
      <c r="J73" s="521"/>
      <c r="K73" s="521"/>
      <c r="L73" s="521"/>
      <c r="M73" s="521"/>
      <c r="N73" s="521"/>
      <c r="O73" s="521"/>
      <c r="P73" s="521"/>
      <c r="Q73" s="521"/>
      <c r="R73" s="521"/>
      <c r="S73" s="521"/>
      <c r="T73" s="521"/>
      <c r="U73" s="521"/>
      <c r="V73" s="521"/>
    </row>
    <row r="74" customFormat="false" ht="22.5" hidden="false" customHeight="true" outlineLevel="0" collapsed="false">
      <c r="A74" s="145"/>
      <c r="B74" s="145"/>
      <c r="C74" s="145"/>
      <c r="D74" s="146"/>
      <c r="E74" s="146"/>
      <c r="F74" s="521"/>
      <c r="G74" s="521"/>
      <c r="H74" s="521"/>
      <c r="I74" s="521"/>
      <c r="J74" s="521"/>
      <c r="K74" s="521"/>
      <c r="L74" s="521"/>
      <c r="M74" s="521"/>
      <c r="N74" s="521"/>
      <c r="O74" s="521"/>
      <c r="P74" s="521"/>
      <c r="Q74" s="521"/>
      <c r="R74" s="521"/>
      <c r="S74" s="521"/>
      <c r="T74" s="521"/>
      <c r="U74" s="521"/>
      <c r="V74" s="521"/>
    </row>
    <row r="75" customFormat="false" ht="22.5" hidden="false" customHeight="true" outlineLevel="0" collapsed="false">
      <c r="A75" s="145"/>
      <c r="B75" s="145"/>
      <c r="C75" s="145"/>
      <c r="D75" s="146"/>
      <c r="E75" s="146"/>
      <c r="F75" s="521"/>
      <c r="G75" s="521"/>
      <c r="H75" s="521"/>
      <c r="I75" s="521"/>
      <c r="J75" s="521"/>
      <c r="K75" s="521"/>
      <c r="L75" s="521"/>
      <c r="M75" s="521"/>
      <c r="N75" s="521"/>
      <c r="O75" s="521"/>
      <c r="P75" s="521"/>
      <c r="Q75" s="521"/>
      <c r="R75" s="521"/>
      <c r="S75" s="521"/>
      <c r="T75" s="521"/>
      <c r="U75" s="521"/>
      <c r="V75" s="521"/>
    </row>
    <row r="76" s="148" customFormat="true" ht="22.5" hidden="false" customHeight="true" outlineLevel="0" collapsed="false">
      <c r="A76" s="145"/>
      <c r="B76" s="145"/>
      <c r="C76" s="145"/>
      <c r="D76" s="146"/>
      <c r="E76" s="146"/>
      <c r="F76" s="521"/>
      <c r="G76" s="521"/>
      <c r="H76" s="521"/>
      <c r="I76" s="521"/>
      <c r="J76" s="521"/>
      <c r="K76" s="521"/>
      <c r="L76" s="521"/>
      <c r="M76" s="521"/>
      <c r="N76" s="521"/>
      <c r="O76" s="521"/>
      <c r="P76" s="521"/>
      <c r="Q76" s="521"/>
      <c r="R76" s="521"/>
      <c r="S76" s="521"/>
      <c r="T76" s="521"/>
      <c r="U76" s="521"/>
      <c r="V76" s="521"/>
      <c r="W76" s="525"/>
      <c r="X76" s="525"/>
    </row>
    <row r="77" customFormat="false" ht="22.5" hidden="false" customHeight="true" outlineLevel="0" collapsed="false">
      <c r="A77" s="145"/>
      <c r="B77" s="145"/>
      <c r="C77" s="145"/>
      <c r="D77" s="146"/>
      <c r="E77" s="146"/>
      <c r="F77" s="521"/>
      <c r="G77" s="521"/>
      <c r="H77" s="521"/>
      <c r="I77" s="521"/>
      <c r="J77" s="521"/>
      <c r="K77" s="521"/>
      <c r="L77" s="521"/>
      <c r="M77" s="521"/>
      <c r="N77" s="521"/>
      <c r="O77" s="521"/>
      <c r="P77" s="521"/>
      <c r="Q77" s="521"/>
      <c r="R77" s="521"/>
      <c r="S77" s="521"/>
      <c r="T77" s="521"/>
      <c r="U77" s="521"/>
      <c r="V77" s="521"/>
    </row>
    <row r="78" customFormat="false" ht="22.5" hidden="false" customHeight="true" outlineLevel="0" collapsed="false">
      <c r="A78" s="145"/>
      <c r="B78" s="145"/>
      <c r="C78" s="145"/>
      <c r="D78" s="146"/>
      <c r="E78" s="146"/>
      <c r="F78" s="521"/>
      <c r="G78" s="521"/>
      <c r="H78" s="521"/>
      <c r="I78" s="521"/>
      <c r="J78" s="521"/>
      <c r="K78" s="521"/>
      <c r="L78" s="521"/>
      <c r="M78" s="521"/>
      <c r="N78" s="521"/>
      <c r="O78" s="521"/>
      <c r="P78" s="521"/>
      <c r="Q78" s="521"/>
      <c r="R78" s="521"/>
      <c r="S78" s="521"/>
      <c r="T78" s="521"/>
      <c r="U78" s="521"/>
      <c r="V78" s="521"/>
    </row>
    <row r="79" customFormat="false" ht="22.5" hidden="false" customHeight="true" outlineLevel="0" collapsed="false">
      <c r="A79" s="145"/>
      <c r="B79" s="145"/>
      <c r="C79" s="145"/>
      <c r="D79" s="146"/>
      <c r="E79" s="146"/>
      <c r="F79" s="521"/>
      <c r="G79" s="521"/>
      <c r="H79" s="521"/>
      <c r="I79" s="521"/>
      <c r="J79" s="521"/>
      <c r="K79" s="521"/>
      <c r="L79" s="521"/>
      <c r="M79" s="521"/>
      <c r="N79" s="521"/>
      <c r="O79" s="521"/>
      <c r="P79" s="521"/>
      <c r="Q79" s="521"/>
      <c r="R79" s="521"/>
      <c r="S79" s="521"/>
      <c r="T79" s="521"/>
      <c r="U79" s="521"/>
      <c r="V79" s="521"/>
    </row>
    <row r="80" customFormat="false" ht="22.5" hidden="false" customHeight="true" outlineLevel="0" collapsed="false">
      <c r="A80" s="145"/>
      <c r="B80" s="145"/>
      <c r="C80" s="145"/>
      <c r="D80" s="146"/>
      <c r="E80" s="146"/>
      <c r="F80" s="521"/>
      <c r="G80" s="521"/>
      <c r="H80" s="521"/>
      <c r="I80" s="521"/>
      <c r="J80" s="521"/>
      <c r="K80" s="521"/>
      <c r="L80" s="521"/>
      <c r="M80" s="521"/>
      <c r="N80" s="521"/>
      <c r="O80" s="521"/>
      <c r="P80" s="521"/>
      <c r="Q80" s="521"/>
      <c r="R80" s="521"/>
      <c r="S80" s="521"/>
      <c r="T80" s="521"/>
      <c r="U80" s="521"/>
      <c r="V80" s="521"/>
    </row>
    <row r="81" customFormat="false" ht="22.5" hidden="false" customHeight="true" outlineLevel="0" collapsed="false">
      <c r="A81" s="145"/>
      <c r="B81" s="145"/>
      <c r="C81" s="145"/>
      <c r="D81" s="146"/>
      <c r="E81" s="146"/>
      <c r="F81" s="521"/>
      <c r="G81" s="521"/>
      <c r="H81" s="521"/>
      <c r="I81" s="521"/>
      <c r="J81" s="521"/>
      <c r="K81" s="521"/>
      <c r="L81" s="521"/>
      <c r="M81" s="521"/>
      <c r="N81" s="521"/>
      <c r="O81" s="521"/>
      <c r="P81" s="521"/>
      <c r="Q81" s="521"/>
      <c r="R81" s="521"/>
      <c r="S81" s="521"/>
      <c r="T81" s="521"/>
      <c r="U81" s="521"/>
      <c r="V81" s="521"/>
    </row>
    <row r="82" customFormat="false" ht="22.5" hidden="false" customHeight="true" outlineLevel="0" collapsed="false">
      <c r="A82" s="145"/>
      <c r="B82" s="145"/>
      <c r="C82" s="145"/>
      <c r="D82" s="146"/>
      <c r="E82" s="146"/>
      <c r="F82" s="521"/>
      <c r="G82" s="521"/>
      <c r="H82" s="521"/>
      <c r="I82" s="521"/>
      <c r="J82" s="521"/>
      <c r="K82" s="521"/>
      <c r="L82" s="521"/>
      <c r="M82" s="521"/>
      <c r="N82" s="521"/>
      <c r="O82" s="521"/>
      <c r="P82" s="521"/>
      <c r="Q82" s="521"/>
      <c r="R82" s="521"/>
      <c r="S82" s="521"/>
      <c r="T82" s="521"/>
      <c r="U82" s="521"/>
      <c r="V82" s="521"/>
    </row>
    <row r="83" customFormat="false" ht="22.5" hidden="false" customHeight="true" outlineLevel="0" collapsed="false">
      <c r="A83" s="145"/>
      <c r="B83" s="145"/>
      <c r="C83" s="145"/>
      <c r="D83" s="146"/>
      <c r="E83" s="146"/>
      <c r="F83" s="521"/>
      <c r="G83" s="521"/>
      <c r="H83" s="521"/>
      <c r="I83" s="521"/>
      <c r="J83" s="521"/>
      <c r="K83" s="521"/>
      <c r="L83" s="521"/>
      <c r="M83" s="521"/>
      <c r="N83" s="521"/>
      <c r="O83" s="521"/>
      <c r="P83" s="521"/>
      <c r="Q83" s="521"/>
      <c r="R83" s="521"/>
      <c r="S83" s="521"/>
      <c r="T83" s="521"/>
      <c r="U83" s="521"/>
      <c r="V83" s="521"/>
    </row>
    <row r="84" customFormat="false" ht="22.5" hidden="false" customHeight="true" outlineLevel="0" collapsed="false">
      <c r="A84" s="145"/>
      <c r="B84" s="145"/>
      <c r="C84" s="145"/>
      <c r="D84" s="146"/>
      <c r="E84" s="146"/>
      <c r="F84" s="521"/>
      <c r="G84" s="521"/>
      <c r="H84" s="521"/>
      <c r="I84" s="521"/>
      <c r="J84" s="521"/>
      <c r="K84" s="521"/>
      <c r="L84" s="521"/>
      <c r="M84" s="521"/>
      <c r="N84" s="521"/>
      <c r="O84" s="521"/>
      <c r="P84" s="521"/>
      <c r="Q84" s="521"/>
      <c r="R84" s="521"/>
      <c r="S84" s="521"/>
      <c r="T84" s="521"/>
      <c r="U84" s="521"/>
      <c r="V84" s="521"/>
    </row>
    <row r="85" customFormat="false" ht="22.5" hidden="false" customHeight="true" outlineLevel="0" collapsed="false">
      <c r="A85" s="145"/>
      <c r="B85" s="145"/>
      <c r="C85" s="145"/>
      <c r="D85" s="146"/>
      <c r="E85" s="146"/>
      <c r="F85" s="521"/>
      <c r="G85" s="521"/>
      <c r="H85" s="521"/>
      <c r="I85" s="521"/>
      <c r="J85" s="521"/>
      <c r="K85" s="521"/>
      <c r="L85" s="521"/>
      <c r="M85" s="521"/>
      <c r="N85" s="521"/>
      <c r="O85" s="521"/>
      <c r="P85" s="521"/>
      <c r="Q85" s="521"/>
      <c r="R85" s="521"/>
      <c r="S85" s="521"/>
      <c r="T85" s="521"/>
      <c r="U85" s="521"/>
      <c r="V85" s="521"/>
    </row>
    <row r="86" customFormat="false" ht="22.5" hidden="false" customHeight="true" outlineLevel="0" collapsed="false">
      <c r="A86" s="145"/>
      <c r="B86" s="145"/>
      <c r="C86" s="145"/>
      <c r="D86" s="146"/>
      <c r="E86" s="146"/>
      <c r="F86" s="521"/>
      <c r="G86" s="521"/>
      <c r="H86" s="521"/>
      <c r="I86" s="521"/>
      <c r="J86" s="521"/>
      <c r="K86" s="521"/>
      <c r="L86" s="521"/>
      <c r="M86" s="521"/>
      <c r="N86" s="521"/>
      <c r="O86" s="521"/>
      <c r="P86" s="521"/>
      <c r="Q86" s="521"/>
      <c r="R86" s="521"/>
      <c r="S86" s="521"/>
      <c r="T86" s="521"/>
      <c r="U86" s="521"/>
      <c r="V86" s="521"/>
    </row>
    <row r="87" customFormat="false" ht="22.5" hidden="false" customHeight="true" outlineLevel="0" collapsed="false">
      <c r="A87" s="145"/>
      <c r="B87" s="145"/>
      <c r="C87" s="145"/>
      <c r="D87" s="146"/>
      <c r="E87" s="146"/>
      <c r="F87" s="521"/>
      <c r="G87" s="521"/>
      <c r="H87" s="521"/>
      <c r="I87" s="521"/>
      <c r="J87" s="521"/>
      <c r="K87" s="521"/>
      <c r="L87" s="521"/>
      <c r="M87" s="521"/>
      <c r="N87" s="521"/>
      <c r="O87" s="521"/>
      <c r="P87" s="521"/>
      <c r="Q87" s="521"/>
      <c r="R87" s="521"/>
      <c r="S87" s="521"/>
      <c r="T87" s="521"/>
      <c r="U87" s="521"/>
      <c r="V87" s="521"/>
    </row>
    <row r="88" customFormat="false" ht="22.5" hidden="false" customHeight="true" outlineLevel="0" collapsed="false">
      <c r="A88" s="145"/>
      <c r="B88" s="145"/>
      <c r="C88" s="145"/>
      <c r="D88" s="146"/>
      <c r="E88" s="146"/>
      <c r="F88" s="521"/>
      <c r="G88" s="521"/>
      <c r="H88" s="521"/>
      <c r="I88" s="521"/>
      <c r="J88" s="521"/>
      <c r="K88" s="521"/>
      <c r="L88" s="521"/>
      <c r="M88" s="521"/>
      <c r="N88" s="521"/>
      <c r="O88" s="521"/>
      <c r="P88" s="521"/>
      <c r="Q88" s="521"/>
      <c r="R88" s="521"/>
      <c r="S88" s="521"/>
      <c r="T88" s="521"/>
      <c r="U88" s="521"/>
      <c r="V88" s="521"/>
    </row>
    <row r="89" customFormat="false" ht="22.5" hidden="false" customHeight="true" outlineLevel="0" collapsed="false">
      <c r="A89" s="145"/>
      <c r="B89" s="145"/>
      <c r="C89" s="145"/>
      <c r="D89" s="146"/>
      <c r="E89" s="146"/>
      <c r="F89" s="521"/>
      <c r="G89" s="521"/>
      <c r="H89" s="521"/>
      <c r="I89" s="521"/>
      <c r="J89" s="521"/>
      <c r="K89" s="521"/>
      <c r="L89" s="521"/>
      <c r="M89" s="521"/>
      <c r="N89" s="521"/>
      <c r="O89" s="521"/>
      <c r="P89" s="521"/>
      <c r="Q89" s="521"/>
      <c r="R89" s="521"/>
      <c r="S89" s="521"/>
      <c r="T89" s="521"/>
      <c r="U89" s="521"/>
      <c r="V89" s="521"/>
    </row>
    <row r="90" customFormat="false" ht="22.5" hidden="false" customHeight="true" outlineLevel="0" collapsed="false">
      <c r="A90" s="145"/>
      <c r="B90" s="145"/>
      <c r="C90" s="145"/>
      <c r="D90" s="146"/>
      <c r="E90" s="146"/>
      <c r="F90" s="521"/>
      <c r="G90" s="521"/>
      <c r="H90" s="521"/>
      <c r="I90" s="521"/>
      <c r="J90" s="521"/>
      <c r="K90" s="521"/>
      <c r="L90" s="521"/>
      <c r="M90" s="521"/>
      <c r="N90" s="521"/>
      <c r="O90" s="521"/>
      <c r="P90" s="521"/>
      <c r="Q90" s="521"/>
      <c r="R90" s="521"/>
      <c r="S90" s="521"/>
      <c r="T90" s="521"/>
      <c r="U90" s="521"/>
      <c r="V90" s="521"/>
    </row>
    <row r="91" customFormat="false" ht="22.5" hidden="false" customHeight="true" outlineLevel="0" collapsed="false">
      <c r="A91" s="145"/>
      <c r="B91" s="145"/>
      <c r="C91" s="145"/>
      <c r="D91" s="146"/>
      <c r="E91" s="146"/>
      <c r="F91" s="521"/>
      <c r="G91" s="521"/>
      <c r="H91" s="521"/>
      <c r="I91" s="521"/>
      <c r="J91" s="521"/>
      <c r="K91" s="521"/>
      <c r="L91" s="521"/>
      <c r="M91" s="521"/>
      <c r="N91" s="521"/>
      <c r="O91" s="521"/>
      <c r="P91" s="521"/>
      <c r="Q91" s="521"/>
      <c r="R91" s="521"/>
      <c r="S91" s="521"/>
      <c r="T91" s="521"/>
      <c r="U91" s="521"/>
      <c r="V91" s="521"/>
    </row>
    <row r="92" customFormat="false" ht="22.5" hidden="false" customHeight="true" outlineLevel="0" collapsed="false">
      <c r="A92" s="145"/>
      <c r="B92" s="145"/>
      <c r="C92" s="145"/>
      <c r="D92" s="146"/>
      <c r="E92" s="146"/>
      <c r="F92" s="521"/>
      <c r="G92" s="521"/>
      <c r="H92" s="521"/>
      <c r="I92" s="521"/>
      <c r="J92" s="521"/>
      <c r="K92" s="521"/>
      <c r="L92" s="521"/>
      <c r="M92" s="521"/>
      <c r="N92" s="521"/>
      <c r="O92" s="521"/>
      <c r="P92" s="521"/>
      <c r="Q92" s="521"/>
      <c r="R92" s="521"/>
      <c r="S92" s="521"/>
      <c r="T92" s="521"/>
      <c r="U92" s="521"/>
      <c r="V92" s="521"/>
    </row>
    <row r="93" customFormat="false" ht="22.5" hidden="false" customHeight="true" outlineLevel="0" collapsed="false">
      <c r="A93" s="145"/>
      <c r="B93" s="145"/>
      <c r="C93" s="145"/>
      <c r="D93" s="146"/>
      <c r="E93" s="146"/>
      <c r="F93" s="521"/>
      <c r="G93" s="521"/>
      <c r="H93" s="521"/>
      <c r="I93" s="521"/>
      <c r="J93" s="521"/>
      <c r="K93" s="521"/>
      <c r="L93" s="521"/>
      <c r="M93" s="521"/>
      <c r="N93" s="521"/>
      <c r="O93" s="521"/>
      <c r="P93" s="521"/>
      <c r="Q93" s="521"/>
      <c r="R93" s="521"/>
      <c r="S93" s="521"/>
      <c r="T93" s="521"/>
      <c r="U93" s="521"/>
      <c r="V93" s="521"/>
    </row>
    <row r="94" customFormat="false" ht="22.5" hidden="false" customHeight="true" outlineLevel="0" collapsed="false">
      <c r="A94" s="145"/>
      <c r="B94" s="145"/>
      <c r="C94" s="145"/>
      <c r="D94" s="146"/>
      <c r="E94" s="146"/>
      <c r="F94" s="521"/>
      <c r="G94" s="521"/>
      <c r="H94" s="521"/>
      <c r="I94" s="521"/>
      <c r="J94" s="521"/>
      <c r="K94" s="521"/>
      <c r="L94" s="521"/>
      <c r="M94" s="521"/>
      <c r="N94" s="521"/>
      <c r="O94" s="521"/>
      <c r="P94" s="521"/>
      <c r="Q94" s="521"/>
      <c r="R94" s="521"/>
      <c r="S94" s="521"/>
      <c r="T94" s="521"/>
      <c r="U94" s="521"/>
      <c r="V94" s="521"/>
    </row>
    <row r="95" customFormat="false" ht="22.5" hidden="false" customHeight="true" outlineLevel="0" collapsed="false">
      <c r="A95" s="145"/>
      <c r="B95" s="145"/>
      <c r="C95" s="145"/>
      <c r="D95" s="146"/>
      <c r="E95" s="146"/>
      <c r="F95" s="521"/>
      <c r="G95" s="521"/>
      <c r="H95" s="521"/>
      <c r="I95" s="521"/>
      <c r="J95" s="521"/>
      <c r="K95" s="521"/>
      <c r="L95" s="521"/>
      <c r="M95" s="521"/>
      <c r="N95" s="521"/>
      <c r="O95" s="521"/>
      <c r="P95" s="521"/>
      <c r="Q95" s="521"/>
      <c r="R95" s="521"/>
      <c r="S95" s="521"/>
      <c r="T95" s="521"/>
      <c r="U95" s="521"/>
      <c r="V95" s="521"/>
    </row>
    <row r="96" customFormat="false" ht="22.5" hidden="false" customHeight="true" outlineLevel="0" collapsed="false">
      <c r="A96" s="145"/>
      <c r="B96" s="145"/>
      <c r="C96" s="145"/>
      <c r="D96" s="146"/>
      <c r="E96" s="146"/>
      <c r="F96" s="521"/>
      <c r="G96" s="521"/>
      <c r="H96" s="521"/>
      <c r="I96" s="521"/>
      <c r="J96" s="521"/>
      <c r="K96" s="521"/>
      <c r="L96" s="521"/>
      <c r="M96" s="521"/>
      <c r="N96" s="521"/>
      <c r="O96" s="521"/>
      <c r="P96" s="521"/>
      <c r="Q96" s="521"/>
      <c r="R96" s="521"/>
      <c r="S96" s="521"/>
      <c r="T96" s="521"/>
      <c r="U96" s="521"/>
      <c r="V96" s="521"/>
    </row>
    <row r="97" customFormat="false" ht="22.5" hidden="false" customHeight="true" outlineLevel="0" collapsed="false">
      <c r="A97" s="145"/>
      <c r="B97" s="145"/>
      <c r="C97" s="145"/>
      <c r="D97" s="146"/>
      <c r="E97" s="146"/>
      <c r="F97" s="521"/>
      <c r="G97" s="521"/>
      <c r="H97" s="521"/>
      <c r="I97" s="521"/>
      <c r="J97" s="521"/>
      <c r="K97" s="521"/>
      <c r="L97" s="521"/>
      <c r="M97" s="521"/>
      <c r="N97" s="521"/>
      <c r="O97" s="521"/>
      <c r="P97" s="521"/>
      <c r="Q97" s="521"/>
      <c r="R97" s="521"/>
      <c r="S97" s="521"/>
      <c r="T97" s="521"/>
      <c r="U97" s="521"/>
      <c r="V97" s="521"/>
    </row>
    <row r="98" customFormat="false" ht="22.5" hidden="false" customHeight="true" outlineLevel="0" collapsed="false">
      <c r="A98" s="145"/>
      <c r="B98" s="145"/>
      <c r="C98" s="145"/>
      <c r="D98" s="146"/>
      <c r="E98" s="146"/>
      <c r="F98" s="521"/>
      <c r="G98" s="521"/>
      <c r="H98" s="521"/>
      <c r="I98" s="521"/>
      <c r="J98" s="521"/>
      <c r="K98" s="521"/>
      <c r="L98" s="521"/>
      <c r="M98" s="521"/>
      <c r="N98" s="521"/>
      <c r="O98" s="521"/>
      <c r="P98" s="521"/>
      <c r="Q98" s="521"/>
      <c r="R98" s="521"/>
      <c r="S98" s="521"/>
      <c r="T98" s="521"/>
      <c r="U98" s="521"/>
      <c r="V98" s="521"/>
    </row>
    <row r="99" customFormat="false" ht="22.5" hidden="false" customHeight="true" outlineLevel="0" collapsed="false">
      <c r="A99" s="145"/>
      <c r="B99" s="145"/>
      <c r="C99" s="145"/>
      <c r="D99" s="146"/>
      <c r="E99" s="146"/>
      <c r="F99" s="521"/>
      <c r="G99" s="521"/>
      <c r="H99" s="521"/>
      <c r="I99" s="521"/>
      <c r="J99" s="521"/>
      <c r="K99" s="521"/>
      <c r="L99" s="521"/>
      <c r="M99" s="521"/>
      <c r="N99" s="521"/>
      <c r="O99" s="521"/>
      <c r="P99" s="521"/>
      <c r="Q99" s="521"/>
      <c r="R99" s="521"/>
      <c r="S99" s="521"/>
      <c r="T99" s="521"/>
      <c r="U99" s="521"/>
      <c r="V99" s="521"/>
    </row>
    <row r="100" customFormat="false" ht="22.5" hidden="false" customHeight="true" outlineLevel="0" collapsed="false">
      <c r="A100" s="145"/>
      <c r="B100" s="145"/>
      <c r="C100" s="145"/>
      <c r="D100" s="146"/>
      <c r="E100" s="146"/>
      <c r="F100" s="521"/>
      <c r="G100" s="521"/>
      <c r="H100" s="521"/>
      <c r="I100" s="521"/>
      <c r="J100" s="521"/>
      <c r="K100" s="521"/>
      <c r="L100" s="521"/>
      <c r="M100" s="521"/>
      <c r="N100" s="521"/>
      <c r="O100" s="521"/>
      <c r="P100" s="521"/>
      <c r="Q100" s="521"/>
      <c r="R100" s="521"/>
      <c r="S100" s="521"/>
      <c r="T100" s="521"/>
      <c r="U100" s="521"/>
      <c r="V100" s="521"/>
    </row>
    <row r="101" customFormat="false" ht="22.5" hidden="false" customHeight="true" outlineLevel="0" collapsed="false">
      <c r="A101" s="145"/>
      <c r="B101" s="145"/>
      <c r="C101" s="145"/>
      <c r="D101" s="146"/>
      <c r="E101" s="146"/>
      <c r="F101" s="521"/>
      <c r="G101" s="521"/>
      <c r="H101" s="521"/>
      <c r="I101" s="521"/>
      <c r="J101" s="521"/>
      <c r="K101" s="521"/>
      <c r="L101" s="521"/>
      <c r="M101" s="521"/>
      <c r="N101" s="521"/>
      <c r="O101" s="521"/>
      <c r="P101" s="521"/>
      <c r="Q101" s="521"/>
      <c r="R101" s="521"/>
      <c r="S101" s="521"/>
      <c r="T101" s="521"/>
      <c r="U101" s="521"/>
      <c r="V101" s="521"/>
    </row>
    <row r="102" customFormat="false" ht="22.5" hidden="false" customHeight="true" outlineLevel="0" collapsed="false">
      <c r="A102" s="145"/>
      <c r="B102" s="145"/>
      <c r="C102" s="145"/>
      <c r="D102" s="146"/>
      <c r="E102" s="146"/>
      <c r="F102" s="521"/>
      <c r="G102" s="521"/>
      <c r="H102" s="521"/>
      <c r="I102" s="521"/>
      <c r="J102" s="521"/>
      <c r="K102" s="521"/>
      <c r="L102" s="521"/>
      <c r="M102" s="521"/>
      <c r="N102" s="521"/>
      <c r="O102" s="521"/>
      <c r="P102" s="521"/>
      <c r="Q102" s="521"/>
      <c r="R102" s="521"/>
      <c r="S102" s="521"/>
      <c r="T102" s="521"/>
      <c r="U102" s="521"/>
      <c r="V102" s="521"/>
    </row>
    <row r="103" customFormat="false" ht="22.5" hidden="false" customHeight="true" outlineLevel="0" collapsed="false">
      <c r="A103" s="145"/>
      <c r="B103" s="145"/>
      <c r="C103" s="145"/>
      <c r="D103" s="146"/>
      <c r="E103" s="146"/>
      <c r="F103" s="521"/>
      <c r="G103" s="521"/>
      <c r="H103" s="521"/>
      <c r="I103" s="521"/>
      <c r="J103" s="521"/>
      <c r="K103" s="521"/>
      <c r="L103" s="521"/>
      <c r="M103" s="521"/>
      <c r="N103" s="521"/>
      <c r="O103" s="521"/>
      <c r="P103" s="521"/>
      <c r="Q103" s="521"/>
      <c r="R103" s="521"/>
      <c r="S103" s="521"/>
      <c r="T103" s="521"/>
      <c r="U103" s="521"/>
      <c r="V103" s="521"/>
    </row>
    <row r="104" customFormat="false" ht="22.5" hidden="false" customHeight="true" outlineLevel="0" collapsed="false">
      <c r="A104" s="145"/>
      <c r="B104" s="145"/>
      <c r="C104" s="145"/>
      <c r="D104" s="146"/>
      <c r="E104" s="146"/>
      <c r="F104" s="521"/>
      <c r="G104" s="521"/>
      <c r="H104" s="521"/>
      <c r="I104" s="521"/>
      <c r="J104" s="521"/>
      <c r="K104" s="521"/>
      <c r="L104" s="521"/>
      <c r="M104" s="521"/>
      <c r="N104" s="521"/>
      <c r="O104" s="521"/>
      <c r="P104" s="521"/>
      <c r="Q104" s="521"/>
      <c r="R104" s="521"/>
      <c r="S104" s="521"/>
      <c r="T104" s="521"/>
      <c r="U104" s="521"/>
      <c r="V104" s="521"/>
    </row>
    <row r="105" customFormat="false" ht="22.5" hidden="false" customHeight="true" outlineLevel="0" collapsed="false">
      <c r="A105" s="145"/>
      <c r="B105" s="145"/>
      <c r="C105" s="145"/>
      <c r="D105" s="146"/>
      <c r="E105" s="146"/>
      <c r="F105" s="521"/>
      <c r="G105" s="521"/>
      <c r="H105" s="521"/>
      <c r="I105" s="521"/>
      <c r="J105" s="521"/>
      <c r="K105" s="521"/>
      <c r="L105" s="521"/>
      <c r="M105" s="521"/>
      <c r="N105" s="521"/>
      <c r="O105" s="521"/>
      <c r="P105" s="521"/>
      <c r="Q105" s="521"/>
      <c r="R105" s="521"/>
      <c r="S105" s="521"/>
      <c r="T105" s="521"/>
      <c r="U105" s="521"/>
      <c r="V105" s="521"/>
    </row>
    <row r="106" customFormat="false" ht="22.5" hidden="false" customHeight="true" outlineLevel="0" collapsed="false">
      <c r="A106" s="145"/>
      <c r="B106" s="145"/>
      <c r="C106" s="145"/>
      <c r="D106" s="146"/>
      <c r="E106" s="146"/>
      <c r="F106" s="521"/>
      <c r="G106" s="521"/>
      <c r="H106" s="521"/>
      <c r="I106" s="521"/>
      <c r="J106" s="521"/>
      <c r="K106" s="521"/>
      <c r="L106" s="521"/>
      <c r="M106" s="521"/>
      <c r="N106" s="521"/>
      <c r="O106" s="521"/>
      <c r="P106" s="521"/>
      <c r="Q106" s="521"/>
      <c r="R106" s="521"/>
      <c r="S106" s="521"/>
      <c r="T106" s="521"/>
      <c r="U106" s="521"/>
      <c r="V106" s="521"/>
    </row>
    <row r="107" customFormat="false" ht="22.5" hidden="false" customHeight="true" outlineLevel="0" collapsed="false">
      <c r="A107" s="145"/>
      <c r="B107" s="145"/>
      <c r="C107" s="145"/>
      <c r="D107" s="146"/>
      <c r="E107" s="146"/>
      <c r="F107" s="521"/>
      <c r="G107" s="521"/>
      <c r="H107" s="521"/>
      <c r="I107" s="521"/>
      <c r="J107" s="521"/>
      <c r="K107" s="521"/>
      <c r="L107" s="521"/>
      <c r="M107" s="521"/>
      <c r="N107" s="521"/>
      <c r="O107" s="521"/>
      <c r="P107" s="521"/>
      <c r="Q107" s="521"/>
      <c r="R107" s="521"/>
      <c r="S107" s="521"/>
      <c r="T107" s="521"/>
      <c r="U107" s="521"/>
      <c r="V107" s="521"/>
    </row>
    <row r="108" customFormat="false" ht="22.5" hidden="false" customHeight="true" outlineLevel="0" collapsed="false">
      <c r="A108" s="145"/>
      <c r="B108" s="145"/>
      <c r="C108" s="145"/>
      <c r="D108" s="146"/>
      <c r="E108" s="146"/>
      <c r="F108" s="521"/>
      <c r="G108" s="521"/>
      <c r="H108" s="521"/>
      <c r="I108" s="521"/>
      <c r="J108" s="521"/>
      <c r="K108" s="521"/>
      <c r="L108" s="521"/>
      <c r="M108" s="521"/>
      <c r="N108" s="521"/>
      <c r="O108" s="521"/>
      <c r="P108" s="521"/>
      <c r="Q108" s="521"/>
      <c r="R108" s="521"/>
      <c r="S108" s="521"/>
      <c r="T108" s="521"/>
      <c r="U108" s="521"/>
      <c r="V108" s="521"/>
    </row>
    <row r="109" customFormat="false" ht="22.5" hidden="false" customHeight="true" outlineLevel="0" collapsed="false">
      <c r="A109" s="145"/>
      <c r="B109" s="145"/>
      <c r="C109" s="145"/>
      <c r="D109" s="146"/>
      <c r="E109" s="146"/>
      <c r="F109" s="521"/>
      <c r="G109" s="521"/>
      <c r="H109" s="521"/>
      <c r="I109" s="521"/>
      <c r="J109" s="521"/>
      <c r="K109" s="521"/>
      <c r="L109" s="521"/>
      <c r="M109" s="521"/>
      <c r="N109" s="521"/>
      <c r="O109" s="521"/>
      <c r="P109" s="521"/>
      <c r="Q109" s="521"/>
      <c r="R109" s="521"/>
      <c r="S109" s="521"/>
      <c r="T109" s="521"/>
      <c r="U109" s="521"/>
      <c r="V109" s="521"/>
    </row>
    <row r="110" customFormat="false" ht="22.5" hidden="false" customHeight="true" outlineLevel="0" collapsed="false">
      <c r="A110" s="145"/>
      <c r="B110" s="145"/>
      <c r="C110" s="145"/>
      <c r="D110" s="146"/>
      <c r="E110" s="146"/>
      <c r="F110" s="521"/>
      <c r="G110" s="521"/>
      <c r="H110" s="521"/>
      <c r="I110" s="521"/>
      <c r="J110" s="521"/>
      <c r="K110" s="521"/>
      <c r="L110" s="521"/>
      <c r="M110" s="521"/>
      <c r="N110" s="521"/>
      <c r="O110" s="521"/>
      <c r="P110" s="521"/>
      <c r="Q110" s="521"/>
      <c r="R110" s="521"/>
      <c r="S110" s="521"/>
      <c r="T110" s="521"/>
      <c r="U110" s="521"/>
      <c r="V110" s="521"/>
    </row>
    <row r="111" customFormat="false" ht="22.5" hidden="false" customHeight="true" outlineLevel="0" collapsed="false">
      <c r="A111" s="145"/>
      <c r="B111" s="145"/>
      <c r="C111" s="145"/>
      <c r="D111" s="146"/>
      <c r="E111" s="146"/>
      <c r="F111" s="521"/>
      <c r="G111" s="521"/>
      <c r="H111" s="521"/>
      <c r="I111" s="521"/>
      <c r="J111" s="521"/>
      <c r="K111" s="521"/>
      <c r="L111" s="521"/>
      <c r="M111" s="521"/>
      <c r="N111" s="521"/>
      <c r="O111" s="521"/>
      <c r="P111" s="521"/>
      <c r="Q111" s="521"/>
      <c r="R111" s="521"/>
      <c r="S111" s="521"/>
      <c r="T111" s="521"/>
      <c r="U111" s="521"/>
      <c r="V111" s="521"/>
    </row>
    <row r="112" customFormat="false" ht="22.5" hidden="false" customHeight="true" outlineLevel="0" collapsed="false">
      <c r="A112" s="145"/>
      <c r="B112" s="145"/>
      <c r="C112" s="145"/>
      <c r="D112" s="146"/>
      <c r="E112" s="146"/>
      <c r="F112" s="521"/>
      <c r="G112" s="521"/>
      <c r="H112" s="521"/>
      <c r="I112" s="521"/>
      <c r="J112" s="521"/>
      <c r="K112" s="521"/>
      <c r="L112" s="521"/>
      <c r="M112" s="521"/>
      <c r="N112" s="521"/>
      <c r="O112" s="521"/>
      <c r="P112" s="521"/>
      <c r="Q112" s="521"/>
      <c r="R112" s="521"/>
      <c r="S112" s="521"/>
      <c r="T112" s="521"/>
      <c r="U112" s="521"/>
      <c r="V112" s="521"/>
    </row>
    <row r="113" customFormat="false" ht="22.5" hidden="false" customHeight="true" outlineLevel="0" collapsed="false">
      <c r="A113" s="145"/>
      <c r="B113" s="145"/>
      <c r="C113" s="145"/>
      <c r="D113" s="146"/>
      <c r="E113" s="146"/>
      <c r="F113" s="521"/>
      <c r="G113" s="521"/>
      <c r="H113" s="521"/>
      <c r="I113" s="521"/>
      <c r="J113" s="521"/>
      <c r="K113" s="521"/>
      <c r="L113" s="521"/>
      <c r="M113" s="521"/>
      <c r="N113" s="521"/>
      <c r="O113" s="521"/>
      <c r="P113" s="521"/>
      <c r="Q113" s="521"/>
      <c r="R113" s="521"/>
      <c r="S113" s="521"/>
      <c r="T113" s="521"/>
      <c r="U113" s="521"/>
      <c r="V113" s="521"/>
    </row>
    <row r="114" customFormat="false" ht="22.5" hidden="false" customHeight="true" outlineLevel="0" collapsed="false">
      <c r="A114" s="145"/>
      <c r="B114" s="145"/>
      <c r="C114" s="145"/>
      <c r="D114" s="146"/>
      <c r="E114" s="146"/>
      <c r="F114" s="521"/>
      <c r="G114" s="521"/>
      <c r="H114" s="521"/>
      <c r="I114" s="521"/>
      <c r="J114" s="521"/>
      <c r="K114" s="521"/>
      <c r="L114" s="521"/>
      <c r="M114" s="521"/>
      <c r="N114" s="521"/>
      <c r="O114" s="521"/>
      <c r="P114" s="521"/>
      <c r="Q114" s="521"/>
      <c r="R114" s="521"/>
      <c r="S114" s="521"/>
      <c r="T114" s="521"/>
      <c r="U114" s="521"/>
      <c r="V114" s="521"/>
    </row>
    <row r="115" customFormat="false" ht="22.5" hidden="false" customHeight="true" outlineLevel="0" collapsed="false">
      <c r="A115" s="145"/>
      <c r="B115" s="145"/>
      <c r="C115" s="145"/>
      <c r="D115" s="146"/>
      <c r="E115" s="146"/>
      <c r="F115" s="521"/>
      <c r="G115" s="521"/>
      <c r="H115" s="521"/>
      <c r="I115" s="521"/>
      <c r="J115" s="521"/>
      <c r="K115" s="521"/>
      <c r="L115" s="521"/>
      <c r="M115" s="521"/>
      <c r="N115" s="521"/>
      <c r="O115" s="521"/>
      <c r="P115" s="521"/>
      <c r="Q115" s="521"/>
      <c r="R115" s="521"/>
      <c r="S115" s="521"/>
      <c r="T115" s="521"/>
      <c r="U115" s="521"/>
      <c r="V115" s="521"/>
    </row>
    <row r="116" customFormat="false" ht="22.5" hidden="false" customHeight="true" outlineLevel="0" collapsed="false">
      <c r="A116" s="145"/>
      <c r="B116" s="145"/>
      <c r="C116" s="145"/>
      <c r="D116" s="146"/>
      <c r="E116" s="146"/>
      <c r="F116" s="521"/>
      <c r="G116" s="521"/>
      <c r="H116" s="521"/>
      <c r="I116" s="521"/>
      <c r="J116" s="521"/>
      <c r="K116" s="521"/>
      <c r="L116" s="521"/>
      <c r="M116" s="521"/>
      <c r="N116" s="521"/>
      <c r="O116" s="521"/>
      <c r="P116" s="521"/>
      <c r="Q116" s="521"/>
      <c r="R116" s="521"/>
      <c r="S116" s="521"/>
      <c r="T116" s="521"/>
      <c r="U116" s="521"/>
      <c r="V116" s="521"/>
    </row>
    <row r="117" customFormat="false" ht="22.5" hidden="false" customHeight="true" outlineLevel="0" collapsed="false">
      <c r="A117" s="145"/>
      <c r="B117" s="145"/>
      <c r="C117" s="145"/>
      <c r="D117" s="146"/>
      <c r="E117" s="146"/>
      <c r="F117" s="521"/>
      <c r="G117" s="521"/>
      <c r="H117" s="521"/>
      <c r="I117" s="521"/>
      <c r="J117" s="521"/>
      <c r="K117" s="521"/>
      <c r="L117" s="521"/>
      <c r="M117" s="521"/>
      <c r="N117" s="521"/>
      <c r="O117" s="521"/>
      <c r="P117" s="521"/>
      <c r="Q117" s="521"/>
      <c r="R117" s="521"/>
      <c r="S117" s="521"/>
      <c r="T117" s="521"/>
      <c r="U117" s="521"/>
      <c r="V117" s="521"/>
    </row>
    <row r="118" customFormat="false" ht="22.5" hidden="false" customHeight="true" outlineLevel="0" collapsed="false">
      <c r="A118" s="145"/>
      <c r="B118" s="145"/>
      <c r="C118" s="145"/>
      <c r="D118" s="146"/>
      <c r="E118" s="146"/>
      <c r="F118" s="521"/>
      <c r="G118" s="521"/>
      <c r="H118" s="521"/>
      <c r="I118" s="521"/>
      <c r="J118" s="521"/>
      <c r="K118" s="521"/>
      <c r="L118" s="521"/>
      <c r="M118" s="521"/>
      <c r="N118" s="521"/>
      <c r="O118" s="521"/>
      <c r="P118" s="521"/>
      <c r="Q118" s="521"/>
      <c r="R118" s="521"/>
      <c r="S118" s="521"/>
      <c r="T118" s="521"/>
      <c r="U118" s="521"/>
      <c r="V118" s="521"/>
    </row>
    <row r="119" customFormat="false" ht="22.5" hidden="false" customHeight="true" outlineLevel="0" collapsed="false">
      <c r="A119" s="145"/>
      <c r="B119" s="145"/>
      <c r="C119" s="145"/>
      <c r="D119" s="146"/>
      <c r="E119" s="146"/>
      <c r="F119" s="521"/>
      <c r="G119" s="521"/>
      <c r="H119" s="521"/>
      <c r="I119" s="521"/>
      <c r="J119" s="521"/>
      <c r="K119" s="521"/>
      <c r="L119" s="521"/>
      <c r="M119" s="521"/>
      <c r="N119" s="521"/>
      <c r="O119" s="521"/>
      <c r="P119" s="521"/>
      <c r="Q119" s="521"/>
      <c r="R119" s="521"/>
      <c r="S119" s="521"/>
      <c r="T119" s="521"/>
      <c r="U119" s="521"/>
      <c r="V119" s="521"/>
    </row>
    <row r="120" customFormat="false" ht="22.5" hidden="false" customHeight="true" outlineLevel="0" collapsed="false">
      <c r="A120" s="145"/>
      <c r="B120" s="145"/>
      <c r="C120" s="145"/>
      <c r="D120" s="146"/>
      <c r="E120" s="146"/>
      <c r="F120" s="521"/>
      <c r="G120" s="521"/>
      <c r="H120" s="521"/>
      <c r="I120" s="521"/>
      <c r="J120" s="521"/>
      <c r="K120" s="521"/>
      <c r="L120" s="521"/>
      <c r="M120" s="521"/>
      <c r="N120" s="521"/>
      <c r="O120" s="521"/>
      <c r="P120" s="521"/>
      <c r="Q120" s="521"/>
      <c r="R120" s="521"/>
      <c r="S120" s="521"/>
      <c r="T120" s="521"/>
      <c r="U120" s="521"/>
      <c r="V120" s="521"/>
    </row>
    <row r="121" customFormat="false" ht="22.5" hidden="false" customHeight="true" outlineLevel="0" collapsed="false">
      <c r="A121" s="145"/>
      <c r="B121" s="145"/>
      <c r="C121" s="145"/>
      <c r="D121" s="146"/>
      <c r="E121" s="146"/>
      <c r="F121" s="521"/>
      <c r="G121" s="521"/>
      <c r="H121" s="521"/>
      <c r="I121" s="521"/>
      <c r="J121" s="521"/>
      <c r="K121" s="521"/>
      <c r="L121" s="521"/>
      <c r="M121" s="521"/>
      <c r="N121" s="521"/>
      <c r="O121" s="521"/>
      <c r="P121" s="521"/>
      <c r="Q121" s="521"/>
      <c r="R121" s="521"/>
      <c r="S121" s="521"/>
      <c r="T121" s="521"/>
      <c r="U121" s="521"/>
      <c r="V121" s="521"/>
    </row>
    <row r="122" customFormat="false" ht="22.5" hidden="false" customHeight="true" outlineLevel="0" collapsed="false">
      <c r="A122" s="145"/>
      <c r="B122" s="145"/>
      <c r="C122" s="145"/>
      <c r="D122" s="146"/>
      <c r="E122" s="146"/>
      <c r="F122" s="521"/>
      <c r="G122" s="521"/>
      <c r="H122" s="521"/>
      <c r="I122" s="521"/>
      <c r="J122" s="521"/>
      <c r="K122" s="521"/>
      <c r="L122" s="521"/>
      <c r="M122" s="521"/>
      <c r="N122" s="521"/>
      <c r="O122" s="521"/>
      <c r="P122" s="521"/>
      <c r="Q122" s="521"/>
      <c r="R122" s="521"/>
      <c r="S122" s="521"/>
      <c r="T122" s="521"/>
      <c r="U122" s="521"/>
      <c r="V122" s="521"/>
    </row>
    <row r="123" customFormat="false" ht="22.5" hidden="false" customHeight="true" outlineLevel="0" collapsed="false">
      <c r="A123" s="145"/>
      <c r="B123" s="145"/>
      <c r="C123" s="145"/>
      <c r="D123" s="146"/>
      <c r="E123" s="146"/>
      <c r="F123" s="521"/>
      <c r="G123" s="521"/>
      <c r="H123" s="521"/>
      <c r="I123" s="521"/>
      <c r="J123" s="521"/>
      <c r="K123" s="521"/>
      <c r="L123" s="521"/>
      <c r="M123" s="521"/>
      <c r="N123" s="521"/>
      <c r="O123" s="521"/>
      <c r="P123" s="521"/>
      <c r="Q123" s="521"/>
      <c r="R123" s="521"/>
      <c r="S123" s="521"/>
      <c r="T123" s="521"/>
      <c r="U123" s="521"/>
      <c r="V123" s="521"/>
    </row>
    <row r="124" customFormat="false" ht="22.5" hidden="false" customHeight="true" outlineLevel="0" collapsed="false">
      <c r="A124" s="145"/>
      <c r="B124" s="145"/>
      <c r="C124" s="145"/>
      <c r="D124" s="146"/>
      <c r="E124" s="146"/>
      <c r="F124" s="521"/>
      <c r="G124" s="521"/>
      <c r="H124" s="521"/>
      <c r="I124" s="521"/>
      <c r="J124" s="521"/>
      <c r="K124" s="521"/>
      <c r="L124" s="521"/>
      <c r="M124" s="521"/>
      <c r="N124" s="521"/>
      <c r="O124" s="521"/>
      <c r="P124" s="521"/>
      <c r="Q124" s="521"/>
      <c r="R124" s="521"/>
      <c r="S124" s="521"/>
      <c r="T124" s="521"/>
      <c r="U124" s="521"/>
      <c r="V124" s="521"/>
    </row>
    <row r="125" customFormat="false" ht="22.5" hidden="false" customHeight="true" outlineLevel="0" collapsed="false">
      <c r="A125" s="145"/>
      <c r="B125" s="145"/>
      <c r="C125" s="145"/>
      <c r="D125" s="146"/>
      <c r="E125" s="146"/>
      <c r="F125" s="521"/>
      <c r="G125" s="521"/>
      <c r="H125" s="521"/>
      <c r="I125" s="521"/>
      <c r="J125" s="521"/>
      <c r="K125" s="521"/>
      <c r="L125" s="521"/>
      <c r="M125" s="521"/>
      <c r="N125" s="521"/>
      <c r="O125" s="521"/>
      <c r="P125" s="521"/>
      <c r="Q125" s="521"/>
      <c r="R125" s="521"/>
      <c r="S125" s="521"/>
      <c r="T125" s="521"/>
      <c r="U125" s="521"/>
      <c r="V125" s="521"/>
    </row>
    <row r="126" customFormat="false" ht="22.5" hidden="false" customHeight="true" outlineLevel="0" collapsed="false">
      <c r="A126" s="145"/>
      <c r="B126" s="145"/>
      <c r="C126" s="145"/>
      <c r="D126" s="146"/>
      <c r="E126" s="146"/>
      <c r="F126" s="521"/>
      <c r="G126" s="521"/>
      <c r="H126" s="521"/>
      <c r="I126" s="521"/>
      <c r="J126" s="521"/>
      <c r="K126" s="521"/>
      <c r="L126" s="521"/>
      <c r="M126" s="521"/>
      <c r="N126" s="521"/>
      <c r="O126" s="521"/>
      <c r="P126" s="521"/>
      <c r="Q126" s="521"/>
      <c r="R126" s="521"/>
      <c r="S126" s="521"/>
      <c r="T126" s="521"/>
      <c r="U126" s="521"/>
      <c r="V126" s="521"/>
    </row>
    <row r="127" customFormat="false" ht="22.5" hidden="false" customHeight="true" outlineLevel="0" collapsed="false">
      <c r="A127" s="145"/>
      <c r="B127" s="145"/>
      <c r="C127" s="145"/>
      <c r="D127" s="146"/>
      <c r="E127" s="146"/>
      <c r="F127" s="521"/>
      <c r="G127" s="521"/>
      <c r="H127" s="521"/>
      <c r="I127" s="521"/>
      <c r="J127" s="521"/>
      <c r="K127" s="521"/>
      <c r="L127" s="521"/>
      <c r="M127" s="521"/>
      <c r="N127" s="521"/>
      <c r="O127" s="521"/>
      <c r="P127" s="521"/>
      <c r="Q127" s="521"/>
      <c r="R127" s="521"/>
      <c r="S127" s="521"/>
      <c r="T127" s="521"/>
      <c r="U127" s="521"/>
      <c r="V127" s="521"/>
    </row>
    <row r="128" customFormat="false" ht="22.5" hidden="false" customHeight="true" outlineLevel="0" collapsed="false">
      <c r="A128" s="145"/>
      <c r="B128" s="145"/>
      <c r="C128" s="145"/>
      <c r="D128" s="146"/>
      <c r="E128" s="146"/>
      <c r="F128" s="521"/>
      <c r="G128" s="521"/>
      <c r="H128" s="521"/>
      <c r="I128" s="521"/>
      <c r="J128" s="521"/>
      <c r="K128" s="521"/>
      <c r="L128" s="521"/>
      <c r="M128" s="521"/>
      <c r="N128" s="521"/>
      <c r="O128" s="521"/>
      <c r="P128" s="521"/>
      <c r="Q128" s="521"/>
      <c r="R128" s="521"/>
      <c r="S128" s="521"/>
      <c r="T128" s="521"/>
      <c r="U128" s="521"/>
      <c r="V128" s="521"/>
    </row>
    <row r="129" customFormat="false" ht="22.5" hidden="false" customHeight="true" outlineLevel="0" collapsed="false">
      <c r="A129" s="145"/>
      <c r="B129" s="145"/>
      <c r="C129" s="145"/>
      <c r="D129" s="146"/>
      <c r="E129" s="146"/>
      <c r="F129" s="521"/>
      <c r="G129" s="521"/>
      <c r="H129" s="521"/>
      <c r="I129" s="521"/>
      <c r="J129" s="521"/>
      <c r="K129" s="521"/>
      <c r="L129" s="521"/>
      <c r="M129" s="521"/>
      <c r="N129" s="521"/>
      <c r="O129" s="521"/>
      <c r="P129" s="521"/>
      <c r="Q129" s="521"/>
      <c r="R129" s="521"/>
      <c r="S129" s="521"/>
      <c r="T129" s="521"/>
      <c r="U129" s="521"/>
      <c r="V129" s="521"/>
    </row>
    <row r="130" customFormat="false" ht="22.5" hidden="false" customHeight="true" outlineLevel="0" collapsed="false">
      <c r="A130" s="145"/>
      <c r="B130" s="145"/>
      <c r="C130" s="145"/>
      <c r="D130" s="146"/>
      <c r="E130" s="146"/>
      <c r="F130" s="521"/>
      <c r="G130" s="521"/>
      <c r="H130" s="521"/>
      <c r="I130" s="521"/>
      <c r="J130" s="521"/>
      <c r="K130" s="521"/>
      <c r="L130" s="521"/>
      <c r="M130" s="521"/>
      <c r="N130" s="521"/>
      <c r="O130" s="521"/>
      <c r="P130" s="521"/>
      <c r="Q130" s="521"/>
      <c r="R130" s="521"/>
      <c r="S130" s="521"/>
      <c r="T130" s="521"/>
      <c r="U130" s="521"/>
      <c r="V130" s="521"/>
    </row>
    <row r="131" customFormat="false" ht="22.5" hidden="false" customHeight="true" outlineLevel="0" collapsed="false">
      <c r="A131" s="145"/>
      <c r="B131" s="145"/>
      <c r="C131" s="145"/>
      <c r="D131" s="146"/>
      <c r="E131" s="146"/>
      <c r="F131" s="521"/>
      <c r="G131" s="521"/>
      <c r="H131" s="521"/>
      <c r="I131" s="521"/>
      <c r="J131" s="521"/>
      <c r="K131" s="521"/>
      <c r="L131" s="521"/>
      <c r="M131" s="521"/>
      <c r="N131" s="521"/>
      <c r="O131" s="521"/>
      <c r="P131" s="521"/>
      <c r="Q131" s="521"/>
      <c r="R131" s="521"/>
      <c r="S131" s="521"/>
      <c r="T131" s="521"/>
      <c r="U131" s="521"/>
      <c r="V131" s="521"/>
    </row>
    <row r="132" customFormat="false" ht="22.5" hidden="false" customHeight="true" outlineLevel="0" collapsed="false">
      <c r="A132" s="145"/>
      <c r="B132" s="145"/>
      <c r="C132" s="145"/>
      <c r="D132" s="146"/>
      <c r="E132" s="146"/>
      <c r="F132" s="521"/>
      <c r="G132" s="521"/>
      <c r="H132" s="521"/>
      <c r="I132" s="521"/>
      <c r="J132" s="521"/>
      <c r="K132" s="521"/>
      <c r="L132" s="521"/>
      <c r="M132" s="521"/>
      <c r="N132" s="521"/>
      <c r="O132" s="521"/>
      <c r="P132" s="521"/>
      <c r="Q132" s="521"/>
      <c r="R132" s="521"/>
      <c r="S132" s="521"/>
      <c r="T132" s="521"/>
      <c r="U132" s="521"/>
      <c r="V132" s="521"/>
    </row>
    <row r="133" customFormat="false" ht="22.5" hidden="false" customHeight="true" outlineLevel="0" collapsed="false">
      <c r="A133" s="145"/>
      <c r="B133" s="145"/>
      <c r="C133" s="145"/>
      <c r="D133" s="146"/>
      <c r="E133" s="146"/>
      <c r="F133" s="521"/>
      <c r="G133" s="521"/>
      <c r="H133" s="521"/>
      <c r="I133" s="521"/>
      <c r="J133" s="521"/>
      <c r="K133" s="521"/>
      <c r="L133" s="521"/>
      <c r="M133" s="521"/>
      <c r="N133" s="521"/>
      <c r="O133" s="521"/>
      <c r="P133" s="521"/>
      <c r="Q133" s="521"/>
      <c r="R133" s="521"/>
      <c r="S133" s="521"/>
      <c r="T133" s="521"/>
      <c r="U133" s="521"/>
      <c r="V133" s="521"/>
    </row>
    <row r="134" customFormat="false" ht="22.5" hidden="false" customHeight="true" outlineLevel="0" collapsed="false">
      <c r="A134" s="145"/>
      <c r="B134" s="145"/>
      <c r="C134" s="145"/>
      <c r="D134" s="146"/>
      <c r="E134" s="146"/>
      <c r="F134" s="521"/>
      <c r="G134" s="521"/>
      <c r="H134" s="521"/>
      <c r="I134" s="521"/>
      <c r="J134" s="521"/>
      <c r="K134" s="521"/>
      <c r="L134" s="521"/>
      <c r="M134" s="521"/>
      <c r="N134" s="521"/>
      <c r="O134" s="521"/>
      <c r="P134" s="521"/>
      <c r="Q134" s="521"/>
      <c r="R134" s="521"/>
      <c r="S134" s="521"/>
      <c r="T134" s="521"/>
      <c r="U134" s="521"/>
      <c r="V134" s="521"/>
    </row>
    <row r="135" customFormat="false" ht="22.5" hidden="false" customHeight="true" outlineLevel="0" collapsed="false">
      <c r="A135" s="145"/>
      <c r="B135" s="145"/>
      <c r="C135" s="145"/>
      <c r="D135" s="146"/>
      <c r="E135" s="146"/>
      <c r="F135" s="521"/>
      <c r="G135" s="521"/>
      <c r="H135" s="521"/>
      <c r="I135" s="521"/>
      <c r="J135" s="521"/>
      <c r="K135" s="521"/>
      <c r="L135" s="521"/>
      <c r="M135" s="521"/>
      <c r="N135" s="521"/>
      <c r="O135" s="521"/>
      <c r="P135" s="521"/>
      <c r="Q135" s="521"/>
      <c r="R135" s="521"/>
      <c r="S135" s="521"/>
      <c r="T135" s="521"/>
      <c r="U135" s="521"/>
      <c r="V135" s="521"/>
    </row>
    <row r="136" customFormat="false" ht="22.5" hidden="false" customHeight="true" outlineLevel="0" collapsed="false">
      <c r="A136" s="145"/>
      <c r="B136" s="145"/>
      <c r="C136" s="145"/>
      <c r="D136" s="146"/>
      <c r="E136" s="146"/>
      <c r="F136" s="521"/>
      <c r="G136" s="521"/>
      <c r="H136" s="521"/>
      <c r="I136" s="521"/>
      <c r="J136" s="521"/>
      <c r="K136" s="521"/>
      <c r="L136" s="521"/>
      <c r="M136" s="521"/>
      <c r="N136" s="521"/>
      <c r="O136" s="521"/>
      <c r="P136" s="521"/>
      <c r="Q136" s="521"/>
      <c r="R136" s="521"/>
      <c r="S136" s="521"/>
      <c r="T136" s="521"/>
      <c r="U136" s="521"/>
      <c r="V136" s="521"/>
    </row>
    <row r="137" customFormat="false" ht="22.5" hidden="false" customHeight="true" outlineLevel="0" collapsed="false">
      <c r="A137" s="145"/>
      <c r="B137" s="145"/>
      <c r="C137" s="145"/>
      <c r="D137" s="146"/>
      <c r="E137" s="146"/>
      <c r="F137" s="521"/>
      <c r="G137" s="521"/>
      <c r="H137" s="521"/>
      <c r="I137" s="521"/>
      <c r="J137" s="521"/>
      <c r="K137" s="521"/>
      <c r="L137" s="521"/>
      <c r="M137" s="521"/>
      <c r="N137" s="521"/>
      <c r="O137" s="521"/>
      <c r="P137" s="521"/>
      <c r="Q137" s="521"/>
      <c r="R137" s="521"/>
      <c r="S137" s="521"/>
      <c r="T137" s="521"/>
      <c r="U137" s="521"/>
      <c r="V137" s="521"/>
    </row>
    <row r="138" customFormat="false" ht="22.5" hidden="false" customHeight="true" outlineLevel="0" collapsed="false">
      <c r="A138" s="145"/>
      <c r="B138" s="145"/>
      <c r="C138" s="145"/>
      <c r="D138" s="146"/>
      <c r="E138" s="146"/>
      <c r="F138" s="521"/>
      <c r="G138" s="521"/>
      <c r="H138" s="521"/>
      <c r="I138" s="521"/>
      <c r="J138" s="521"/>
      <c r="K138" s="521"/>
      <c r="L138" s="521"/>
      <c r="M138" s="521"/>
      <c r="N138" s="521"/>
      <c r="O138" s="521"/>
      <c r="P138" s="521"/>
      <c r="Q138" s="521"/>
      <c r="R138" s="521"/>
      <c r="S138" s="521"/>
      <c r="T138" s="521"/>
      <c r="U138" s="521"/>
      <c r="V138" s="521"/>
    </row>
    <row r="139" customFormat="false" ht="22.5" hidden="false" customHeight="true" outlineLevel="0" collapsed="false">
      <c r="A139" s="145"/>
      <c r="B139" s="145"/>
      <c r="C139" s="145"/>
      <c r="D139" s="146"/>
      <c r="E139" s="146"/>
      <c r="F139" s="521"/>
      <c r="G139" s="521"/>
      <c r="H139" s="521"/>
      <c r="I139" s="521"/>
      <c r="J139" s="521"/>
      <c r="K139" s="521"/>
      <c r="L139" s="521"/>
      <c r="M139" s="521"/>
      <c r="N139" s="521"/>
      <c r="O139" s="521"/>
      <c r="P139" s="521"/>
      <c r="Q139" s="521"/>
      <c r="R139" s="521"/>
      <c r="S139" s="521"/>
      <c r="T139" s="521"/>
      <c r="U139" s="521"/>
      <c r="V139" s="521"/>
    </row>
    <row r="140" customFormat="false" ht="22.5" hidden="false" customHeight="true" outlineLevel="0" collapsed="false">
      <c r="A140" s="145"/>
      <c r="B140" s="145"/>
      <c r="C140" s="145"/>
      <c r="D140" s="146"/>
      <c r="E140" s="146"/>
      <c r="F140" s="521"/>
      <c r="G140" s="521"/>
      <c r="H140" s="521"/>
      <c r="I140" s="521"/>
      <c r="J140" s="521"/>
      <c r="K140" s="521"/>
      <c r="L140" s="521"/>
      <c r="M140" s="521"/>
      <c r="N140" s="521"/>
      <c r="O140" s="521"/>
      <c r="P140" s="521"/>
      <c r="Q140" s="521"/>
      <c r="R140" s="521"/>
      <c r="S140" s="521"/>
      <c r="T140" s="521"/>
      <c r="U140" s="521"/>
      <c r="V140" s="521"/>
    </row>
    <row r="141" customFormat="false" ht="22.5" hidden="false" customHeight="true" outlineLevel="0" collapsed="false">
      <c r="A141" s="145"/>
      <c r="B141" s="145"/>
      <c r="C141" s="145"/>
      <c r="D141" s="146"/>
      <c r="E141" s="146"/>
      <c r="F141" s="521"/>
      <c r="G141" s="521"/>
      <c r="H141" s="521"/>
      <c r="I141" s="521"/>
      <c r="J141" s="521"/>
      <c r="K141" s="521"/>
      <c r="L141" s="521"/>
      <c r="M141" s="521"/>
      <c r="N141" s="521"/>
      <c r="O141" s="521"/>
      <c r="P141" s="521"/>
      <c r="Q141" s="521"/>
      <c r="R141" s="521"/>
      <c r="S141" s="521"/>
      <c r="T141" s="521"/>
      <c r="U141" s="521"/>
      <c r="V141" s="521"/>
    </row>
    <row r="142" customFormat="false" ht="22.5" hidden="false" customHeight="true" outlineLevel="0" collapsed="false">
      <c r="A142" s="145"/>
      <c r="B142" s="145"/>
      <c r="C142" s="145"/>
      <c r="D142" s="146"/>
      <c r="E142" s="146"/>
      <c r="F142" s="521"/>
      <c r="G142" s="521"/>
      <c r="H142" s="521"/>
      <c r="I142" s="521"/>
      <c r="J142" s="521"/>
      <c r="K142" s="521"/>
      <c r="L142" s="521"/>
      <c r="M142" s="521"/>
      <c r="N142" s="521"/>
      <c r="O142" s="521"/>
      <c r="P142" s="521"/>
      <c r="Q142" s="521"/>
      <c r="R142" s="521"/>
      <c r="S142" s="521"/>
      <c r="T142" s="521"/>
      <c r="U142" s="521"/>
      <c r="V142" s="521"/>
    </row>
    <row r="143" customFormat="false" ht="22.5" hidden="false" customHeight="true" outlineLevel="0" collapsed="false">
      <c r="A143" s="145"/>
      <c r="B143" s="145"/>
      <c r="C143" s="145"/>
      <c r="D143" s="146"/>
      <c r="E143" s="146"/>
      <c r="F143" s="521"/>
      <c r="G143" s="521"/>
      <c r="H143" s="521"/>
      <c r="I143" s="521"/>
      <c r="J143" s="521"/>
      <c r="K143" s="521"/>
      <c r="L143" s="521"/>
      <c r="M143" s="521"/>
      <c r="N143" s="521"/>
      <c r="O143" s="521"/>
      <c r="P143" s="521"/>
      <c r="Q143" s="521"/>
      <c r="R143" s="521"/>
      <c r="S143" s="521"/>
      <c r="T143" s="521"/>
      <c r="U143" s="521"/>
      <c r="V143" s="521"/>
    </row>
    <row r="144" customFormat="false" ht="22.5" hidden="false" customHeight="true" outlineLevel="0" collapsed="false">
      <c r="A144" s="145"/>
      <c r="B144" s="145"/>
      <c r="C144" s="145"/>
      <c r="D144" s="146"/>
      <c r="E144" s="146"/>
      <c r="F144" s="521"/>
      <c r="G144" s="521"/>
      <c r="H144" s="521"/>
      <c r="I144" s="521"/>
      <c r="J144" s="521"/>
      <c r="K144" s="521"/>
      <c r="L144" s="521"/>
      <c r="M144" s="521"/>
      <c r="N144" s="521"/>
      <c r="O144" s="521"/>
      <c r="P144" s="521"/>
      <c r="Q144" s="521"/>
      <c r="R144" s="521"/>
      <c r="S144" s="521"/>
      <c r="T144" s="521"/>
      <c r="U144" s="521"/>
      <c r="V144" s="521"/>
    </row>
    <row r="145" customFormat="false" ht="22.5" hidden="false" customHeight="true" outlineLevel="0" collapsed="false">
      <c r="A145" s="145"/>
      <c r="B145" s="145"/>
      <c r="C145" s="145"/>
      <c r="D145" s="146"/>
      <c r="E145" s="146"/>
      <c r="F145" s="521"/>
      <c r="G145" s="521"/>
      <c r="H145" s="521"/>
      <c r="I145" s="521"/>
      <c r="J145" s="521"/>
      <c r="K145" s="521"/>
      <c r="L145" s="521"/>
      <c r="M145" s="521"/>
      <c r="N145" s="521"/>
      <c r="O145" s="521"/>
      <c r="P145" s="521"/>
      <c r="Q145" s="521"/>
      <c r="R145" s="521"/>
      <c r="S145" s="521"/>
      <c r="T145" s="521"/>
      <c r="U145" s="521"/>
      <c r="V145" s="521"/>
    </row>
    <row r="146" customFormat="false" ht="22.5" hidden="false" customHeight="true" outlineLevel="0" collapsed="false">
      <c r="A146" s="145"/>
      <c r="B146" s="145"/>
      <c r="C146" s="145"/>
      <c r="D146" s="146"/>
      <c r="E146" s="146"/>
      <c r="F146" s="521"/>
      <c r="G146" s="521"/>
      <c r="H146" s="521"/>
      <c r="I146" s="521"/>
      <c r="J146" s="521"/>
      <c r="K146" s="521"/>
      <c r="L146" s="521"/>
      <c r="M146" s="521"/>
      <c r="N146" s="521"/>
      <c r="O146" s="521"/>
      <c r="P146" s="521"/>
      <c r="Q146" s="521"/>
      <c r="R146" s="521"/>
      <c r="S146" s="521"/>
      <c r="T146" s="521"/>
      <c r="U146" s="521"/>
      <c r="V146" s="521"/>
    </row>
    <row r="147" customFormat="false" ht="22.5" hidden="false" customHeight="true" outlineLevel="0" collapsed="false">
      <c r="A147" s="145"/>
      <c r="B147" s="145"/>
      <c r="C147" s="145"/>
      <c r="D147" s="146"/>
      <c r="E147" s="146"/>
      <c r="F147" s="521"/>
      <c r="G147" s="521"/>
      <c r="H147" s="521"/>
      <c r="I147" s="521"/>
      <c r="J147" s="521"/>
      <c r="K147" s="521"/>
      <c r="L147" s="521"/>
      <c r="M147" s="521"/>
      <c r="N147" s="521"/>
      <c r="O147" s="521"/>
      <c r="P147" s="521"/>
      <c r="Q147" s="521"/>
      <c r="R147" s="521"/>
      <c r="S147" s="521"/>
      <c r="T147" s="521"/>
      <c r="U147" s="521"/>
      <c r="V147" s="521"/>
    </row>
    <row r="148" customFormat="false" ht="22.5" hidden="false" customHeight="true" outlineLevel="0" collapsed="false">
      <c r="A148" s="145"/>
      <c r="B148" s="145"/>
      <c r="C148" s="145"/>
      <c r="D148" s="146"/>
      <c r="E148" s="146"/>
      <c r="F148" s="521"/>
      <c r="G148" s="521"/>
      <c r="H148" s="521"/>
      <c r="I148" s="521"/>
      <c r="J148" s="521"/>
      <c r="K148" s="521"/>
      <c r="L148" s="521"/>
      <c r="M148" s="521"/>
      <c r="N148" s="521"/>
      <c r="O148" s="521"/>
      <c r="P148" s="521"/>
      <c r="Q148" s="521"/>
      <c r="R148" s="521"/>
      <c r="S148" s="521"/>
      <c r="T148" s="521"/>
      <c r="U148" s="521"/>
      <c r="V148" s="521"/>
    </row>
    <row r="149" customFormat="false" ht="22.5" hidden="false" customHeight="true" outlineLevel="0" collapsed="false">
      <c r="A149" s="145"/>
      <c r="B149" s="145"/>
      <c r="C149" s="145"/>
      <c r="D149" s="146"/>
      <c r="E149" s="146"/>
      <c r="F149" s="521"/>
      <c r="G149" s="521"/>
      <c r="H149" s="521"/>
      <c r="I149" s="521"/>
      <c r="J149" s="521"/>
      <c r="K149" s="521"/>
      <c r="L149" s="521"/>
      <c r="M149" s="521"/>
      <c r="N149" s="521"/>
      <c r="O149" s="521"/>
      <c r="P149" s="521"/>
      <c r="Q149" s="521"/>
      <c r="R149" s="521"/>
      <c r="S149" s="521"/>
      <c r="T149" s="521"/>
      <c r="U149" s="521"/>
      <c r="V149" s="521"/>
    </row>
    <row r="150" customFormat="false" ht="22.5" hidden="false" customHeight="true" outlineLevel="0" collapsed="false">
      <c r="A150" s="145"/>
      <c r="B150" s="145"/>
      <c r="C150" s="145"/>
      <c r="D150" s="146"/>
      <c r="E150" s="146"/>
      <c r="F150" s="521"/>
      <c r="G150" s="521"/>
      <c r="H150" s="521"/>
      <c r="I150" s="521"/>
      <c r="J150" s="521"/>
      <c r="K150" s="521"/>
      <c r="L150" s="521"/>
      <c r="M150" s="521"/>
      <c r="N150" s="521"/>
      <c r="O150" s="521"/>
      <c r="P150" s="521"/>
      <c r="Q150" s="521"/>
      <c r="R150" s="521"/>
      <c r="S150" s="521"/>
      <c r="T150" s="521"/>
      <c r="U150" s="521"/>
      <c r="V150" s="521"/>
    </row>
    <row r="151" customFormat="false" ht="22.5" hidden="false" customHeight="true" outlineLevel="0" collapsed="false">
      <c r="A151" s="145"/>
      <c r="B151" s="145"/>
      <c r="C151" s="145"/>
      <c r="D151" s="146"/>
      <c r="E151" s="146"/>
      <c r="F151" s="521"/>
      <c r="G151" s="521"/>
      <c r="H151" s="521"/>
      <c r="I151" s="521"/>
      <c r="J151" s="521"/>
      <c r="K151" s="521"/>
      <c r="L151" s="521"/>
      <c r="M151" s="521"/>
      <c r="N151" s="521"/>
      <c r="O151" s="521"/>
      <c r="P151" s="521"/>
      <c r="Q151" s="521"/>
      <c r="R151" s="521"/>
      <c r="S151" s="521"/>
      <c r="T151" s="521"/>
      <c r="U151" s="521"/>
      <c r="V151" s="521"/>
    </row>
    <row r="152" s="100" customFormat="true" ht="22.5" hidden="false" customHeight="true" outlineLevel="0" collapsed="false">
      <c r="A152" s="145"/>
      <c r="B152" s="145"/>
      <c r="C152" s="145"/>
      <c r="D152" s="146"/>
      <c r="E152" s="146"/>
      <c r="F152" s="521"/>
      <c r="G152" s="521"/>
      <c r="H152" s="521"/>
      <c r="I152" s="521"/>
      <c r="J152" s="521"/>
      <c r="K152" s="521"/>
      <c r="L152" s="521"/>
      <c r="M152" s="521"/>
      <c r="N152" s="521"/>
      <c r="O152" s="521"/>
      <c r="P152" s="521"/>
      <c r="Q152" s="521"/>
      <c r="R152" s="521"/>
      <c r="S152" s="521"/>
      <c r="T152" s="521"/>
      <c r="U152" s="521"/>
      <c r="V152" s="521"/>
      <c r="W152" s="497"/>
      <c r="X152" s="497"/>
    </row>
    <row r="153" s="100" customFormat="true" ht="22.5" hidden="false" customHeight="true" outlineLevel="0" collapsed="false">
      <c r="A153" s="145"/>
      <c r="B153" s="145"/>
      <c r="C153" s="145"/>
      <c r="D153" s="146"/>
      <c r="E153" s="146"/>
      <c r="F153" s="521"/>
      <c r="G153" s="521"/>
      <c r="H153" s="521"/>
      <c r="I153" s="521"/>
      <c r="J153" s="521"/>
      <c r="K153" s="521"/>
      <c r="L153" s="521"/>
      <c r="M153" s="521"/>
      <c r="N153" s="521"/>
      <c r="O153" s="521"/>
      <c r="P153" s="521"/>
      <c r="Q153" s="521"/>
      <c r="R153" s="521"/>
      <c r="S153" s="521"/>
      <c r="T153" s="521"/>
      <c r="U153" s="521"/>
      <c r="V153" s="521"/>
      <c r="W153" s="497"/>
      <c r="X153" s="497"/>
    </row>
    <row r="154" s="100" customFormat="true" ht="22.5" hidden="false" customHeight="true" outlineLevel="0" collapsed="false">
      <c r="D154" s="149"/>
      <c r="E154" s="149"/>
      <c r="F154" s="497"/>
      <c r="G154" s="497"/>
      <c r="H154" s="497"/>
      <c r="I154" s="497"/>
      <c r="J154" s="497"/>
      <c r="K154" s="497"/>
      <c r="L154" s="497"/>
      <c r="M154" s="497"/>
      <c r="N154" s="497"/>
      <c r="O154" s="497"/>
      <c r="P154" s="497"/>
      <c r="Q154" s="497"/>
      <c r="R154" s="497"/>
      <c r="S154" s="497"/>
      <c r="T154" s="150"/>
      <c r="U154" s="497"/>
      <c r="V154" s="497"/>
      <c r="W154" s="497"/>
      <c r="X154" s="497"/>
    </row>
    <row r="155" s="100" customFormat="true" ht="22.5" hidden="false" customHeight="true" outlineLevel="0" collapsed="false">
      <c r="D155" s="149"/>
      <c r="E155" s="149"/>
      <c r="F155" s="497"/>
      <c r="G155" s="497"/>
      <c r="H155" s="497"/>
      <c r="I155" s="497"/>
      <c r="J155" s="497"/>
      <c r="K155" s="497"/>
      <c r="L155" s="497"/>
      <c r="M155" s="497"/>
      <c r="N155" s="497"/>
      <c r="O155" s="497"/>
      <c r="P155" s="497"/>
      <c r="Q155" s="497"/>
      <c r="R155" s="497"/>
      <c r="S155" s="497"/>
      <c r="T155" s="150"/>
      <c r="U155" s="497"/>
      <c r="V155" s="497"/>
      <c r="W155" s="497"/>
      <c r="X155" s="497"/>
    </row>
    <row r="156" s="100" customFormat="true" ht="22.5" hidden="false" customHeight="true" outlineLevel="0" collapsed="false">
      <c r="D156" s="149"/>
      <c r="E156" s="149"/>
      <c r="F156" s="497"/>
      <c r="G156" s="497"/>
      <c r="H156" s="497"/>
      <c r="I156" s="497"/>
      <c r="J156" s="497"/>
      <c r="K156" s="497"/>
      <c r="L156" s="497"/>
      <c r="M156" s="497"/>
      <c r="N156" s="497"/>
      <c r="O156" s="497"/>
      <c r="P156" s="497"/>
      <c r="Q156" s="497"/>
      <c r="R156" s="497"/>
      <c r="S156" s="497"/>
      <c r="T156" s="150"/>
      <c r="U156" s="497"/>
      <c r="V156" s="497"/>
      <c r="W156" s="497"/>
      <c r="X156" s="497"/>
    </row>
    <row r="157" s="100" customFormat="true" ht="22.5" hidden="false" customHeight="true" outlineLevel="0" collapsed="false">
      <c r="D157" s="149"/>
      <c r="E157" s="149"/>
      <c r="F157" s="497"/>
      <c r="G157" s="497"/>
      <c r="H157" s="497"/>
      <c r="I157" s="497"/>
      <c r="J157" s="497"/>
      <c r="K157" s="497"/>
      <c r="L157" s="497"/>
      <c r="M157" s="497"/>
      <c r="N157" s="497"/>
      <c r="O157" s="497"/>
      <c r="P157" s="497"/>
      <c r="Q157" s="497"/>
      <c r="R157" s="497"/>
      <c r="S157" s="497"/>
      <c r="T157" s="150"/>
      <c r="U157" s="497"/>
      <c r="V157" s="497"/>
      <c r="W157" s="497"/>
      <c r="X157" s="497"/>
    </row>
    <row r="158" s="100" customFormat="true" ht="22.5" hidden="false" customHeight="true" outlineLevel="0" collapsed="false">
      <c r="D158" s="149"/>
      <c r="E158" s="149"/>
      <c r="F158" s="497"/>
      <c r="G158" s="497"/>
      <c r="H158" s="497"/>
      <c r="I158" s="497"/>
      <c r="J158" s="497"/>
      <c r="K158" s="497"/>
      <c r="L158" s="497"/>
      <c r="M158" s="497"/>
      <c r="N158" s="497"/>
      <c r="O158" s="497"/>
      <c r="P158" s="497"/>
      <c r="Q158" s="497"/>
      <c r="R158" s="497"/>
      <c r="S158" s="497"/>
      <c r="T158" s="150"/>
      <c r="U158" s="497"/>
      <c r="V158" s="497"/>
      <c r="W158" s="497"/>
      <c r="X158" s="497"/>
    </row>
    <row r="159" s="100" customFormat="true" ht="22.5" hidden="false" customHeight="true" outlineLevel="0" collapsed="false">
      <c r="D159" s="149"/>
      <c r="E159" s="149"/>
      <c r="F159" s="497"/>
      <c r="G159" s="497"/>
      <c r="H159" s="497"/>
      <c r="I159" s="497"/>
      <c r="J159" s="497"/>
      <c r="K159" s="497"/>
      <c r="L159" s="497"/>
      <c r="M159" s="497"/>
      <c r="N159" s="497"/>
      <c r="O159" s="497"/>
      <c r="P159" s="497"/>
      <c r="Q159" s="497"/>
      <c r="R159" s="497"/>
      <c r="S159" s="497"/>
      <c r="T159" s="150"/>
      <c r="U159" s="497"/>
      <c r="V159" s="497"/>
      <c r="W159" s="497"/>
      <c r="X159" s="497"/>
    </row>
    <row r="160" s="100" customFormat="true" ht="22.5" hidden="false" customHeight="true" outlineLevel="0" collapsed="false">
      <c r="D160" s="149"/>
      <c r="E160" s="149"/>
      <c r="F160" s="497"/>
      <c r="G160" s="497"/>
      <c r="H160" s="497"/>
      <c r="I160" s="497"/>
      <c r="J160" s="497"/>
      <c r="K160" s="497"/>
      <c r="L160" s="497"/>
      <c r="M160" s="497"/>
      <c r="N160" s="497"/>
      <c r="O160" s="497"/>
      <c r="P160" s="497"/>
      <c r="Q160" s="497"/>
      <c r="R160" s="497"/>
      <c r="S160" s="497"/>
      <c r="T160" s="150"/>
      <c r="U160" s="497"/>
      <c r="V160" s="497"/>
      <c r="W160" s="497"/>
      <c r="X160" s="497"/>
    </row>
    <row r="161" s="100" customFormat="true" ht="22.5" hidden="false" customHeight="true" outlineLevel="0" collapsed="false">
      <c r="D161" s="149"/>
      <c r="E161" s="149"/>
      <c r="F161" s="497"/>
      <c r="G161" s="497"/>
      <c r="H161" s="497"/>
      <c r="I161" s="497"/>
      <c r="J161" s="497"/>
      <c r="K161" s="497"/>
      <c r="L161" s="497"/>
      <c r="M161" s="497"/>
      <c r="N161" s="497"/>
      <c r="O161" s="497"/>
      <c r="P161" s="497"/>
      <c r="Q161" s="497"/>
      <c r="R161" s="497"/>
      <c r="S161" s="497"/>
      <c r="T161" s="150"/>
      <c r="U161" s="497"/>
      <c r="V161" s="497"/>
      <c r="W161" s="497"/>
      <c r="X161" s="497"/>
    </row>
    <row r="162" s="100" customFormat="true" ht="22.5" hidden="false" customHeight="true" outlineLevel="0" collapsed="false">
      <c r="D162" s="149"/>
      <c r="E162" s="149"/>
      <c r="F162" s="497"/>
      <c r="G162" s="497"/>
      <c r="H162" s="497"/>
      <c r="I162" s="497"/>
      <c r="J162" s="497"/>
      <c r="K162" s="497"/>
      <c r="L162" s="497"/>
      <c r="M162" s="497"/>
      <c r="N162" s="497"/>
      <c r="O162" s="497"/>
      <c r="P162" s="497"/>
      <c r="Q162" s="497"/>
      <c r="R162" s="497"/>
      <c r="S162" s="497"/>
      <c r="T162" s="150"/>
      <c r="U162" s="497"/>
      <c r="V162" s="497"/>
      <c r="W162" s="497"/>
      <c r="X162" s="497"/>
    </row>
    <row r="163" s="100" customFormat="true" ht="22.5" hidden="false" customHeight="true" outlineLevel="0" collapsed="false">
      <c r="D163" s="149"/>
      <c r="E163" s="149"/>
      <c r="F163" s="497"/>
      <c r="G163" s="497"/>
      <c r="H163" s="497"/>
      <c r="I163" s="497"/>
      <c r="J163" s="497"/>
      <c r="K163" s="497"/>
      <c r="L163" s="497"/>
      <c r="M163" s="497"/>
      <c r="N163" s="497"/>
      <c r="O163" s="497"/>
      <c r="P163" s="497"/>
      <c r="Q163" s="497"/>
      <c r="R163" s="497"/>
      <c r="S163" s="497"/>
      <c r="T163" s="150"/>
      <c r="U163" s="497"/>
      <c r="V163" s="497"/>
      <c r="W163" s="497"/>
      <c r="X163" s="497"/>
    </row>
    <row r="164" s="100" customFormat="true" ht="22.5" hidden="false" customHeight="true" outlineLevel="0" collapsed="false">
      <c r="D164" s="149"/>
      <c r="E164" s="149"/>
      <c r="F164" s="497"/>
      <c r="G164" s="497"/>
      <c r="H164" s="497"/>
      <c r="I164" s="497"/>
      <c r="J164" s="497"/>
      <c r="K164" s="497"/>
      <c r="L164" s="497"/>
      <c r="M164" s="497"/>
      <c r="N164" s="497"/>
      <c r="O164" s="497"/>
      <c r="P164" s="497"/>
      <c r="Q164" s="497"/>
      <c r="R164" s="497"/>
      <c r="S164" s="497"/>
      <c r="T164" s="150"/>
      <c r="U164" s="497"/>
      <c r="V164" s="497"/>
      <c r="W164" s="497"/>
      <c r="X164" s="497"/>
    </row>
    <row r="165" s="100" customFormat="true" ht="22.5" hidden="false" customHeight="true" outlineLevel="0" collapsed="false">
      <c r="D165" s="149"/>
      <c r="E165" s="149"/>
      <c r="F165" s="497"/>
      <c r="G165" s="497"/>
      <c r="H165" s="497"/>
      <c r="I165" s="497"/>
      <c r="J165" s="497"/>
      <c r="K165" s="497"/>
      <c r="L165" s="497"/>
      <c r="M165" s="497"/>
      <c r="N165" s="497"/>
      <c r="O165" s="497"/>
      <c r="P165" s="497"/>
      <c r="Q165" s="497"/>
      <c r="R165" s="497"/>
      <c r="S165" s="497"/>
      <c r="T165" s="150"/>
      <c r="U165" s="497"/>
      <c r="V165" s="497"/>
      <c r="W165" s="497"/>
      <c r="X165" s="497"/>
    </row>
    <row r="166" s="100" customFormat="true" ht="22.5" hidden="false" customHeight="true" outlineLevel="0" collapsed="false">
      <c r="D166" s="149"/>
      <c r="E166" s="149"/>
      <c r="F166" s="497"/>
      <c r="G166" s="497"/>
      <c r="H166" s="497"/>
      <c r="I166" s="497"/>
      <c r="J166" s="497"/>
      <c r="K166" s="497"/>
      <c r="L166" s="497"/>
      <c r="M166" s="497"/>
      <c r="N166" s="497"/>
      <c r="O166" s="497"/>
      <c r="P166" s="497"/>
      <c r="Q166" s="497"/>
      <c r="R166" s="497"/>
      <c r="S166" s="497"/>
      <c r="T166" s="150"/>
      <c r="U166" s="497"/>
      <c r="V166" s="497"/>
      <c r="W166" s="497"/>
      <c r="X166" s="497"/>
    </row>
    <row r="167" s="100" customFormat="true" ht="15" hidden="false" customHeight="false" outlineLevel="0" collapsed="false">
      <c r="D167" s="149"/>
      <c r="E167" s="149"/>
      <c r="F167" s="497"/>
      <c r="G167" s="497"/>
      <c r="H167" s="497"/>
      <c r="I167" s="497"/>
      <c r="J167" s="497"/>
      <c r="K167" s="497"/>
      <c r="L167" s="497"/>
      <c r="M167" s="497"/>
      <c r="N167" s="497"/>
      <c r="O167" s="497"/>
      <c r="P167" s="497"/>
      <c r="Q167" s="497"/>
      <c r="R167" s="497"/>
      <c r="S167" s="497"/>
      <c r="T167" s="150"/>
      <c r="U167" s="497"/>
      <c r="V167" s="497"/>
      <c r="W167" s="497"/>
      <c r="X167" s="497"/>
    </row>
    <row r="168" s="100" customFormat="true" ht="15" hidden="false" customHeight="false" outlineLevel="0" collapsed="false">
      <c r="D168" s="149"/>
      <c r="E168" s="149"/>
      <c r="F168" s="497"/>
      <c r="G168" s="497"/>
      <c r="H168" s="497"/>
      <c r="I168" s="497"/>
      <c r="J168" s="497"/>
      <c r="K168" s="497"/>
      <c r="L168" s="497"/>
      <c r="M168" s="497"/>
      <c r="N168" s="497"/>
      <c r="O168" s="497"/>
      <c r="P168" s="497"/>
      <c r="Q168" s="497"/>
      <c r="R168" s="497"/>
      <c r="S168" s="497"/>
      <c r="T168" s="150"/>
      <c r="U168" s="497"/>
      <c r="V168" s="497"/>
      <c r="W168" s="497"/>
      <c r="X168" s="497"/>
    </row>
    <row r="169" s="100" customFormat="true" ht="15" hidden="false" customHeight="false" outlineLevel="0" collapsed="false">
      <c r="D169" s="149"/>
      <c r="E169" s="149"/>
      <c r="F169" s="497"/>
      <c r="G169" s="497"/>
      <c r="H169" s="497"/>
      <c r="I169" s="497"/>
      <c r="J169" s="497"/>
      <c r="K169" s="497"/>
      <c r="L169" s="497"/>
      <c r="M169" s="497"/>
      <c r="N169" s="497"/>
      <c r="O169" s="497"/>
      <c r="P169" s="497"/>
      <c r="Q169" s="497"/>
      <c r="R169" s="497"/>
      <c r="S169" s="497"/>
      <c r="T169" s="150"/>
      <c r="U169" s="497"/>
      <c r="V169" s="497"/>
      <c r="W169" s="497"/>
      <c r="X169" s="497"/>
    </row>
    <row r="170" s="100" customFormat="true" ht="15" hidden="false" customHeight="false" outlineLevel="0" collapsed="false">
      <c r="D170" s="149"/>
      <c r="E170" s="149"/>
      <c r="F170" s="497"/>
      <c r="G170" s="497"/>
      <c r="H170" s="497"/>
      <c r="I170" s="497"/>
      <c r="J170" s="497"/>
      <c r="K170" s="497"/>
      <c r="L170" s="497"/>
      <c r="M170" s="497"/>
      <c r="N170" s="497"/>
      <c r="O170" s="497"/>
      <c r="P170" s="497"/>
      <c r="Q170" s="497"/>
      <c r="R170" s="497"/>
      <c r="S170" s="497"/>
      <c r="T170" s="150"/>
      <c r="U170" s="497"/>
      <c r="V170" s="497"/>
      <c r="W170" s="497"/>
      <c r="X170" s="497"/>
    </row>
    <row r="171" s="100" customFormat="true" ht="15" hidden="false" customHeight="false" outlineLevel="0" collapsed="false">
      <c r="D171" s="149"/>
      <c r="E171" s="149"/>
      <c r="F171" s="497"/>
      <c r="G171" s="497"/>
      <c r="H171" s="497"/>
      <c r="I171" s="497"/>
      <c r="J171" s="497"/>
      <c r="K171" s="497"/>
      <c r="L171" s="497"/>
      <c r="M171" s="497"/>
      <c r="N171" s="497"/>
      <c r="O171" s="497"/>
      <c r="P171" s="497"/>
      <c r="Q171" s="497"/>
      <c r="R171" s="497"/>
      <c r="S171" s="497"/>
      <c r="T171" s="150"/>
      <c r="U171" s="497"/>
      <c r="V171" s="497"/>
      <c r="W171" s="497"/>
      <c r="X171" s="497"/>
    </row>
    <row r="172" s="100" customFormat="true" ht="15" hidden="false" customHeight="false" outlineLevel="0" collapsed="false">
      <c r="D172" s="149"/>
      <c r="E172" s="149"/>
      <c r="F172" s="497"/>
      <c r="G172" s="497"/>
      <c r="H172" s="497"/>
      <c r="I172" s="497"/>
      <c r="J172" s="497"/>
      <c r="K172" s="497"/>
      <c r="L172" s="497"/>
      <c r="M172" s="497"/>
      <c r="N172" s="497"/>
      <c r="O172" s="497"/>
      <c r="P172" s="497"/>
      <c r="Q172" s="497"/>
      <c r="R172" s="497"/>
      <c r="S172" s="497"/>
      <c r="T172" s="150"/>
      <c r="U172" s="497"/>
      <c r="V172" s="497"/>
      <c r="W172" s="497"/>
      <c r="X172" s="497"/>
    </row>
    <row r="173" s="100" customFormat="true" ht="15" hidden="false" customHeight="false" outlineLevel="0" collapsed="false">
      <c r="D173" s="149"/>
      <c r="E173" s="149"/>
      <c r="F173" s="497"/>
      <c r="G173" s="497"/>
      <c r="H173" s="497"/>
      <c r="I173" s="497"/>
      <c r="J173" s="497"/>
      <c r="K173" s="497"/>
      <c r="L173" s="497"/>
      <c r="M173" s="497"/>
      <c r="N173" s="497"/>
      <c r="O173" s="497"/>
      <c r="P173" s="497"/>
      <c r="Q173" s="497"/>
      <c r="R173" s="497"/>
      <c r="S173" s="497"/>
      <c r="T173" s="150"/>
      <c r="U173" s="497"/>
      <c r="V173" s="497"/>
      <c r="W173" s="497"/>
      <c r="X173" s="497"/>
    </row>
    <row r="174" s="100" customFormat="true" ht="15" hidden="false" customHeight="false" outlineLevel="0" collapsed="false">
      <c r="D174" s="149"/>
      <c r="E174" s="149"/>
      <c r="F174" s="497"/>
      <c r="G174" s="497"/>
      <c r="H174" s="497"/>
      <c r="I174" s="497"/>
      <c r="J174" s="497"/>
      <c r="K174" s="497"/>
      <c r="L174" s="497"/>
      <c r="M174" s="497"/>
      <c r="N174" s="497"/>
      <c r="O174" s="497"/>
      <c r="P174" s="497"/>
      <c r="Q174" s="497"/>
      <c r="R174" s="497"/>
      <c r="S174" s="497"/>
      <c r="T174" s="150"/>
      <c r="U174" s="497"/>
      <c r="V174" s="497"/>
      <c r="W174" s="497"/>
      <c r="X174" s="497"/>
    </row>
    <row r="175" s="100" customFormat="true" ht="15" hidden="false" customHeight="false" outlineLevel="0" collapsed="false">
      <c r="D175" s="149"/>
      <c r="E175" s="149"/>
      <c r="F175" s="497"/>
      <c r="G175" s="497"/>
      <c r="H175" s="497"/>
      <c r="I175" s="497"/>
      <c r="J175" s="497"/>
      <c r="K175" s="497"/>
      <c r="L175" s="497"/>
      <c r="M175" s="497"/>
      <c r="N175" s="497"/>
      <c r="O175" s="497"/>
      <c r="P175" s="497"/>
      <c r="Q175" s="497"/>
      <c r="R175" s="497"/>
      <c r="S175" s="497"/>
      <c r="T175" s="150"/>
      <c r="U175" s="497"/>
      <c r="V175" s="497"/>
      <c r="W175" s="497"/>
      <c r="X175" s="497"/>
    </row>
    <row r="176" s="100" customFormat="true" ht="15" hidden="false" customHeight="false" outlineLevel="0" collapsed="false">
      <c r="D176" s="149"/>
      <c r="E176" s="149"/>
      <c r="F176" s="497"/>
      <c r="G176" s="497"/>
      <c r="H176" s="497"/>
      <c r="I176" s="497"/>
      <c r="J176" s="497"/>
      <c r="K176" s="497"/>
      <c r="L176" s="497"/>
      <c r="M176" s="497"/>
      <c r="N176" s="497"/>
      <c r="O176" s="497"/>
      <c r="P176" s="497"/>
      <c r="Q176" s="497"/>
      <c r="R176" s="497"/>
      <c r="S176" s="497"/>
      <c r="T176" s="150"/>
      <c r="U176" s="497"/>
      <c r="V176" s="497"/>
      <c r="W176" s="497"/>
      <c r="X176" s="497"/>
    </row>
    <row r="177" s="100" customFormat="true" ht="15" hidden="false" customHeight="false" outlineLevel="0" collapsed="false">
      <c r="D177" s="149"/>
      <c r="E177" s="149"/>
      <c r="F177" s="497"/>
      <c r="G177" s="497"/>
      <c r="H177" s="497"/>
      <c r="I177" s="497"/>
      <c r="J177" s="497"/>
      <c r="K177" s="497"/>
      <c r="L177" s="497"/>
      <c r="M177" s="497"/>
      <c r="N177" s="497"/>
      <c r="O177" s="497"/>
      <c r="P177" s="497"/>
      <c r="Q177" s="497"/>
      <c r="R177" s="497"/>
      <c r="S177" s="497"/>
      <c r="T177" s="150"/>
      <c r="U177" s="497"/>
      <c r="V177" s="497"/>
      <c r="W177" s="497"/>
      <c r="X177" s="497"/>
    </row>
    <row r="178" s="100" customFormat="true" ht="15" hidden="false" customHeight="false" outlineLevel="0" collapsed="false">
      <c r="D178" s="149"/>
      <c r="E178" s="149"/>
      <c r="F178" s="497"/>
      <c r="G178" s="497"/>
      <c r="H178" s="497"/>
      <c r="I178" s="497"/>
      <c r="J178" s="497"/>
      <c r="K178" s="497"/>
      <c r="L178" s="497"/>
      <c r="M178" s="497"/>
      <c r="N178" s="497"/>
      <c r="O178" s="497"/>
      <c r="P178" s="497"/>
      <c r="Q178" s="497"/>
      <c r="R178" s="497"/>
      <c r="S178" s="497"/>
      <c r="T178" s="150"/>
      <c r="U178" s="497"/>
      <c r="V178" s="497"/>
      <c r="W178" s="497"/>
      <c r="X178" s="497"/>
    </row>
    <row r="179" s="100" customFormat="true" ht="15" hidden="false" customHeight="false" outlineLevel="0" collapsed="false">
      <c r="D179" s="149"/>
      <c r="E179" s="149"/>
      <c r="F179" s="497"/>
      <c r="G179" s="497"/>
      <c r="H179" s="497"/>
      <c r="I179" s="497"/>
      <c r="J179" s="497"/>
      <c r="K179" s="497"/>
      <c r="L179" s="497"/>
      <c r="M179" s="497"/>
      <c r="N179" s="497"/>
      <c r="O179" s="497"/>
      <c r="P179" s="497"/>
      <c r="Q179" s="497"/>
      <c r="R179" s="497"/>
      <c r="S179" s="497"/>
      <c r="T179" s="150"/>
      <c r="U179" s="497"/>
      <c r="V179" s="497"/>
      <c r="W179" s="497"/>
      <c r="X179" s="497"/>
    </row>
    <row r="180" s="100" customFormat="true" ht="15" hidden="false" customHeight="false" outlineLevel="0" collapsed="false">
      <c r="D180" s="149"/>
      <c r="E180" s="149"/>
      <c r="F180" s="497"/>
      <c r="G180" s="497"/>
      <c r="H180" s="497"/>
      <c r="I180" s="497"/>
      <c r="J180" s="497"/>
      <c r="K180" s="497"/>
      <c r="L180" s="497"/>
      <c r="M180" s="497"/>
      <c r="N180" s="497"/>
      <c r="O180" s="497"/>
      <c r="P180" s="497"/>
      <c r="Q180" s="497"/>
      <c r="R180" s="497"/>
      <c r="S180" s="497"/>
      <c r="T180" s="150"/>
      <c r="U180" s="497"/>
      <c r="V180" s="497"/>
      <c r="W180" s="497"/>
      <c r="X180" s="497"/>
    </row>
    <row r="181" s="100" customFormat="true" ht="15" hidden="false" customHeight="false" outlineLevel="0" collapsed="false">
      <c r="D181" s="149"/>
      <c r="E181" s="149"/>
      <c r="F181" s="497"/>
      <c r="G181" s="497"/>
      <c r="H181" s="497"/>
      <c r="I181" s="497"/>
      <c r="J181" s="497"/>
      <c r="K181" s="497"/>
      <c r="L181" s="497"/>
      <c r="M181" s="497"/>
      <c r="N181" s="497"/>
      <c r="O181" s="497"/>
      <c r="P181" s="497"/>
      <c r="Q181" s="497"/>
      <c r="R181" s="497"/>
      <c r="S181" s="497"/>
      <c r="T181" s="150"/>
      <c r="U181" s="497"/>
      <c r="V181" s="497"/>
      <c r="W181" s="497"/>
      <c r="X181" s="497"/>
    </row>
    <row r="182" s="100" customFormat="true" ht="15" hidden="false" customHeight="false" outlineLevel="0" collapsed="false">
      <c r="D182" s="149"/>
      <c r="E182" s="149"/>
      <c r="F182" s="497"/>
      <c r="G182" s="497"/>
      <c r="H182" s="497"/>
      <c r="I182" s="497"/>
      <c r="J182" s="497"/>
      <c r="K182" s="497"/>
      <c r="L182" s="497"/>
      <c r="M182" s="497"/>
      <c r="N182" s="497"/>
      <c r="O182" s="497"/>
      <c r="P182" s="497"/>
      <c r="Q182" s="497"/>
      <c r="R182" s="497"/>
      <c r="S182" s="497"/>
      <c r="T182" s="150"/>
      <c r="U182" s="497"/>
      <c r="V182" s="497"/>
      <c r="W182" s="497"/>
      <c r="X182" s="497"/>
    </row>
    <row r="183" s="100" customFormat="true" ht="15" hidden="false" customHeight="false" outlineLevel="0" collapsed="false">
      <c r="D183" s="149"/>
      <c r="E183" s="149"/>
      <c r="F183" s="497"/>
      <c r="G183" s="497"/>
      <c r="H183" s="497"/>
      <c r="I183" s="497"/>
      <c r="J183" s="497"/>
      <c r="K183" s="497"/>
      <c r="L183" s="497"/>
      <c r="M183" s="497"/>
      <c r="N183" s="497"/>
      <c r="O183" s="497"/>
      <c r="P183" s="497"/>
      <c r="Q183" s="497"/>
      <c r="R183" s="497"/>
      <c r="S183" s="497"/>
      <c r="T183" s="150"/>
      <c r="U183" s="497"/>
      <c r="V183" s="497"/>
      <c r="W183" s="497"/>
      <c r="X183" s="497"/>
    </row>
    <row r="184" s="100" customFormat="true" ht="15" hidden="false" customHeight="false" outlineLevel="0" collapsed="false">
      <c r="D184" s="149"/>
      <c r="E184" s="149"/>
      <c r="F184" s="497"/>
      <c r="G184" s="497"/>
      <c r="H184" s="497"/>
      <c r="I184" s="497"/>
      <c r="J184" s="497"/>
      <c r="K184" s="497"/>
      <c r="L184" s="497"/>
      <c r="M184" s="497"/>
      <c r="N184" s="497"/>
      <c r="O184" s="497"/>
      <c r="P184" s="497"/>
      <c r="Q184" s="497"/>
      <c r="R184" s="497"/>
      <c r="S184" s="497"/>
      <c r="T184" s="150"/>
      <c r="U184" s="497"/>
      <c r="V184" s="497"/>
      <c r="W184" s="497"/>
      <c r="X184" s="497"/>
    </row>
    <row r="185" s="100" customFormat="true" ht="15" hidden="false" customHeight="false" outlineLevel="0" collapsed="false">
      <c r="D185" s="149"/>
      <c r="E185" s="149"/>
      <c r="F185" s="497"/>
      <c r="G185" s="497"/>
      <c r="H185" s="497"/>
      <c r="I185" s="497"/>
      <c r="J185" s="497"/>
      <c r="K185" s="497"/>
      <c r="L185" s="497"/>
      <c r="M185" s="497"/>
      <c r="N185" s="497"/>
      <c r="O185" s="497"/>
      <c r="P185" s="497"/>
      <c r="Q185" s="497"/>
      <c r="R185" s="497"/>
      <c r="S185" s="497"/>
      <c r="T185" s="150"/>
      <c r="U185" s="497"/>
      <c r="V185" s="497"/>
      <c r="W185" s="497"/>
      <c r="X185" s="497"/>
    </row>
    <row r="186" s="100" customFormat="true" ht="15" hidden="false" customHeight="false" outlineLevel="0" collapsed="false">
      <c r="D186" s="149"/>
      <c r="E186" s="149"/>
      <c r="F186" s="497"/>
      <c r="G186" s="497"/>
      <c r="H186" s="497"/>
      <c r="I186" s="497"/>
      <c r="J186" s="497"/>
      <c r="K186" s="497"/>
      <c r="L186" s="497"/>
      <c r="M186" s="497"/>
      <c r="N186" s="497"/>
      <c r="O186" s="497"/>
      <c r="P186" s="497"/>
      <c r="Q186" s="497"/>
      <c r="R186" s="497"/>
      <c r="S186" s="497"/>
      <c r="T186" s="150"/>
      <c r="U186" s="497"/>
      <c r="V186" s="497"/>
      <c r="W186" s="497"/>
      <c r="X186" s="497"/>
    </row>
    <row r="187" s="100" customFormat="true" ht="15" hidden="false" customHeight="false" outlineLevel="0" collapsed="false">
      <c r="D187" s="149"/>
      <c r="E187" s="149"/>
      <c r="F187" s="497"/>
      <c r="G187" s="497"/>
      <c r="H187" s="497"/>
      <c r="I187" s="497"/>
      <c r="J187" s="497"/>
      <c r="K187" s="497"/>
      <c r="L187" s="497"/>
      <c r="M187" s="497"/>
      <c r="N187" s="497"/>
      <c r="O187" s="497"/>
      <c r="P187" s="497"/>
      <c r="Q187" s="497"/>
      <c r="R187" s="497"/>
      <c r="S187" s="497"/>
      <c r="T187" s="150"/>
      <c r="U187" s="497"/>
      <c r="V187" s="497"/>
      <c r="W187" s="497"/>
      <c r="X187" s="497"/>
    </row>
    <row r="188" s="100" customFormat="true" ht="15" hidden="false" customHeight="false" outlineLevel="0" collapsed="false">
      <c r="D188" s="149"/>
      <c r="E188" s="149"/>
      <c r="F188" s="497"/>
      <c r="G188" s="497"/>
      <c r="H188" s="497"/>
      <c r="I188" s="497"/>
      <c r="J188" s="497"/>
      <c r="K188" s="497"/>
      <c r="L188" s="497"/>
      <c r="M188" s="497"/>
      <c r="N188" s="497"/>
      <c r="O188" s="497"/>
      <c r="P188" s="497"/>
      <c r="Q188" s="497"/>
      <c r="R188" s="497"/>
      <c r="S188" s="497"/>
      <c r="T188" s="150"/>
      <c r="U188" s="497"/>
      <c r="V188" s="497"/>
      <c r="W188" s="497"/>
      <c r="X188" s="497"/>
    </row>
    <row r="189" s="100" customFormat="true" ht="15" hidden="false" customHeight="false" outlineLevel="0" collapsed="false">
      <c r="D189" s="149"/>
      <c r="E189" s="149"/>
      <c r="F189" s="497"/>
      <c r="G189" s="497"/>
      <c r="H189" s="497"/>
      <c r="I189" s="497"/>
      <c r="J189" s="497"/>
      <c r="K189" s="497"/>
      <c r="L189" s="497"/>
      <c r="M189" s="497"/>
      <c r="N189" s="497"/>
      <c r="O189" s="497"/>
      <c r="P189" s="497"/>
      <c r="Q189" s="497"/>
      <c r="R189" s="497"/>
      <c r="S189" s="497"/>
      <c r="T189" s="150"/>
      <c r="U189" s="497"/>
      <c r="V189" s="497"/>
      <c r="W189" s="497"/>
      <c r="X189" s="497"/>
    </row>
    <row r="190" s="100" customFormat="true" ht="15" hidden="false" customHeight="false" outlineLevel="0" collapsed="false">
      <c r="D190" s="149"/>
      <c r="E190" s="149"/>
      <c r="F190" s="497"/>
      <c r="G190" s="497"/>
      <c r="H190" s="497"/>
      <c r="I190" s="497"/>
      <c r="J190" s="497"/>
      <c r="K190" s="497"/>
      <c r="L190" s="497"/>
      <c r="M190" s="497"/>
      <c r="N190" s="497"/>
      <c r="O190" s="497"/>
      <c r="P190" s="497"/>
      <c r="Q190" s="497"/>
      <c r="R190" s="497"/>
      <c r="S190" s="497"/>
      <c r="T190" s="150"/>
      <c r="U190" s="497"/>
      <c r="V190" s="497"/>
      <c r="W190" s="497"/>
      <c r="X190" s="497"/>
    </row>
    <row r="191" s="100" customFormat="true" ht="15" hidden="false" customHeight="false" outlineLevel="0" collapsed="false">
      <c r="D191" s="149"/>
      <c r="E191" s="149"/>
      <c r="F191" s="497"/>
      <c r="G191" s="497"/>
      <c r="H191" s="497"/>
      <c r="I191" s="497"/>
      <c r="J191" s="497"/>
      <c r="K191" s="497"/>
      <c r="L191" s="497"/>
      <c r="M191" s="497"/>
      <c r="N191" s="497"/>
      <c r="O191" s="497"/>
      <c r="P191" s="497"/>
      <c r="Q191" s="497"/>
      <c r="R191" s="497"/>
      <c r="S191" s="497"/>
      <c r="T191" s="150"/>
      <c r="U191" s="497"/>
      <c r="V191" s="497"/>
      <c r="W191" s="497"/>
      <c r="X191" s="497"/>
    </row>
    <row r="192" s="100" customFormat="true" ht="15" hidden="false" customHeight="false" outlineLevel="0" collapsed="false">
      <c r="D192" s="149"/>
      <c r="E192" s="149"/>
      <c r="F192" s="497"/>
      <c r="G192" s="497"/>
      <c r="H192" s="497"/>
      <c r="I192" s="497"/>
      <c r="J192" s="497"/>
      <c r="K192" s="497"/>
      <c r="L192" s="497"/>
      <c r="M192" s="497"/>
      <c r="N192" s="497"/>
      <c r="O192" s="497"/>
      <c r="P192" s="497"/>
      <c r="Q192" s="497"/>
      <c r="R192" s="497"/>
      <c r="S192" s="497"/>
      <c r="T192" s="150"/>
      <c r="U192" s="497"/>
      <c r="V192" s="497"/>
      <c r="W192" s="497"/>
      <c r="X192" s="497"/>
    </row>
    <row r="193" s="100" customFormat="true" ht="15" hidden="false" customHeight="false" outlineLevel="0" collapsed="false">
      <c r="D193" s="149"/>
      <c r="E193" s="149"/>
      <c r="F193" s="497"/>
      <c r="G193" s="497"/>
      <c r="H193" s="497"/>
      <c r="I193" s="497"/>
      <c r="J193" s="497"/>
      <c r="K193" s="497"/>
      <c r="L193" s="497"/>
      <c r="M193" s="497"/>
      <c r="N193" s="497"/>
      <c r="O193" s="497"/>
      <c r="P193" s="497"/>
      <c r="Q193" s="497"/>
      <c r="R193" s="497"/>
      <c r="S193" s="497"/>
      <c r="T193" s="150"/>
      <c r="U193" s="497"/>
      <c r="V193" s="497"/>
      <c r="W193" s="497"/>
      <c r="X193" s="497"/>
    </row>
    <row r="194" s="100" customFormat="true" ht="15" hidden="false" customHeight="false" outlineLevel="0" collapsed="false">
      <c r="D194" s="149"/>
      <c r="E194" s="149"/>
      <c r="F194" s="497"/>
      <c r="G194" s="497"/>
      <c r="H194" s="497"/>
      <c r="I194" s="497"/>
      <c r="J194" s="497"/>
      <c r="K194" s="497"/>
      <c r="L194" s="497"/>
      <c r="M194" s="497"/>
      <c r="N194" s="497"/>
      <c r="O194" s="497"/>
      <c r="P194" s="497"/>
      <c r="Q194" s="497"/>
      <c r="R194" s="497"/>
      <c r="S194" s="497"/>
      <c r="T194" s="150"/>
      <c r="U194" s="497"/>
      <c r="V194" s="497"/>
      <c r="W194" s="497"/>
      <c r="X194" s="497"/>
    </row>
    <row r="195" s="100" customFormat="true" ht="15" hidden="false" customHeight="false" outlineLevel="0" collapsed="false">
      <c r="D195" s="149"/>
      <c r="E195" s="149"/>
      <c r="F195" s="497"/>
      <c r="G195" s="497"/>
      <c r="H195" s="497"/>
      <c r="I195" s="497"/>
      <c r="J195" s="497"/>
      <c r="K195" s="497"/>
      <c r="L195" s="497"/>
      <c r="M195" s="497"/>
      <c r="N195" s="497"/>
      <c r="O195" s="497"/>
      <c r="P195" s="497"/>
      <c r="Q195" s="497"/>
      <c r="R195" s="497"/>
      <c r="S195" s="497"/>
      <c r="T195" s="150"/>
      <c r="U195" s="497"/>
      <c r="V195" s="497"/>
      <c r="W195" s="497"/>
      <c r="X195" s="497"/>
    </row>
    <row r="196" s="100" customFormat="true" ht="15" hidden="false" customHeight="false" outlineLevel="0" collapsed="false">
      <c r="D196" s="149"/>
      <c r="E196" s="149"/>
      <c r="F196" s="497"/>
      <c r="G196" s="497"/>
      <c r="H196" s="497"/>
      <c r="I196" s="497"/>
      <c r="J196" s="497"/>
      <c r="K196" s="497"/>
      <c r="L196" s="497"/>
      <c r="M196" s="497"/>
      <c r="N196" s="497"/>
      <c r="O196" s="497"/>
      <c r="P196" s="497"/>
      <c r="Q196" s="497"/>
      <c r="R196" s="497"/>
      <c r="S196" s="497"/>
      <c r="T196" s="150"/>
      <c r="U196" s="497"/>
      <c r="V196" s="497"/>
      <c r="W196" s="497"/>
      <c r="X196" s="497"/>
    </row>
    <row r="197" s="100" customFormat="true" ht="15" hidden="false" customHeight="false" outlineLevel="0" collapsed="false">
      <c r="D197" s="149"/>
      <c r="E197" s="149"/>
      <c r="F197" s="497"/>
      <c r="G197" s="497"/>
      <c r="H197" s="497"/>
      <c r="I197" s="497"/>
      <c r="J197" s="497"/>
      <c r="K197" s="497"/>
      <c r="L197" s="497"/>
      <c r="M197" s="497"/>
      <c r="N197" s="497"/>
      <c r="O197" s="497"/>
      <c r="P197" s="497"/>
      <c r="Q197" s="497"/>
      <c r="R197" s="497"/>
      <c r="S197" s="497"/>
      <c r="T197" s="150"/>
      <c r="U197" s="497"/>
      <c r="V197" s="497"/>
      <c r="W197" s="497"/>
      <c r="X197" s="497"/>
    </row>
    <row r="198" s="100" customFormat="true" ht="15" hidden="false" customHeight="false" outlineLevel="0" collapsed="false">
      <c r="D198" s="149"/>
      <c r="E198" s="149"/>
      <c r="F198" s="497"/>
      <c r="G198" s="497"/>
      <c r="H198" s="497"/>
      <c r="I198" s="497"/>
      <c r="J198" s="497"/>
      <c r="K198" s="497"/>
      <c r="L198" s="497"/>
      <c r="M198" s="497"/>
      <c r="N198" s="497"/>
      <c r="O198" s="497"/>
      <c r="P198" s="497"/>
      <c r="Q198" s="497"/>
      <c r="R198" s="497"/>
      <c r="S198" s="497"/>
      <c r="T198" s="150"/>
      <c r="U198" s="497"/>
      <c r="V198" s="497"/>
      <c r="W198" s="497"/>
      <c r="X198" s="497"/>
    </row>
    <row r="199" customFormat="false" ht="16.5" hidden="false" customHeight="false" outlineLevel="0" collapsed="false">
      <c r="F199" s="526"/>
      <c r="G199" s="526"/>
      <c r="H199" s="526"/>
      <c r="I199" s="526"/>
      <c r="J199" s="526"/>
      <c r="K199" s="526"/>
      <c r="L199" s="526"/>
      <c r="M199" s="526"/>
      <c r="N199" s="526"/>
      <c r="O199" s="526"/>
      <c r="P199" s="526"/>
      <c r="Q199" s="526"/>
      <c r="R199" s="526"/>
      <c r="S199" s="526"/>
      <c r="T199" s="122"/>
      <c r="U199" s="526"/>
      <c r="V199" s="526"/>
    </row>
    <row r="200" customFormat="false" ht="16.5" hidden="false" customHeight="false" outlineLevel="0" collapsed="false">
      <c r="F200" s="526"/>
      <c r="G200" s="526"/>
      <c r="H200" s="526"/>
      <c r="I200" s="526"/>
      <c r="J200" s="526"/>
      <c r="K200" s="526"/>
      <c r="L200" s="526"/>
      <c r="M200" s="526"/>
      <c r="N200" s="526"/>
      <c r="O200" s="526"/>
      <c r="P200" s="526"/>
      <c r="Q200" s="526"/>
      <c r="R200" s="526"/>
      <c r="S200" s="526"/>
      <c r="T200" s="122"/>
      <c r="U200" s="526"/>
      <c r="V200" s="526"/>
    </row>
    <row r="201" customFormat="false" ht="16.5" hidden="false" customHeight="false" outlineLevel="0" collapsed="false">
      <c r="F201" s="526"/>
      <c r="G201" s="526"/>
      <c r="H201" s="526"/>
      <c r="I201" s="526"/>
      <c r="J201" s="526"/>
      <c r="K201" s="526"/>
      <c r="L201" s="526"/>
      <c r="M201" s="526"/>
      <c r="N201" s="526"/>
      <c r="O201" s="526"/>
      <c r="P201" s="526"/>
      <c r="Q201" s="526"/>
      <c r="R201" s="526"/>
      <c r="S201" s="526"/>
      <c r="T201" s="122"/>
      <c r="U201" s="526"/>
      <c r="V201" s="526"/>
    </row>
    <row r="202" customFormat="false" ht="16.5" hidden="false" customHeight="false" outlineLevel="0" collapsed="false">
      <c r="F202" s="526"/>
      <c r="G202" s="526"/>
      <c r="H202" s="526"/>
      <c r="I202" s="526"/>
      <c r="J202" s="526"/>
      <c r="K202" s="526"/>
      <c r="L202" s="526"/>
      <c r="M202" s="526"/>
      <c r="N202" s="526"/>
      <c r="O202" s="526"/>
      <c r="P202" s="526"/>
      <c r="Q202" s="526"/>
      <c r="R202" s="526"/>
      <c r="S202" s="526"/>
      <c r="T202" s="122"/>
      <c r="U202" s="526"/>
      <c r="V202" s="526"/>
    </row>
    <row r="203" customFormat="false" ht="16.5" hidden="false" customHeight="false" outlineLevel="0" collapsed="false">
      <c r="F203" s="526"/>
      <c r="G203" s="526"/>
      <c r="H203" s="526"/>
      <c r="I203" s="526"/>
      <c r="J203" s="526"/>
      <c r="K203" s="526"/>
      <c r="L203" s="526"/>
      <c r="M203" s="526"/>
      <c r="N203" s="526"/>
      <c r="O203" s="526"/>
      <c r="P203" s="526"/>
      <c r="Q203" s="526"/>
      <c r="R203" s="526"/>
      <c r="S203" s="526"/>
      <c r="T203" s="122"/>
      <c r="U203" s="526"/>
      <c r="V203" s="526"/>
    </row>
  </sheetData>
  <mergeCells count="17">
    <mergeCell ref="B1:C1"/>
    <mergeCell ref="D1:V1"/>
    <mergeCell ref="E2:G2"/>
    <mergeCell ref="N2:S2"/>
    <mergeCell ref="A3:A4"/>
    <mergeCell ref="B3:B4"/>
    <mergeCell ref="C3:C4"/>
    <mergeCell ref="D3:D4"/>
    <mergeCell ref="E3:E4"/>
    <mergeCell ref="F3:J3"/>
    <mergeCell ref="K3:K4"/>
    <mergeCell ref="L3:Q3"/>
    <mergeCell ref="R3:R4"/>
    <mergeCell ref="T3:T4"/>
    <mergeCell ref="V3:V4"/>
    <mergeCell ref="W3:W4"/>
    <mergeCell ref="X3:X4"/>
  </mergeCells>
  <conditionalFormatting sqref="O5:O30">
    <cfRule type="expression" priority="2" aboveAverage="0" equalAverage="0" bottom="0" percent="0" rank="0" text="" dxfId="10">
      <formula>E5&lt;&gt;"MABE"</formula>
    </cfRule>
  </conditionalFormatting>
  <conditionalFormatting sqref="N5:N30">
    <cfRule type="expression" priority="3" aboveAverage="0" equalAverage="0" bottom="0" percent="0" rank="0" text="" dxfId="11">
      <formula>E5&lt;&gt;"MABE"</formula>
    </cfRule>
  </conditionalFormatting>
  <conditionalFormatting sqref="Q5:Q30">
    <cfRule type="expression" priority="4" aboveAverage="0" equalAverage="0" bottom="0" percent="0" rank="0" text="" dxfId="12">
      <formula>E5&lt;&gt;"MABE"</formula>
    </cfRule>
  </conditionalFormatting>
  <conditionalFormatting sqref="P5:P30">
    <cfRule type="expression" priority="5" aboveAverage="0" equalAverage="0" bottom="0" percent="0" rank="0" text="" dxfId="13">
      <formula>E5&lt;&gt;"MABE"</formula>
    </cfRule>
  </conditionalFormatting>
  <conditionalFormatting sqref="M5:M30">
    <cfRule type="expression" priority="6" aboveAverage="0" equalAverage="0" bottom="0" percent="0" rank="0" text="" dxfId="14">
      <formula>E5&lt;&gt;"MABE"</formula>
    </cfRule>
  </conditionalFormatting>
  <conditionalFormatting sqref="L5:L30">
    <cfRule type="expression" priority="7" aboveAverage="0" equalAverage="0" bottom="0" percent="0" rank="0" text="" dxfId="15">
      <formula>E5&lt;&gt;"MABE"</formula>
    </cfRule>
  </conditionalFormatting>
  <conditionalFormatting sqref="U5:U30">
    <cfRule type="expression" priority="8" aboveAverage="0" equalAverage="0" bottom="0" percent="0" rank="0" text="" dxfId="16">
      <formula>E5&lt;&gt;"MABE"</formula>
    </cfRule>
  </conditionalFormatting>
  <conditionalFormatting sqref="S5:S30">
    <cfRule type="expression" priority="9" aboveAverage="0" equalAverage="0" bottom="0" percent="0" rank="0" text="" dxfId="17">
      <formula>E5&lt;&gt;"MABE"</formula>
    </cfRule>
  </conditionalFormatting>
  <conditionalFormatting sqref="J5:J30">
    <cfRule type="expression" priority="10" aboveAverage="0" equalAverage="0" bottom="0" percent="0" rank="0" text="" dxfId="18">
      <formula>E5&lt;&gt;"MABE"</formula>
    </cfRule>
  </conditionalFormatting>
  <conditionalFormatting sqref="I5:I30">
    <cfRule type="expression" priority="11" aboveAverage="0" equalAverage="0" bottom="0" percent="0" rank="0" text="" dxfId="19">
      <formula>E5&lt;&gt;"MABE"</formula>
    </cfRule>
  </conditionalFormatting>
  <conditionalFormatting sqref="H5:H30">
    <cfRule type="expression" priority="12" aboveAverage="0" equalAverage="0" bottom="0" percent="0" rank="0" text="" dxfId="20">
      <formula>E5&lt;&gt;"MABE"</formula>
    </cfRule>
  </conditionalFormatting>
  <conditionalFormatting sqref="G5:G30">
    <cfRule type="expression" priority="13" aboveAverage="0" equalAverage="0" bottom="0" percent="0" rank="0" text="" dxfId="21">
      <formula>E5&lt;&gt;"MABE"</formula>
    </cfRule>
  </conditionalFormatting>
  <conditionalFormatting sqref="F5:F30">
    <cfRule type="expression" priority="14" aboveAverage="0" equalAverage="0" bottom="0" percent="0" rank="0" text="" dxfId="22">
      <formula>E5&lt;&gt;"MABE"</formula>
    </cfRule>
  </conditionalFormatting>
  <hyperlinks>
    <hyperlink ref="B1" location="'Tabla de Contenidos'!A1" display="Volver a Tabla de contenidos"/>
    <hyperlink ref="W1" location="'RESULTADO FINAL SOSTENIBILIDAD'!A1" display="Ir a Resultados Finales"/>
  </hyperlinks>
  <printOptions headings="false" gridLines="false" gridLinesSet="true" horizontalCentered="false" verticalCentered="false"/>
  <pageMargins left="0.511805555555556" right="0.118055555555556" top="0" bottom="0.157638888888889" header="0.511811023622047" footer="0.511811023622047"/>
  <pageSetup paperSize="5" scale="6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1B6FF"/>
    <pageSetUpPr fitToPage="false"/>
  </sheetPr>
  <dimension ref="A1:CF220"/>
  <sheetViews>
    <sheetView showFormulas="false" showGridLines="false" showRowColHeaders="true" showZeros="true" rightToLeft="false" tabSelected="false" showOutlineSymbols="true" defaultGridColor="true" view="normal" topLeftCell="M1" colorId="64" zoomScale="90" zoomScaleNormal="90" zoomScalePageLayoutView="100" workbookViewId="0">
      <selection pane="topLeft" activeCell="AE3" activeCellId="0" sqref="AE3"/>
    </sheetView>
  </sheetViews>
  <sheetFormatPr defaultColWidth="11.43359375" defaultRowHeight="16.5" customHeight="false" zeroHeight="false" outlineLevelRow="0" outlineLevelCol="0"/>
  <cols>
    <col collapsed="false" customWidth="false" hidden="false" outlineLevel="0" max="3" min="1" style="96" width="11.43"/>
    <col collapsed="false" customWidth="true" hidden="false" outlineLevel="0" max="4" min="4" style="527" width="24.14"/>
    <col collapsed="false" customWidth="true" hidden="false" outlineLevel="0" max="5" min="5" style="527" width="19.71"/>
    <col collapsed="false" customWidth="true" hidden="false" outlineLevel="0" max="6" min="6" style="527" width="6.85"/>
    <col collapsed="false" customWidth="true" hidden="false" outlineLevel="0" max="7" min="7" style="96" width="15.71"/>
    <col collapsed="false" customWidth="true" hidden="false" outlineLevel="0" max="8" min="8" style="96" width="19.14"/>
    <col collapsed="false" customWidth="true" hidden="false" outlineLevel="0" max="9" min="9" style="96" width="13.86"/>
    <col collapsed="false" customWidth="true" hidden="false" outlineLevel="0" max="10" min="10" style="97" width="6.57"/>
    <col collapsed="false" customWidth="true" hidden="false" outlineLevel="0" max="11" min="11" style="96" width="14.71"/>
    <col collapsed="false" customWidth="true" hidden="false" outlineLevel="0" max="12" min="12" style="96" width="17.29"/>
    <col collapsed="false" customWidth="true" hidden="false" outlineLevel="0" max="13" min="13" style="96" width="17.71"/>
    <col collapsed="false" customWidth="true" hidden="false" outlineLevel="0" max="14" min="14" style="96" width="14.71"/>
    <col collapsed="false" customWidth="true" hidden="false" outlineLevel="0" max="15" min="15" style="96" width="16"/>
    <col collapsed="false" customWidth="true" hidden="false" outlineLevel="0" max="16" min="16" style="96" width="15.29"/>
    <col collapsed="false" customWidth="true" hidden="false" outlineLevel="0" max="17" min="17" style="97" width="5"/>
    <col collapsed="false" customWidth="true" hidden="false" outlineLevel="0" max="18" min="18" style="96" width="23.42"/>
    <col collapsed="false" customWidth="true" hidden="false" outlineLevel="0" max="19" min="19" style="97" width="6.14"/>
    <col collapsed="false" customWidth="true" hidden="false" outlineLevel="0" max="20" min="20" style="99" width="16.43"/>
    <col collapsed="false" customWidth="true" hidden="false" outlineLevel="0" max="21" min="21" style="96" width="5.29"/>
    <col collapsed="false" customWidth="true" hidden="false" outlineLevel="0" max="22" min="22" style="96" width="24"/>
    <col collapsed="false" customWidth="true" hidden="false" outlineLevel="0" max="23" min="23" style="96" width="13.86"/>
    <col collapsed="false" customWidth="true" hidden="false" outlineLevel="0" max="24" min="24" style="96" width="14.86"/>
    <col collapsed="false" customWidth="true" hidden="false" outlineLevel="0" max="25" min="25" style="96" width="15.85"/>
    <col collapsed="false" customWidth="true" hidden="false" outlineLevel="0" max="26" min="26" style="96" width="16.14"/>
    <col collapsed="false" customWidth="true" hidden="false" outlineLevel="0" max="27" min="27" style="96" width="14.42"/>
    <col collapsed="false" customWidth="true" hidden="false" outlineLevel="0" max="28" min="28" style="96" width="16.14"/>
    <col collapsed="false" customWidth="true" hidden="false" outlineLevel="0" max="29" min="29" style="96" width="10.14"/>
    <col collapsed="false" customWidth="false" hidden="false" outlineLevel="0" max="31" min="30" style="96" width="11.43"/>
    <col collapsed="false" customWidth="true" hidden="false" outlineLevel="0" max="32" min="32" style="96" width="11.29"/>
    <col collapsed="false" customWidth="false" hidden="false" outlineLevel="0" max="36" min="33" style="96" width="11.43"/>
    <col collapsed="false" customWidth="true" hidden="false" outlineLevel="0" max="37" min="37" style="96" width="4.14"/>
    <col collapsed="false" customWidth="true" hidden="false" outlineLevel="0" max="38" min="38" style="96" width="16.14"/>
    <col collapsed="false" customWidth="true" hidden="false" outlineLevel="0" max="39" min="39" style="96" width="6"/>
    <col collapsed="false" customWidth="true" hidden="false" outlineLevel="0" max="40" min="40" style="96" width="14.86"/>
    <col collapsed="false" customWidth="true" hidden="false" outlineLevel="0" max="41" min="41" style="96" width="7.16"/>
    <col collapsed="false" customWidth="false" hidden="false" outlineLevel="0" max="16384" min="42" style="96" width="11.43"/>
  </cols>
  <sheetData>
    <row r="1" s="529" customFormat="true" ht="68.25" hidden="false" customHeight="true" outlineLevel="0" collapsed="false">
      <c r="A1" s="403"/>
      <c r="B1" s="188" t="s">
        <v>246</v>
      </c>
      <c r="C1" s="188"/>
      <c r="D1" s="528" t="s">
        <v>468</v>
      </c>
      <c r="E1" s="528"/>
      <c r="F1" s="528"/>
      <c r="G1" s="528"/>
      <c r="H1" s="528"/>
      <c r="I1" s="528"/>
      <c r="J1" s="528"/>
      <c r="K1" s="528"/>
      <c r="L1" s="528"/>
      <c r="M1" s="528"/>
      <c r="N1" s="528"/>
      <c r="O1" s="528"/>
      <c r="P1" s="528"/>
      <c r="Q1" s="528"/>
      <c r="R1" s="528"/>
      <c r="S1" s="528"/>
      <c r="T1" s="528"/>
      <c r="U1" s="528"/>
      <c r="V1" s="405" t="s">
        <v>176</v>
      </c>
    </row>
    <row r="2" s="529" customFormat="true" ht="55.5" hidden="false" customHeight="true" outlineLevel="0" collapsed="false">
      <c r="A2" s="530"/>
      <c r="B2" s="530"/>
      <c r="C2" s="530"/>
      <c r="D2" s="531"/>
      <c r="E2" s="531"/>
      <c r="F2" s="531"/>
      <c r="G2" s="531"/>
      <c r="H2" s="531"/>
      <c r="I2" s="531"/>
      <c r="J2" s="532" t="s">
        <v>469</v>
      </c>
      <c r="K2" s="532"/>
      <c r="L2" s="532"/>
      <c r="M2" s="532"/>
      <c r="N2" s="532"/>
      <c r="O2" s="532"/>
      <c r="P2" s="533" t="s">
        <v>470</v>
      </c>
      <c r="Q2" s="533"/>
      <c r="R2" s="533"/>
      <c r="S2" s="533"/>
      <c r="T2" s="533"/>
      <c r="U2" s="533"/>
    </row>
    <row r="3" s="110" customFormat="true" ht="22.5" hidden="false" customHeight="true" outlineLevel="0" collapsed="false">
      <c r="A3" s="534" t="s">
        <v>315</v>
      </c>
      <c r="B3" s="534" t="s">
        <v>17</v>
      </c>
      <c r="C3" s="534" t="s">
        <v>317</v>
      </c>
      <c r="D3" s="472" t="s">
        <v>318</v>
      </c>
      <c r="E3" s="472" t="s">
        <v>280</v>
      </c>
      <c r="F3" s="535" t="s">
        <v>471</v>
      </c>
      <c r="G3" s="504" t="s">
        <v>472</v>
      </c>
      <c r="H3" s="504"/>
      <c r="I3" s="504"/>
      <c r="J3" s="128" t="s">
        <v>64</v>
      </c>
      <c r="K3" s="536" t="s">
        <v>473</v>
      </c>
      <c r="L3" s="536"/>
      <c r="M3" s="536"/>
      <c r="N3" s="536"/>
      <c r="O3" s="536"/>
      <c r="P3" s="536"/>
      <c r="Q3" s="128" t="s">
        <v>65</v>
      </c>
      <c r="R3" s="537" t="s">
        <v>152</v>
      </c>
      <c r="S3" s="128" t="s">
        <v>66</v>
      </c>
      <c r="T3" s="536" t="s">
        <v>153</v>
      </c>
      <c r="U3" s="538" t="s">
        <v>67</v>
      </c>
      <c r="V3" s="504" t="s">
        <v>474</v>
      </c>
      <c r="W3" s="504"/>
      <c r="X3" s="504"/>
      <c r="Y3" s="504"/>
      <c r="Z3" s="504"/>
      <c r="AA3" s="504"/>
      <c r="AB3" s="505" t="s">
        <v>475</v>
      </c>
      <c r="AC3" s="539" t="s">
        <v>34</v>
      </c>
      <c r="AE3" s="540"/>
      <c r="AF3" s="540"/>
      <c r="AG3" s="540"/>
      <c r="AH3" s="540"/>
      <c r="AI3" s="540"/>
      <c r="AJ3" s="540"/>
      <c r="AK3" s="540"/>
      <c r="AL3" s="540"/>
      <c r="AM3" s="540"/>
      <c r="AN3" s="540"/>
      <c r="AO3" s="540"/>
    </row>
    <row r="4" s="543" customFormat="true" ht="116.25" hidden="false" customHeight="true" outlineLevel="0" collapsed="false">
      <c r="A4" s="534"/>
      <c r="B4" s="534"/>
      <c r="C4" s="534"/>
      <c r="D4" s="472"/>
      <c r="E4" s="472"/>
      <c r="F4" s="535"/>
      <c r="G4" s="163" t="s">
        <v>476</v>
      </c>
      <c r="H4" s="163" t="s">
        <v>477</v>
      </c>
      <c r="I4" s="541" t="s">
        <v>478</v>
      </c>
      <c r="J4" s="128"/>
      <c r="K4" s="510" t="s">
        <v>479</v>
      </c>
      <c r="L4" s="510" t="s">
        <v>480</v>
      </c>
      <c r="M4" s="542" t="s">
        <v>481</v>
      </c>
      <c r="N4" s="542" t="s">
        <v>482</v>
      </c>
      <c r="O4" s="510" t="s">
        <v>464</v>
      </c>
      <c r="P4" s="542" t="s">
        <v>465</v>
      </c>
      <c r="Q4" s="128"/>
      <c r="R4" s="541" t="s">
        <v>466</v>
      </c>
      <c r="S4" s="128"/>
      <c r="T4" s="542" t="s">
        <v>467</v>
      </c>
      <c r="U4" s="538"/>
      <c r="V4" s="541" t="s">
        <v>483</v>
      </c>
      <c r="W4" s="541" t="s">
        <v>484</v>
      </c>
      <c r="X4" s="541" t="s">
        <v>485</v>
      </c>
      <c r="Y4" s="541" t="s">
        <v>486</v>
      </c>
      <c r="Z4" s="541" t="s">
        <v>487</v>
      </c>
      <c r="AA4" s="541" t="s">
        <v>488</v>
      </c>
      <c r="AB4" s="505"/>
      <c r="AC4" s="539"/>
      <c r="AE4" s="544"/>
      <c r="AF4" s="544"/>
      <c r="AG4" s="544"/>
      <c r="AH4" s="544"/>
      <c r="AI4" s="544"/>
      <c r="AJ4" s="544"/>
      <c r="AK4" s="544"/>
      <c r="AL4" s="544"/>
      <c r="AM4" s="544"/>
      <c r="AN4" s="544"/>
      <c r="AO4" s="544"/>
    </row>
    <row r="5" customFormat="false" ht="27" hidden="false" customHeight="true" outlineLevel="0" collapsed="false">
      <c r="A5" s="545" t="str">
        <f aca="false">'Listado CAPS'!A3</f>
        <v>Madriz</v>
      </c>
      <c r="B5" s="545" t="str">
        <f aca="false">'Listado CAPS'!B3</f>
        <v>Yalaguina</v>
      </c>
      <c r="C5" s="545" t="str">
        <f aca="false">'Listado CAPS'!C3</f>
        <v>Los Encuentros</v>
      </c>
      <c r="D5" s="545" t="str">
        <f aca="false">'Listado CAPS'!D3</f>
        <v>Los Encuentros</v>
      </c>
      <c r="E5" s="545" t="str">
        <f aca="false">'Listado CAPS'!E3</f>
        <v>MAG</v>
      </c>
      <c r="F5" s="546"/>
      <c r="G5" s="119"/>
      <c r="H5" s="119"/>
      <c r="I5" s="119"/>
      <c r="J5" s="131" t="n">
        <f aca="false">IF(SUM(G5:I5)&gt;=2,1,0)</f>
        <v>0</v>
      </c>
      <c r="K5" s="126"/>
      <c r="L5" s="126"/>
      <c r="M5" s="126"/>
      <c r="N5" s="126"/>
      <c r="O5" s="126"/>
      <c r="P5" s="126"/>
      <c r="Q5" s="131" t="n">
        <f aca="false">IF(SUM(K5:P5)&gt;=4,1,0)</f>
        <v>0</v>
      </c>
      <c r="R5" s="126"/>
      <c r="S5" s="131" t="n">
        <f aca="false">+R5</f>
        <v>0</v>
      </c>
      <c r="T5" s="126"/>
      <c r="U5" s="131" t="n">
        <f aca="false">+T5</f>
        <v>0</v>
      </c>
      <c r="V5" s="109"/>
      <c r="W5" s="109"/>
      <c r="X5" s="109"/>
      <c r="Y5" s="109"/>
      <c r="Z5" s="109"/>
      <c r="AA5" s="109"/>
      <c r="AB5" s="131" t="n">
        <f aca="false">IF(SUM(V5:AA5)&gt;=4,1,0)</f>
        <v>0</v>
      </c>
      <c r="AC5" s="547" t="n">
        <f aca="false">IF(F5="PUESTOS PUBLICOS",SUM(J5*0.2+Q5*0.2+S5*0.2+U5*0.2+AB5*0.2),SUM(J5*0.25+Q5*0.25+S5*0.25+U5*0.25))</f>
        <v>0</v>
      </c>
    </row>
    <row r="6" customFormat="false" ht="32.25" hidden="false" customHeight="true" outlineLevel="0" collapsed="false">
      <c r="A6" s="545" t="n">
        <f aca="false">'Listado CAPS'!A4</f>
        <v>0</v>
      </c>
      <c r="B6" s="545" t="n">
        <f aca="false">'Listado CAPS'!B4</f>
        <v>0</v>
      </c>
      <c r="C6" s="545" t="n">
        <f aca="false">'Listado CAPS'!C4</f>
        <v>0</v>
      </c>
      <c r="D6" s="545" t="str">
        <f aca="false">'Listado CAPS'!D4</f>
        <v>B</v>
      </c>
      <c r="E6" s="545"/>
      <c r="F6" s="546"/>
      <c r="G6" s="119"/>
      <c r="H6" s="119"/>
      <c r="I6" s="119"/>
      <c r="J6" s="131" t="n">
        <f aca="false">IF(SUM(G6:I6)&gt;=2,1,0)</f>
        <v>0</v>
      </c>
      <c r="K6" s="126"/>
      <c r="L6" s="126"/>
      <c r="M6" s="126"/>
      <c r="N6" s="126"/>
      <c r="O6" s="126"/>
      <c r="P6" s="126"/>
      <c r="Q6" s="131" t="n">
        <f aca="false">IF(SUM(K6:P6)&gt;=4,1,0)</f>
        <v>0</v>
      </c>
      <c r="R6" s="126"/>
      <c r="S6" s="131" t="n">
        <f aca="false">+R6</f>
        <v>0</v>
      </c>
      <c r="T6" s="126"/>
      <c r="U6" s="131" t="n">
        <f aca="false">+T6</f>
        <v>0</v>
      </c>
      <c r="V6" s="109"/>
      <c r="W6" s="109"/>
      <c r="X6" s="109"/>
      <c r="Y6" s="109"/>
      <c r="Z6" s="109"/>
      <c r="AA6" s="109"/>
      <c r="AB6" s="131" t="n">
        <f aca="false">IF(SUM(V6:AA6)&gt;=4,1,0)</f>
        <v>0</v>
      </c>
      <c r="AC6" s="547" t="n">
        <f aca="false">IF(F6="PUESTOS PUBLICOS",SUM(J6*0.2+Q6*0.2+S6*0.2+U6*0.2+AB6*0.2),SUM(J6*0.25+Q6*0.25+S6*0.25+U6*0.25))</f>
        <v>0</v>
      </c>
    </row>
    <row r="7" customFormat="false" ht="27" hidden="false" customHeight="true" outlineLevel="0" collapsed="false">
      <c r="A7" s="545" t="n">
        <f aca="false">'Listado CAPS'!A5</f>
        <v>0</v>
      </c>
      <c r="B7" s="545" t="n">
        <f aca="false">'Listado CAPS'!B5</f>
        <v>0</v>
      </c>
      <c r="C7" s="545" t="n">
        <f aca="false">'Listado CAPS'!C5</f>
        <v>0</v>
      </c>
      <c r="D7" s="545" t="str">
        <f aca="false">'Listado CAPS'!D5</f>
        <v>C</v>
      </c>
      <c r="E7" s="545"/>
      <c r="F7" s="546"/>
      <c r="G7" s="119"/>
      <c r="H7" s="119"/>
      <c r="I7" s="119"/>
      <c r="J7" s="131" t="n">
        <f aca="false">IF(SUM(G7:I7)&gt;=2,1,0)</f>
        <v>0</v>
      </c>
      <c r="K7" s="126"/>
      <c r="L7" s="126"/>
      <c r="M7" s="126"/>
      <c r="N7" s="126"/>
      <c r="O7" s="126"/>
      <c r="P7" s="126"/>
      <c r="Q7" s="131" t="n">
        <f aca="false">IF(SUM(K7:P7)&gt;=4,1,0)</f>
        <v>0</v>
      </c>
      <c r="R7" s="126"/>
      <c r="S7" s="131" t="n">
        <f aca="false">+R7</f>
        <v>0</v>
      </c>
      <c r="T7" s="126"/>
      <c r="U7" s="131" t="n">
        <f aca="false">+T7</f>
        <v>0</v>
      </c>
      <c r="V7" s="109"/>
      <c r="W7" s="109"/>
      <c r="X7" s="109"/>
      <c r="Y7" s="109"/>
      <c r="Z7" s="109"/>
      <c r="AA7" s="109"/>
      <c r="AB7" s="131" t="n">
        <f aca="false">IF(SUM(V7:AA7)&gt;=4,1,0)</f>
        <v>0</v>
      </c>
      <c r="AC7" s="547" t="n">
        <f aca="false">IF(F7="PUESTOS PUBLICOS",SUM(J7*0.2+Q7*0.2+S7*0.2+U7*0.2+AB7*0.2),SUM(J7*0.25+Q7*0.25+S7*0.25+U7*0.25))</f>
        <v>0</v>
      </c>
    </row>
    <row r="8" s="548" customFormat="true" ht="27" hidden="false" customHeight="true" outlineLevel="0" collapsed="false">
      <c r="A8" s="545" t="n">
        <f aca="false">'Listado CAPS'!A6</f>
        <v>0</v>
      </c>
      <c r="B8" s="545" t="n">
        <f aca="false">'Listado CAPS'!B6</f>
        <v>0</v>
      </c>
      <c r="C8" s="545" t="n">
        <f aca="false">'Listado CAPS'!C6</f>
        <v>0</v>
      </c>
      <c r="D8" s="545" t="str">
        <f aca="false">'Listado CAPS'!D6</f>
        <v>D</v>
      </c>
      <c r="E8" s="545"/>
      <c r="F8" s="546"/>
      <c r="G8" s="119"/>
      <c r="H8" s="119"/>
      <c r="I8" s="119"/>
      <c r="J8" s="131" t="n">
        <f aca="false">IF(SUM(G8:I8)&gt;=2,1,0)</f>
        <v>0</v>
      </c>
      <c r="K8" s="126"/>
      <c r="L8" s="126"/>
      <c r="M8" s="126"/>
      <c r="N8" s="126"/>
      <c r="O8" s="126"/>
      <c r="P8" s="126"/>
      <c r="Q8" s="131" t="n">
        <f aca="false">IF(SUM(K8:P8)&gt;=4,1,0)</f>
        <v>0</v>
      </c>
      <c r="R8" s="126"/>
      <c r="S8" s="131" t="n">
        <f aca="false">+R8</f>
        <v>0</v>
      </c>
      <c r="T8" s="126"/>
      <c r="U8" s="131" t="n">
        <f aca="false">+T8</f>
        <v>0</v>
      </c>
      <c r="V8" s="109"/>
      <c r="W8" s="109"/>
      <c r="X8" s="109"/>
      <c r="Y8" s="109"/>
      <c r="Z8" s="109"/>
      <c r="AA8" s="109"/>
      <c r="AB8" s="131" t="n">
        <f aca="false">IF(SUM(V8:AA8)&gt;=4,1,0)</f>
        <v>0</v>
      </c>
      <c r="AC8" s="547" t="n">
        <f aca="false">IF(F8="PUESTOS PUBLICOS",SUM(J8*0.2+Q8*0.2+S8*0.2+U8*0.2+AB8*0.2),SUM(J8*0.25+Q8*0.25+S8*0.25+U8*0.25))</f>
        <v>0</v>
      </c>
      <c r="AD8" s="96"/>
      <c r="AE8" s="96"/>
      <c r="AF8" s="96"/>
      <c r="AG8" s="96"/>
      <c r="AH8" s="96"/>
      <c r="AI8" s="96"/>
      <c r="AJ8" s="96"/>
      <c r="AK8" s="96"/>
      <c r="AL8" s="96"/>
      <c r="AM8" s="96"/>
      <c r="AN8" s="96"/>
      <c r="AO8" s="96"/>
      <c r="AP8" s="96"/>
      <c r="AQ8" s="96"/>
      <c r="AR8" s="96"/>
      <c r="AS8" s="96"/>
      <c r="AT8" s="96"/>
      <c r="AU8" s="96"/>
      <c r="AV8" s="96"/>
      <c r="AW8" s="96"/>
      <c r="AX8" s="96"/>
      <c r="AY8" s="96"/>
      <c r="AZ8" s="96"/>
      <c r="BA8" s="96"/>
      <c r="BB8" s="96"/>
      <c r="BC8" s="96"/>
      <c r="BD8" s="96"/>
      <c r="BE8" s="96"/>
      <c r="BF8" s="96"/>
      <c r="BG8" s="96"/>
      <c r="BH8" s="96"/>
      <c r="BI8" s="96"/>
      <c r="BJ8" s="96"/>
      <c r="BK8" s="96"/>
      <c r="BL8" s="96"/>
      <c r="BM8" s="96"/>
      <c r="BN8" s="96"/>
      <c r="BO8" s="96"/>
      <c r="BP8" s="96"/>
      <c r="BQ8" s="96"/>
      <c r="BR8" s="96"/>
      <c r="BS8" s="96"/>
      <c r="BT8" s="96"/>
      <c r="BU8" s="96"/>
      <c r="BV8" s="96"/>
      <c r="BW8" s="96"/>
      <c r="BX8" s="96"/>
      <c r="BY8" s="96"/>
      <c r="BZ8" s="96"/>
      <c r="CA8" s="96"/>
      <c r="CB8" s="96"/>
      <c r="CC8" s="96"/>
      <c r="CD8" s="96"/>
      <c r="CE8" s="96"/>
      <c r="CF8" s="96"/>
    </row>
    <row r="9" s="548" customFormat="true" ht="27" hidden="false" customHeight="true" outlineLevel="0" collapsed="false">
      <c r="A9" s="545" t="n">
        <f aca="false">'Listado CAPS'!A7</f>
        <v>0</v>
      </c>
      <c r="B9" s="545" t="n">
        <f aca="false">'Listado CAPS'!B7</f>
        <v>0</v>
      </c>
      <c r="C9" s="545" t="n">
        <f aca="false">'Listado CAPS'!C7</f>
        <v>0</v>
      </c>
      <c r="D9" s="545" t="str">
        <f aca="false">'Listado CAPS'!D7</f>
        <v>E</v>
      </c>
      <c r="E9" s="545"/>
      <c r="F9" s="546"/>
      <c r="G9" s="119"/>
      <c r="H9" s="119"/>
      <c r="I9" s="119"/>
      <c r="J9" s="131" t="n">
        <f aca="false">IF(SUM(G9:I9)&gt;=2,1,0)</f>
        <v>0</v>
      </c>
      <c r="K9" s="126"/>
      <c r="L9" s="126"/>
      <c r="M9" s="126"/>
      <c r="N9" s="126"/>
      <c r="O9" s="126"/>
      <c r="P9" s="126"/>
      <c r="Q9" s="131" t="n">
        <f aca="false">IF(SUM(K9:P9)&gt;=4,1,0)</f>
        <v>0</v>
      </c>
      <c r="R9" s="126"/>
      <c r="S9" s="131" t="n">
        <f aca="false">+R9</f>
        <v>0</v>
      </c>
      <c r="T9" s="126"/>
      <c r="U9" s="131" t="n">
        <f aca="false">+T9</f>
        <v>0</v>
      </c>
      <c r="V9" s="109"/>
      <c r="W9" s="109"/>
      <c r="X9" s="109"/>
      <c r="Y9" s="109"/>
      <c r="Z9" s="109"/>
      <c r="AA9" s="109"/>
      <c r="AB9" s="131" t="n">
        <f aca="false">IF(SUM(V9:AA9)&gt;=4,1,0)</f>
        <v>0</v>
      </c>
      <c r="AC9" s="547" t="n">
        <f aca="false">IF(F9="PUESTOS PUBLICOS",SUM(J9*0.2+Q9*0.2+S9*0.2+U9*0.2+AB9*0.2),SUM(J9*0.25+Q9*0.25+S9*0.25+U9*0.25))</f>
        <v>0</v>
      </c>
      <c r="AD9" s="96"/>
      <c r="AE9" s="96"/>
      <c r="AF9" s="96"/>
      <c r="AG9" s="96"/>
      <c r="AH9" s="96"/>
      <c r="AI9" s="96"/>
      <c r="AJ9" s="96"/>
      <c r="AK9" s="96"/>
      <c r="AL9" s="96"/>
      <c r="AM9" s="96"/>
      <c r="AN9" s="96"/>
      <c r="AO9" s="96"/>
      <c r="AP9" s="96"/>
      <c r="AQ9" s="96"/>
      <c r="AR9" s="96"/>
      <c r="AS9" s="96"/>
      <c r="AT9" s="96"/>
      <c r="AU9" s="96"/>
      <c r="AV9" s="96"/>
      <c r="AW9" s="96"/>
      <c r="AX9" s="96"/>
      <c r="AY9" s="96"/>
      <c r="AZ9" s="96"/>
      <c r="BA9" s="96"/>
      <c r="BB9" s="96"/>
      <c r="BC9" s="96"/>
      <c r="BD9" s="96"/>
      <c r="BE9" s="96"/>
      <c r="BF9" s="96"/>
      <c r="BG9" s="96"/>
      <c r="BH9" s="96"/>
      <c r="BI9" s="96"/>
      <c r="BJ9" s="96"/>
      <c r="BK9" s="96"/>
      <c r="BL9" s="96"/>
      <c r="BM9" s="96"/>
      <c r="BN9" s="96"/>
      <c r="BO9" s="96"/>
      <c r="BP9" s="96"/>
      <c r="BQ9" s="96"/>
      <c r="BR9" s="96"/>
      <c r="BS9" s="96"/>
      <c r="BT9" s="96"/>
      <c r="BU9" s="96"/>
      <c r="BV9" s="96"/>
      <c r="BW9" s="96"/>
      <c r="BX9" s="96"/>
      <c r="BY9" s="96"/>
      <c r="BZ9" s="96"/>
      <c r="CA9" s="96"/>
      <c r="CB9" s="96"/>
      <c r="CC9" s="96"/>
      <c r="CD9" s="96"/>
      <c r="CE9" s="96"/>
      <c r="CF9" s="96"/>
    </row>
    <row r="10" s="549" customFormat="true" ht="27" hidden="false" customHeight="true" outlineLevel="0" collapsed="false">
      <c r="A10" s="545" t="n">
        <f aca="false">'Listado CAPS'!A8</f>
        <v>0</v>
      </c>
      <c r="B10" s="545" t="n">
        <f aca="false">'Listado CAPS'!B8</f>
        <v>0</v>
      </c>
      <c r="C10" s="545" t="n">
        <f aca="false">'Listado CAPS'!C8</f>
        <v>0</v>
      </c>
      <c r="D10" s="545" t="str">
        <f aca="false">'Listado CAPS'!D8</f>
        <v>F</v>
      </c>
      <c r="E10" s="545"/>
      <c r="F10" s="546"/>
      <c r="G10" s="119"/>
      <c r="H10" s="119"/>
      <c r="I10" s="119"/>
      <c r="J10" s="131" t="n">
        <f aca="false">IF(SUM(G10:I10)&gt;=2,1,0)</f>
        <v>0</v>
      </c>
      <c r="K10" s="126"/>
      <c r="L10" s="126"/>
      <c r="M10" s="126"/>
      <c r="N10" s="126"/>
      <c r="O10" s="126"/>
      <c r="P10" s="126"/>
      <c r="Q10" s="131" t="n">
        <f aca="false">IF(SUM(K10:P10)&gt;=4,1,0)</f>
        <v>0</v>
      </c>
      <c r="R10" s="126"/>
      <c r="S10" s="131" t="n">
        <f aca="false">+R10</f>
        <v>0</v>
      </c>
      <c r="T10" s="126"/>
      <c r="U10" s="131" t="n">
        <f aca="false">+T10</f>
        <v>0</v>
      </c>
      <c r="V10" s="109"/>
      <c r="W10" s="109"/>
      <c r="X10" s="109"/>
      <c r="Y10" s="109"/>
      <c r="Z10" s="109"/>
      <c r="AA10" s="109"/>
      <c r="AB10" s="131" t="n">
        <f aca="false">IF(SUM(V10:AA10)&gt;=4,1,0)</f>
        <v>0</v>
      </c>
      <c r="AC10" s="547" t="n">
        <f aca="false">IF(F10="PUESTOS PUBLICOS",SUM(J10*0.2+Q10*0.2+S10*0.2+U10*0.2+AB10*0.2),SUM(J10*0.25+Q10*0.25+S10*0.25+U10*0.25))</f>
        <v>0</v>
      </c>
    </row>
    <row r="11" customFormat="false" ht="27" hidden="false" customHeight="true" outlineLevel="0" collapsed="false">
      <c r="A11" s="545" t="n">
        <f aca="false">'Listado CAPS'!A9</f>
        <v>0</v>
      </c>
      <c r="B11" s="545" t="n">
        <f aca="false">'Listado CAPS'!B9</f>
        <v>0</v>
      </c>
      <c r="C11" s="545" t="n">
        <f aca="false">'Listado CAPS'!C9</f>
        <v>0</v>
      </c>
      <c r="D11" s="545" t="str">
        <f aca="false">'Listado CAPS'!D9</f>
        <v>G</v>
      </c>
      <c r="E11" s="545"/>
      <c r="F11" s="546"/>
      <c r="G11" s="119"/>
      <c r="H11" s="119"/>
      <c r="I11" s="119"/>
      <c r="J11" s="131" t="n">
        <f aca="false">IF(SUM(G11:I11)&gt;=2,1,0)</f>
        <v>0</v>
      </c>
      <c r="K11" s="126"/>
      <c r="L11" s="126"/>
      <c r="M11" s="126"/>
      <c r="N11" s="126"/>
      <c r="O11" s="126"/>
      <c r="P11" s="126"/>
      <c r="Q11" s="131" t="n">
        <f aca="false">IF(SUM(K11:P11)&gt;=4,1,0)</f>
        <v>0</v>
      </c>
      <c r="R11" s="126"/>
      <c r="S11" s="131" t="n">
        <f aca="false">+R11</f>
        <v>0</v>
      </c>
      <c r="T11" s="126"/>
      <c r="U11" s="131" t="n">
        <f aca="false">+T11</f>
        <v>0</v>
      </c>
      <c r="V11" s="109"/>
      <c r="W11" s="109"/>
      <c r="X11" s="109"/>
      <c r="Y11" s="109"/>
      <c r="Z11" s="109"/>
      <c r="AA11" s="109"/>
      <c r="AB11" s="131" t="n">
        <f aca="false">IF(SUM(V11:AA11)&gt;=4,1,0)</f>
        <v>0</v>
      </c>
      <c r="AC11" s="547" t="n">
        <f aca="false">IF(F11="PUESTOS PUBLICOS",SUM(J11*0.2+Q11*0.2+S11*0.2+U11*0.2+AB11*0.2),SUM(J11*0.25+Q11*0.25+S11*0.25+U11*0.25))</f>
        <v>0</v>
      </c>
    </row>
    <row r="12" customFormat="false" ht="27" hidden="false" customHeight="true" outlineLevel="0" collapsed="false">
      <c r="A12" s="545" t="n">
        <f aca="false">'Listado CAPS'!A10</f>
        <v>0</v>
      </c>
      <c r="B12" s="545" t="n">
        <f aca="false">'Listado CAPS'!B10</f>
        <v>0</v>
      </c>
      <c r="C12" s="545" t="n">
        <f aca="false">'Listado CAPS'!C10</f>
        <v>0</v>
      </c>
      <c r="D12" s="545" t="str">
        <f aca="false">'Listado CAPS'!D10</f>
        <v>H</v>
      </c>
      <c r="E12" s="545"/>
      <c r="F12" s="546"/>
      <c r="G12" s="119"/>
      <c r="H12" s="119"/>
      <c r="I12" s="119"/>
      <c r="J12" s="131" t="n">
        <f aca="false">IF(SUM(G12:I12)&gt;=2,1,0)</f>
        <v>0</v>
      </c>
      <c r="K12" s="126"/>
      <c r="L12" s="126"/>
      <c r="M12" s="126"/>
      <c r="N12" s="126"/>
      <c r="O12" s="126"/>
      <c r="P12" s="126"/>
      <c r="Q12" s="131" t="n">
        <f aca="false">IF(SUM(K12:P12)&gt;=4,1,0)</f>
        <v>0</v>
      </c>
      <c r="R12" s="126"/>
      <c r="S12" s="131" t="n">
        <f aca="false">+R12</f>
        <v>0</v>
      </c>
      <c r="T12" s="126"/>
      <c r="U12" s="131" t="n">
        <f aca="false">+T12</f>
        <v>0</v>
      </c>
      <c r="V12" s="109"/>
      <c r="W12" s="109"/>
      <c r="X12" s="109"/>
      <c r="Y12" s="109"/>
      <c r="Z12" s="109"/>
      <c r="AA12" s="109"/>
      <c r="AB12" s="131" t="n">
        <f aca="false">IF(SUM(V12:AA12)&gt;=4,1,0)</f>
        <v>0</v>
      </c>
      <c r="AC12" s="547" t="n">
        <f aca="false">IF(F12="PUESTOS PUBLICOS",SUM(J12*0.2+Q12*0.2+S12*0.2+U12*0.2+AB12*0.2),SUM(J12*0.25+Q12*0.25+S12*0.25+U12*0.25))</f>
        <v>0</v>
      </c>
    </row>
    <row r="13" customFormat="false" ht="27" hidden="false" customHeight="true" outlineLevel="0" collapsed="false">
      <c r="A13" s="545" t="n">
        <f aca="false">'Listado CAPS'!A11</f>
        <v>0</v>
      </c>
      <c r="B13" s="545" t="n">
        <f aca="false">'Listado CAPS'!B11</f>
        <v>0</v>
      </c>
      <c r="C13" s="545" t="n">
        <f aca="false">'Listado CAPS'!C11</f>
        <v>0</v>
      </c>
      <c r="D13" s="545" t="str">
        <f aca="false">'Listado CAPS'!D11</f>
        <v>I</v>
      </c>
      <c r="E13" s="545"/>
      <c r="F13" s="546"/>
      <c r="G13" s="119"/>
      <c r="H13" s="119"/>
      <c r="I13" s="119"/>
      <c r="J13" s="131" t="n">
        <f aca="false">IF(SUM(G13:I13)&gt;=2,1,0)</f>
        <v>0</v>
      </c>
      <c r="K13" s="126"/>
      <c r="L13" s="126"/>
      <c r="M13" s="126"/>
      <c r="N13" s="126"/>
      <c r="O13" s="126"/>
      <c r="P13" s="126"/>
      <c r="Q13" s="131" t="n">
        <f aca="false">IF(SUM(K13:P13)&gt;=4,1,0)</f>
        <v>0</v>
      </c>
      <c r="R13" s="126"/>
      <c r="S13" s="131" t="n">
        <f aca="false">+R13</f>
        <v>0</v>
      </c>
      <c r="T13" s="126"/>
      <c r="U13" s="131" t="n">
        <f aca="false">+T13</f>
        <v>0</v>
      </c>
      <c r="V13" s="109"/>
      <c r="W13" s="109"/>
      <c r="X13" s="109"/>
      <c r="Y13" s="109"/>
      <c r="Z13" s="109"/>
      <c r="AA13" s="109"/>
      <c r="AB13" s="131" t="n">
        <f aca="false">IF(SUM(V13:AA13)&gt;=4,1,0)</f>
        <v>0</v>
      </c>
      <c r="AC13" s="547" t="n">
        <f aca="false">IF(F13="PUESTOS PUBLICOS",SUM(J13*0.2+Q13*0.2+S13*0.2+U13*0.2+AB13*0.2),SUM(J13*0.25+Q13*0.25+S13*0.25+U13*0.25))</f>
        <v>0</v>
      </c>
    </row>
    <row r="14" customFormat="false" ht="27" hidden="false" customHeight="true" outlineLevel="0" collapsed="false">
      <c r="A14" s="545" t="n">
        <f aca="false">'Listado CAPS'!A12</f>
        <v>0</v>
      </c>
      <c r="B14" s="545" t="n">
        <f aca="false">'Listado CAPS'!B12</f>
        <v>0</v>
      </c>
      <c r="C14" s="545" t="n">
        <f aca="false">'Listado CAPS'!C12</f>
        <v>0</v>
      </c>
      <c r="D14" s="545" t="str">
        <f aca="false">'Listado CAPS'!D12</f>
        <v>J</v>
      </c>
      <c r="E14" s="545"/>
      <c r="F14" s="546"/>
      <c r="G14" s="119"/>
      <c r="H14" s="119"/>
      <c r="I14" s="119"/>
      <c r="J14" s="131" t="n">
        <f aca="false">IF(SUM(G14:I14)&gt;=2,1,0)</f>
        <v>0</v>
      </c>
      <c r="K14" s="126"/>
      <c r="L14" s="126"/>
      <c r="M14" s="126"/>
      <c r="N14" s="126"/>
      <c r="O14" s="126"/>
      <c r="P14" s="126"/>
      <c r="Q14" s="131" t="n">
        <f aca="false">IF(SUM(K14:P14)&gt;=4,1,0)</f>
        <v>0</v>
      </c>
      <c r="R14" s="126"/>
      <c r="S14" s="131" t="n">
        <f aca="false">+R14</f>
        <v>0</v>
      </c>
      <c r="T14" s="126"/>
      <c r="U14" s="131" t="n">
        <f aca="false">+T14</f>
        <v>0</v>
      </c>
      <c r="V14" s="109"/>
      <c r="W14" s="109"/>
      <c r="X14" s="109"/>
      <c r="Y14" s="109"/>
      <c r="Z14" s="109"/>
      <c r="AA14" s="109"/>
      <c r="AB14" s="131" t="n">
        <f aca="false">IF(SUM(V14:AA14)&gt;=4,1,0)</f>
        <v>0</v>
      </c>
      <c r="AC14" s="547" t="n">
        <f aca="false">IF(F14="PUESTOS PUBLICOS",SUM(J14*0.2+Q14*0.2+S14*0.2+U14*0.2+AB14*0.2),SUM(J14*0.25+Q14*0.25+S14*0.25+U14*0.25))</f>
        <v>0</v>
      </c>
    </row>
    <row r="15" customFormat="false" ht="27" hidden="false" customHeight="true" outlineLevel="0" collapsed="false">
      <c r="A15" s="545" t="n">
        <f aca="false">'Listado CAPS'!A13</f>
        <v>0</v>
      </c>
      <c r="B15" s="545" t="n">
        <f aca="false">'Listado CAPS'!B13</f>
        <v>0</v>
      </c>
      <c r="C15" s="545" t="n">
        <f aca="false">'Listado CAPS'!C13</f>
        <v>0</v>
      </c>
      <c r="D15" s="545" t="str">
        <f aca="false">'Listado CAPS'!D13</f>
        <v>K</v>
      </c>
      <c r="E15" s="545"/>
      <c r="F15" s="546"/>
      <c r="G15" s="119"/>
      <c r="H15" s="119"/>
      <c r="I15" s="119"/>
      <c r="J15" s="131" t="n">
        <f aca="false">IF(SUM(G15:I15)&gt;=2,1,0)</f>
        <v>0</v>
      </c>
      <c r="K15" s="126"/>
      <c r="L15" s="126"/>
      <c r="M15" s="126"/>
      <c r="N15" s="126"/>
      <c r="O15" s="126"/>
      <c r="P15" s="126"/>
      <c r="Q15" s="131" t="n">
        <f aca="false">IF(SUM(K15:P15)&gt;=4,1,0)</f>
        <v>0</v>
      </c>
      <c r="R15" s="126"/>
      <c r="S15" s="131" t="n">
        <f aca="false">+R15</f>
        <v>0</v>
      </c>
      <c r="T15" s="126"/>
      <c r="U15" s="131" t="n">
        <f aca="false">+T15</f>
        <v>0</v>
      </c>
      <c r="V15" s="109"/>
      <c r="W15" s="109"/>
      <c r="X15" s="109"/>
      <c r="Y15" s="109"/>
      <c r="Z15" s="109"/>
      <c r="AA15" s="109"/>
      <c r="AB15" s="131" t="n">
        <f aca="false">IF(SUM(V15:AA15)&gt;=4,1,0)</f>
        <v>0</v>
      </c>
      <c r="AC15" s="547" t="n">
        <f aca="false">IF(F15="PUESTOS PUBLICOS",SUM(J15*0.2+Q15*0.2+S15*0.2+U15*0.2+AB15*0.2),SUM(J15*0.25+Q15*0.25+S15*0.25+U15*0.25))</f>
        <v>0</v>
      </c>
    </row>
    <row r="16" customFormat="false" ht="27" hidden="false" customHeight="true" outlineLevel="0" collapsed="false">
      <c r="A16" s="545" t="n">
        <f aca="false">'Listado CAPS'!A14</f>
        <v>0</v>
      </c>
      <c r="B16" s="545" t="n">
        <f aca="false">'Listado CAPS'!B14</f>
        <v>0</v>
      </c>
      <c r="C16" s="545" t="n">
        <f aca="false">'Listado CAPS'!C14</f>
        <v>0</v>
      </c>
      <c r="D16" s="545" t="str">
        <f aca="false">'Listado CAPS'!D14</f>
        <v>L</v>
      </c>
      <c r="E16" s="545"/>
      <c r="F16" s="546"/>
      <c r="G16" s="119"/>
      <c r="H16" s="119"/>
      <c r="I16" s="119"/>
      <c r="J16" s="131" t="n">
        <f aca="false">IF(SUM(G16:I16)&gt;=2,1,0)</f>
        <v>0</v>
      </c>
      <c r="K16" s="126"/>
      <c r="L16" s="126"/>
      <c r="M16" s="126"/>
      <c r="N16" s="126"/>
      <c r="O16" s="126"/>
      <c r="P16" s="126"/>
      <c r="Q16" s="131" t="n">
        <f aca="false">IF(SUM(K16:P16)&gt;=4,1,0)</f>
        <v>0</v>
      </c>
      <c r="R16" s="126"/>
      <c r="S16" s="131" t="n">
        <f aca="false">+R16</f>
        <v>0</v>
      </c>
      <c r="T16" s="126"/>
      <c r="U16" s="131" t="n">
        <f aca="false">+T16</f>
        <v>0</v>
      </c>
      <c r="V16" s="109"/>
      <c r="W16" s="109"/>
      <c r="X16" s="109"/>
      <c r="Y16" s="109"/>
      <c r="Z16" s="109"/>
      <c r="AA16" s="109"/>
      <c r="AB16" s="131" t="n">
        <f aca="false">IF(SUM(V16:AA16)&gt;=4,1,0)</f>
        <v>0</v>
      </c>
      <c r="AC16" s="547" t="n">
        <f aca="false">IF(F16="PUESTOS PUBLICOS",SUM(J16*0.2+Q16*0.2+S16*0.2+U16*0.2+AB16*0.2),SUM(J16*0.25+Q16*0.25+S16*0.25+U16*0.25))</f>
        <v>0</v>
      </c>
    </row>
    <row r="17" customFormat="false" ht="27" hidden="false" customHeight="true" outlineLevel="0" collapsed="false">
      <c r="A17" s="545" t="n">
        <f aca="false">'Listado CAPS'!A15</f>
        <v>0</v>
      </c>
      <c r="B17" s="545" t="n">
        <f aca="false">'Listado CAPS'!B15</f>
        <v>0</v>
      </c>
      <c r="C17" s="545" t="n">
        <f aca="false">'Listado CAPS'!C15</f>
        <v>0</v>
      </c>
      <c r="D17" s="545" t="str">
        <f aca="false">'Listado CAPS'!D15</f>
        <v>M</v>
      </c>
      <c r="E17" s="545"/>
      <c r="F17" s="546"/>
      <c r="G17" s="119"/>
      <c r="H17" s="119"/>
      <c r="I17" s="119"/>
      <c r="J17" s="131" t="n">
        <f aca="false">IF(SUM(G17:I17)&gt;=2,1,0)</f>
        <v>0</v>
      </c>
      <c r="K17" s="126"/>
      <c r="L17" s="126"/>
      <c r="M17" s="126"/>
      <c r="N17" s="126"/>
      <c r="O17" s="126"/>
      <c r="P17" s="126"/>
      <c r="Q17" s="131" t="n">
        <f aca="false">IF(SUM(K17:P17)&gt;=4,1,0)</f>
        <v>0</v>
      </c>
      <c r="R17" s="126"/>
      <c r="S17" s="131" t="n">
        <f aca="false">+R17</f>
        <v>0</v>
      </c>
      <c r="T17" s="126"/>
      <c r="U17" s="131" t="n">
        <f aca="false">+T17</f>
        <v>0</v>
      </c>
      <c r="V17" s="109"/>
      <c r="W17" s="109"/>
      <c r="X17" s="109"/>
      <c r="Y17" s="109"/>
      <c r="Z17" s="109"/>
      <c r="AA17" s="109"/>
      <c r="AB17" s="131" t="n">
        <f aca="false">IF(SUM(V17:AA17)&gt;=4,1,0)</f>
        <v>0</v>
      </c>
      <c r="AC17" s="547" t="n">
        <f aca="false">IF(F17="PUESTOS PUBLICOS",SUM(J17*0.2+Q17*0.2+S17*0.2+U17*0.2+AB17*0.2),SUM(J17*0.25+Q17*0.25+S17*0.25+U17*0.25))</f>
        <v>0</v>
      </c>
    </row>
    <row r="18" customFormat="false" ht="27" hidden="false" customHeight="true" outlineLevel="0" collapsed="false">
      <c r="A18" s="545" t="n">
        <f aca="false">'Listado CAPS'!A16</f>
        <v>0</v>
      </c>
      <c r="B18" s="545" t="n">
        <f aca="false">'Listado CAPS'!B16</f>
        <v>0</v>
      </c>
      <c r="C18" s="545" t="n">
        <f aca="false">'Listado CAPS'!C16</f>
        <v>0</v>
      </c>
      <c r="D18" s="545" t="str">
        <f aca="false">'Listado CAPS'!D16</f>
        <v>N</v>
      </c>
      <c r="E18" s="545"/>
      <c r="F18" s="546"/>
      <c r="G18" s="119"/>
      <c r="H18" s="119"/>
      <c r="I18" s="119"/>
      <c r="J18" s="131" t="n">
        <f aca="false">IF(SUM(G18:I18)&gt;=2,1,0)</f>
        <v>0</v>
      </c>
      <c r="K18" s="126"/>
      <c r="L18" s="126"/>
      <c r="M18" s="126"/>
      <c r="N18" s="126"/>
      <c r="O18" s="126"/>
      <c r="P18" s="126"/>
      <c r="Q18" s="131" t="n">
        <f aca="false">IF(SUM(K18:P18)&gt;=4,1,0)</f>
        <v>0</v>
      </c>
      <c r="R18" s="126"/>
      <c r="S18" s="131" t="n">
        <f aca="false">+R18</f>
        <v>0</v>
      </c>
      <c r="T18" s="126"/>
      <c r="U18" s="131" t="n">
        <f aca="false">+T18</f>
        <v>0</v>
      </c>
      <c r="V18" s="109"/>
      <c r="W18" s="109"/>
      <c r="X18" s="109"/>
      <c r="Y18" s="109"/>
      <c r="Z18" s="109"/>
      <c r="AA18" s="109"/>
      <c r="AB18" s="131" t="n">
        <f aca="false">IF(SUM(V18:AA18)&gt;=4,1,0)</f>
        <v>0</v>
      </c>
      <c r="AC18" s="547" t="n">
        <f aca="false">IF(F18="PUESTOS PUBLICOS",SUM(J18*0.2+Q18*0.2+S18*0.2+U18*0.2+AB18*0.2),SUM(J18*0.25+Q18*0.25+S18*0.25+U18*0.25))</f>
        <v>0</v>
      </c>
    </row>
    <row r="19" customFormat="false" ht="27" hidden="false" customHeight="true" outlineLevel="0" collapsed="false">
      <c r="A19" s="545" t="n">
        <f aca="false">'Listado CAPS'!A17</f>
        <v>0</v>
      </c>
      <c r="B19" s="545" t="n">
        <f aca="false">'Listado CAPS'!B17</f>
        <v>0</v>
      </c>
      <c r="C19" s="545" t="n">
        <f aca="false">'Listado CAPS'!C17</f>
        <v>0</v>
      </c>
      <c r="D19" s="545" t="str">
        <f aca="false">'Listado CAPS'!D17</f>
        <v>Ñ</v>
      </c>
      <c r="E19" s="545"/>
      <c r="F19" s="546"/>
      <c r="G19" s="119"/>
      <c r="H19" s="119"/>
      <c r="I19" s="119"/>
      <c r="J19" s="131" t="n">
        <f aca="false">IF(SUM(G19:I19)&gt;=2,1,0)</f>
        <v>0</v>
      </c>
      <c r="K19" s="126"/>
      <c r="L19" s="126"/>
      <c r="M19" s="126"/>
      <c r="N19" s="126"/>
      <c r="O19" s="126"/>
      <c r="P19" s="126"/>
      <c r="Q19" s="131" t="n">
        <f aca="false">IF(SUM(K19:P19)&gt;=4,1,0)</f>
        <v>0</v>
      </c>
      <c r="R19" s="126"/>
      <c r="S19" s="131" t="n">
        <f aca="false">+R19</f>
        <v>0</v>
      </c>
      <c r="T19" s="126"/>
      <c r="U19" s="131" t="n">
        <f aca="false">+T19</f>
        <v>0</v>
      </c>
      <c r="V19" s="109"/>
      <c r="W19" s="109"/>
      <c r="X19" s="109"/>
      <c r="Y19" s="109"/>
      <c r="Z19" s="109"/>
      <c r="AA19" s="109"/>
      <c r="AB19" s="131" t="n">
        <f aca="false">IF(SUM(V19:AA19)&gt;=4,1,0)</f>
        <v>0</v>
      </c>
      <c r="AC19" s="547" t="n">
        <f aca="false">IF(F19="PUESTOS PUBLICOS",SUM(J19*0.2+Q19*0.2+S19*0.2+U19*0.2+AB19*0.2),SUM(J19*0.25+Q19*0.25+S19*0.25+U19*0.25))</f>
        <v>0</v>
      </c>
    </row>
    <row r="20" customFormat="false" ht="27" hidden="false" customHeight="true" outlineLevel="0" collapsed="false">
      <c r="A20" s="545" t="n">
        <f aca="false">'Listado CAPS'!A18</f>
        <v>0</v>
      </c>
      <c r="B20" s="545" t="n">
        <f aca="false">'Listado CAPS'!B18</f>
        <v>0</v>
      </c>
      <c r="C20" s="545" t="n">
        <f aca="false">'Listado CAPS'!C18</f>
        <v>0</v>
      </c>
      <c r="D20" s="545" t="str">
        <f aca="false">'Listado CAPS'!D18</f>
        <v>O</v>
      </c>
      <c r="E20" s="545"/>
      <c r="F20" s="546"/>
      <c r="G20" s="119"/>
      <c r="H20" s="119"/>
      <c r="I20" s="119"/>
      <c r="J20" s="131" t="n">
        <f aca="false">IF(SUM(G20:I20)&gt;=2,1,0)</f>
        <v>0</v>
      </c>
      <c r="K20" s="126"/>
      <c r="L20" s="126"/>
      <c r="M20" s="126"/>
      <c r="N20" s="126"/>
      <c r="O20" s="126"/>
      <c r="P20" s="126"/>
      <c r="Q20" s="131" t="n">
        <f aca="false">IF(SUM(K20:P20)&gt;=4,1,0)</f>
        <v>0</v>
      </c>
      <c r="R20" s="126"/>
      <c r="S20" s="131" t="n">
        <f aca="false">+R20</f>
        <v>0</v>
      </c>
      <c r="T20" s="126"/>
      <c r="U20" s="131" t="n">
        <f aca="false">+T20</f>
        <v>0</v>
      </c>
      <c r="V20" s="109"/>
      <c r="W20" s="109"/>
      <c r="X20" s="109"/>
      <c r="Y20" s="109"/>
      <c r="Z20" s="109"/>
      <c r="AA20" s="109"/>
      <c r="AB20" s="131" t="n">
        <f aca="false">IF(SUM(V20:AA20)&gt;=4,1,0)</f>
        <v>0</v>
      </c>
      <c r="AC20" s="547" t="n">
        <f aca="false">IF(F20="PUESTOS PUBLICOS",SUM(J20*0.2+Q20*0.2+S20*0.2+U20*0.2+AB20*0.2),SUM(J20*0.25+Q20*0.25+S20*0.25+U20*0.25))</f>
        <v>0</v>
      </c>
    </row>
    <row r="21" customFormat="false" ht="27" hidden="false" customHeight="true" outlineLevel="0" collapsed="false">
      <c r="A21" s="545" t="n">
        <f aca="false">'Listado CAPS'!A19</f>
        <v>0</v>
      </c>
      <c r="B21" s="545" t="n">
        <f aca="false">'Listado CAPS'!B19</f>
        <v>0</v>
      </c>
      <c r="C21" s="545" t="n">
        <f aca="false">'Listado CAPS'!C19</f>
        <v>0</v>
      </c>
      <c r="D21" s="545" t="str">
        <f aca="false">'Listado CAPS'!D19</f>
        <v>P</v>
      </c>
      <c r="E21" s="545"/>
      <c r="F21" s="546"/>
      <c r="G21" s="119"/>
      <c r="H21" s="119"/>
      <c r="I21" s="119"/>
      <c r="J21" s="131" t="n">
        <f aca="false">IF(SUM(G21:I21)&gt;=2,1,0)</f>
        <v>0</v>
      </c>
      <c r="K21" s="126"/>
      <c r="L21" s="126"/>
      <c r="M21" s="126"/>
      <c r="N21" s="126"/>
      <c r="O21" s="126"/>
      <c r="P21" s="126"/>
      <c r="Q21" s="131" t="n">
        <f aca="false">IF(SUM(K21:P21)&gt;=4,1,0)</f>
        <v>0</v>
      </c>
      <c r="R21" s="126"/>
      <c r="S21" s="131" t="n">
        <f aca="false">+R21</f>
        <v>0</v>
      </c>
      <c r="T21" s="126"/>
      <c r="U21" s="131" t="n">
        <f aca="false">+T21</f>
        <v>0</v>
      </c>
      <c r="V21" s="109"/>
      <c r="W21" s="109"/>
      <c r="X21" s="109"/>
      <c r="Y21" s="109"/>
      <c r="Z21" s="109"/>
      <c r="AA21" s="109"/>
      <c r="AB21" s="131" t="n">
        <f aca="false">IF(SUM(V21:AA21)&gt;=4,1,0)</f>
        <v>0</v>
      </c>
      <c r="AC21" s="547" t="n">
        <f aca="false">IF(F21="PUESTOS PUBLICOS",SUM(J21*0.2+Q21*0.2+S21*0.2+U21*0.2+AB21*0.2),SUM(J21*0.25+Q21*0.25+S21*0.25+U21*0.25))</f>
        <v>0</v>
      </c>
    </row>
    <row r="22" customFormat="false" ht="27" hidden="false" customHeight="true" outlineLevel="0" collapsed="false">
      <c r="A22" s="545" t="n">
        <f aca="false">'Listado CAPS'!A20</f>
        <v>0</v>
      </c>
      <c r="B22" s="545" t="n">
        <f aca="false">'Listado CAPS'!B20</f>
        <v>0</v>
      </c>
      <c r="C22" s="545" t="n">
        <f aca="false">'Listado CAPS'!C20</f>
        <v>0</v>
      </c>
      <c r="D22" s="545" t="str">
        <f aca="false">'Listado CAPS'!D20</f>
        <v>Q</v>
      </c>
      <c r="E22" s="545"/>
      <c r="F22" s="546"/>
      <c r="G22" s="119"/>
      <c r="H22" s="119"/>
      <c r="I22" s="119"/>
      <c r="J22" s="131" t="n">
        <f aca="false">IF(SUM(G22:I22)&gt;=2,1,0)</f>
        <v>0</v>
      </c>
      <c r="K22" s="126"/>
      <c r="L22" s="126"/>
      <c r="M22" s="126"/>
      <c r="N22" s="126"/>
      <c r="O22" s="126"/>
      <c r="P22" s="126"/>
      <c r="Q22" s="131" t="n">
        <f aca="false">IF(SUM(K22:P22)&gt;=4,1,0)</f>
        <v>0</v>
      </c>
      <c r="R22" s="126"/>
      <c r="S22" s="131" t="n">
        <f aca="false">+R22</f>
        <v>0</v>
      </c>
      <c r="T22" s="126"/>
      <c r="U22" s="131" t="n">
        <f aca="false">+T22</f>
        <v>0</v>
      </c>
      <c r="V22" s="109"/>
      <c r="W22" s="109"/>
      <c r="X22" s="109"/>
      <c r="Y22" s="109"/>
      <c r="Z22" s="109"/>
      <c r="AA22" s="109"/>
      <c r="AB22" s="131" t="n">
        <f aca="false">IF(SUM(V22:AA22)&gt;=4,1,0)</f>
        <v>0</v>
      </c>
      <c r="AC22" s="547" t="n">
        <f aca="false">IF(F22="PUESTOS PUBLICOS",SUM(J22*0.2+Q22*0.2+S22*0.2+U22*0.2+AB22*0.2),SUM(J22*0.25+Q22*0.25+S22*0.25+U22*0.25))</f>
        <v>0</v>
      </c>
    </row>
    <row r="23" customFormat="false" ht="27" hidden="false" customHeight="true" outlineLevel="0" collapsed="false">
      <c r="A23" s="545" t="n">
        <f aca="false">'Listado CAPS'!A21</f>
        <v>0</v>
      </c>
      <c r="B23" s="545" t="n">
        <f aca="false">'Listado CAPS'!B21</f>
        <v>0</v>
      </c>
      <c r="C23" s="545" t="n">
        <f aca="false">'Listado CAPS'!C21</f>
        <v>0</v>
      </c>
      <c r="D23" s="545" t="str">
        <f aca="false">'Listado CAPS'!D21</f>
        <v>R</v>
      </c>
      <c r="E23" s="545" t="n">
        <f aca="false">'Listado CAPS'!E21</f>
        <v>0</v>
      </c>
      <c r="F23" s="546"/>
      <c r="G23" s="119"/>
      <c r="H23" s="119"/>
      <c r="I23" s="119"/>
      <c r="J23" s="131" t="n">
        <f aca="false">IF(SUM(G23:I23)&gt;=2,1,0)</f>
        <v>0</v>
      </c>
      <c r="K23" s="126"/>
      <c r="L23" s="126"/>
      <c r="M23" s="126"/>
      <c r="N23" s="126"/>
      <c r="O23" s="126"/>
      <c r="P23" s="126"/>
      <c r="Q23" s="131" t="n">
        <f aca="false">IF(SUM(K23:P23)&gt;=4,1,0)</f>
        <v>0</v>
      </c>
      <c r="R23" s="126"/>
      <c r="S23" s="131" t="n">
        <f aca="false">+R23</f>
        <v>0</v>
      </c>
      <c r="T23" s="126"/>
      <c r="U23" s="131" t="n">
        <f aca="false">+T23</f>
        <v>0</v>
      </c>
      <c r="V23" s="109"/>
      <c r="W23" s="109"/>
      <c r="X23" s="109"/>
      <c r="Y23" s="109"/>
      <c r="Z23" s="109"/>
      <c r="AA23" s="109"/>
      <c r="AB23" s="131" t="n">
        <f aca="false">IF(SUM(V23:AA23)&gt;=4,1,0)</f>
        <v>0</v>
      </c>
      <c r="AC23" s="547" t="n">
        <f aca="false">IF(F23="PUESTOS PUBLICOS",SUM(J23*0.2+Q23*0.2+S23*0.2+U23*0.2+AB23*0.2),SUM(J23*0.25+Q23*0.25+S23*0.25+U23*0.25))</f>
        <v>0</v>
      </c>
    </row>
    <row r="24" customFormat="false" ht="27" hidden="false" customHeight="true" outlineLevel="0" collapsed="false">
      <c r="A24" s="545" t="n">
        <f aca="false">'Listado CAPS'!A22</f>
        <v>0</v>
      </c>
      <c r="B24" s="545" t="n">
        <f aca="false">'Listado CAPS'!B22</f>
        <v>0</v>
      </c>
      <c r="C24" s="545" t="n">
        <f aca="false">'Listado CAPS'!C22</f>
        <v>0</v>
      </c>
      <c r="D24" s="545" t="str">
        <f aca="false">'Listado CAPS'!D22</f>
        <v>S</v>
      </c>
      <c r="E24" s="545" t="n">
        <f aca="false">'Listado CAPS'!E22</f>
        <v>0</v>
      </c>
      <c r="F24" s="546"/>
      <c r="G24" s="119"/>
      <c r="H24" s="119"/>
      <c r="I24" s="119"/>
      <c r="J24" s="131" t="n">
        <f aca="false">IF(SUM(G24:I24)&gt;=2,1,0)</f>
        <v>0</v>
      </c>
      <c r="K24" s="126"/>
      <c r="L24" s="126"/>
      <c r="M24" s="126"/>
      <c r="N24" s="126"/>
      <c r="O24" s="126"/>
      <c r="P24" s="126"/>
      <c r="Q24" s="131" t="n">
        <f aca="false">IF(SUM(K24:P24)&gt;=4,1,0)</f>
        <v>0</v>
      </c>
      <c r="R24" s="126"/>
      <c r="S24" s="131" t="n">
        <f aca="false">+R24</f>
        <v>0</v>
      </c>
      <c r="T24" s="126"/>
      <c r="U24" s="131" t="n">
        <f aca="false">+T24</f>
        <v>0</v>
      </c>
      <c r="V24" s="109"/>
      <c r="W24" s="109"/>
      <c r="X24" s="109"/>
      <c r="Y24" s="109"/>
      <c r="Z24" s="109"/>
      <c r="AA24" s="109"/>
      <c r="AB24" s="131" t="n">
        <f aca="false">IF(SUM(V24:AA24)&gt;=4,1,0)</f>
        <v>0</v>
      </c>
      <c r="AC24" s="547" t="n">
        <f aca="false">IF(F24="PUESTOS PUBLICOS",SUM(J24*0.2+Q24*0.2+S24*0.2+U24*0.2+AB24*0.2),SUM(J24*0.25+Q24*0.25+S24*0.25+U24*0.25))</f>
        <v>0</v>
      </c>
    </row>
    <row r="25" customFormat="false" ht="27" hidden="false" customHeight="true" outlineLevel="0" collapsed="false">
      <c r="A25" s="545" t="n">
        <f aca="false">'Listado CAPS'!A23</f>
        <v>0</v>
      </c>
      <c r="B25" s="545" t="n">
        <f aca="false">'Listado CAPS'!B23</f>
        <v>0</v>
      </c>
      <c r="C25" s="545" t="n">
        <f aca="false">'Listado CAPS'!C23</f>
        <v>0</v>
      </c>
      <c r="D25" s="545" t="str">
        <f aca="false">'Listado CAPS'!D23</f>
        <v>T</v>
      </c>
      <c r="E25" s="545" t="n">
        <f aca="false">'Listado CAPS'!E23</f>
        <v>0</v>
      </c>
      <c r="F25" s="546"/>
      <c r="G25" s="119"/>
      <c r="H25" s="119"/>
      <c r="I25" s="119"/>
      <c r="J25" s="131" t="n">
        <f aca="false">IF(SUM(G25:I25)&gt;=2,1,0)</f>
        <v>0</v>
      </c>
      <c r="K25" s="126"/>
      <c r="L25" s="126"/>
      <c r="M25" s="126"/>
      <c r="N25" s="126"/>
      <c r="O25" s="126"/>
      <c r="P25" s="126"/>
      <c r="Q25" s="131" t="n">
        <f aca="false">IF(SUM(K25:P25)&gt;=4,1,0)</f>
        <v>0</v>
      </c>
      <c r="R25" s="126"/>
      <c r="S25" s="131" t="n">
        <f aca="false">+R25</f>
        <v>0</v>
      </c>
      <c r="T25" s="126"/>
      <c r="U25" s="131" t="n">
        <f aca="false">+T25</f>
        <v>0</v>
      </c>
      <c r="V25" s="109"/>
      <c r="W25" s="109"/>
      <c r="X25" s="109"/>
      <c r="Y25" s="109"/>
      <c r="Z25" s="109"/>
      <c r="AA25" s="109"/>
      <c r="AB25" s="131" t="n">
        <f aca="false">IF(SUM(V25:AA25)&gt;=4,1,0)</f>
        <v>0</v>
      </c>
      <c r="AC25" s="547" t="n">
        <f aca="false">IF(F25="PUESTOS PUBLICOS",SUM(J25*0.2+Q25*0.2+S25*0.2+U25*0.2+AB25*0.2),SUM(J25*0.25+Q25*0.25+S25*0.25+U25*0.25))</f>
        <v>0</v>
      </c>
    </row>
    <row r="26" customFormat="false" ht="27" hidden="false" customHeight="true" outlineLevel="0" collapsed="false">
      <c r="A26" s="545" t="n">
        <f aca="false">'Listado CAPS'!A24</f>
        <v>0</v>
      </c>
      <c r="B26" s="545" t="n">
        <f aca="false">'Listado CAPS'!B24</f>
        <v>0</v>
      </c>
      <c r="C26" s="545" t="n">
        <f aca="false">'Listado CAPS'!C24</f>
        <v>0</v>
      </c>
      <c r="D26" s="545" t="str">
        <f aca="false">'Listado CAPS'!D24</f>
        <v>U</v>
      </c>
      <c r="E26" s="545" t="n">
        <f aca="false">'Listado CAPS'!E24</f>
        <v>0</v>
      </c>
      <c r="F26" s="546"/>
      <c r="G26" s="119"/>
      <c r="H26" s="119"/>
      <c r="I26" s="119"/>
      <c r="J26" s="131" t="n">
        <f aca="false">IF(SUM(G26:I26)&gt;=2,1,0)</f>
        <v>0</v>
      </c>
      <c r="K26" s="126"/>
      <c r="L26" s="126"/>
      <c r="M26" s="126"/>
      <c r="N26" s="126"/>
      <c r="O26" s="126"/>
      <c r="P26" s="126"/>
      <c r="Q26" s="131" t="n">
        <f aca="false">IF(SUM(K26:P26)&gt;=4,1,0)</f>
        <v>0</v>
      </c>
      <c r="R26" s="126"/>
      <c r="S26" s="131" t="n">
        <f aca="false">+R26</f>
        <v>0</v>
      </c>
      <c r="T26" s="126"/>
      <c r="U26" s="131" t="n">
        <f aca="false">+T26</f>
        <v>0</v>
      </c>
      <c r="V26" s="109"/>
      <c r="W26" s="109"/>
      <c r="X26" s="109"/>
      <c r="Y26" s="109"/>
      <c r="Z26" s="109"/>
      <c r="AA26" s="109"/>
      <c r="AB26" s="131" t="n">
        <f aca="false">IF(SUM(V26:AA26)&gt;=4,1,0)</f>
        <v>0</v>
      </c>
      <c r="AC26" s="547" t="n">
        <f aca="false">IF(F26="PUESTOS PUBLICOS",SUM(J26*0.2+Q26*0.2+S26*0.2+U26*0.2+AB26*0.2),SUM(J26*0.25+Q26*0.25+S26*0.25+U26*0.25))</f>
        <v>0</v>
      </c>
    </row>
    <row r="27" customFormat="false" ht="27" hidden="false" customHeight="true" outlineLevel="0" collapsed="false">
      <c r="A27" s="545" t="n">
        <f aca="false">'Listado CAPS'!A25</f>
        <v>0</v>
      </c>
      <c r="B27" s="545" t="n">
        <f aca="false">'Listado CAPS'!B25</f>
        <v>0</v>
      </c>
      <c r="C27" s="545" t="n">
        <f aca="false">'Listado CAPS'!C25</f>
        <v>0</v>
      </c>
      <c r="D27" s="545" t="str">
        <f aca="false">'Listado CAPS'!D25</f>
        <v>V</v>
      </c>
      <c r="E27" s="545" t="n">
        <f aca="false">'Listado CAPS'!E25</f>
        <v>0</v>
      </c>
      <c r="F27" s="546"/>
      <c r="G27" s="119"/>
      <c r="H27" s="119"/>
      <c r="I27" s="119"/>
      <c r="J27" s="131" t="n">
        <f aca="false">IF(SUM(G27:I27)&gt;=2,1,0)</f>
        <v>0</v>
      </c>
      <c r="K27" s="126"/>
      <c r="L27" s="126"/>
      <c r="M27" s="126"/>
      <c r="N27" s="126"/>
      <c r="O27" s="126"/>
      <c r="P27" s="126"/>
      <c r="Q27" s="131" t="n">
        <f aca="false">IF(SUM(K27:P27)&gt;=4,1,0)</f>
        <v>0</v>
      </c>
      <c r="R27" s="126"/>
      <c r="S27" s="131" t="n">
        <f aca="false">+R27</f>
        <v>0</v>
      </c>
      <c r="T27" s="126"/>
      <c r="U27" s="131" t="n">
        <f aca="false">+T27</f>
        <v>0</v>
      </c>
      <c r="V27" s="109"/>
      <c r="W27" s="109"/>
      <c r="X27" s="109"/>
      <c r="Y27" s="109"/>
      <c r="Z27" s="109"/>
      <c r="AA27" s="109"/>
      <c r="AB27" s="131" t="n">
        <f aca="false">IF(SUM(V27:AA27)&gt;=4,1,0)</f>
        <v>0</v>
      </c>
      <c r="AC27" s="547" t="n">
        <f aca="false">IF(F27="PUESTOS PUBLICOS",SUM(J27*0.2+Q27*0.2+S27*0.2+U27*0.2+AB27*0.2),SUM(J27*0.25+Q27*0.25+S27*0.25+U27*0.25))</f>
        <v>0</v>
      </c>
    </row>
    <row r="28" customFormat="false" ht="27" hidden="false" customHeight="true" outlineLevel="0" collapsed="false">
      <c r="A28" s="545" t="n">
        <f aca="false">'Listado CAPS'!A26</f>
        <v>0</v>
      </c>
      <c r="B28" s="545" t="n">
        <f aca="false">'Listado CAPS'!B26</f>
        <v>0</v>
      </c>
      <c r="C28" s="545" t="n">
        <f aca="false">'Listado CAPS'!C26</f>
        <v>0</v>
      </c>
      <c r="D28" s="545" t="str">
        <f aca="false">'Listado CAPS'!D26</f>
        <v>W</v>
      </c>
      <c r="E28" s="545" t="n">
        <f aca="false">'Listado CAPS'!E26</f>
        <v>0</v>
      </c>
      <c r="F28" s="546"/>
      <c r="G28" s="119"/>
      <c r="H28" s="119"/>
      <c r="I28" s="119"/>
      <c r="J28" s="131" t="n">
        <f aca="false">IF(SUM(G28:I28)&gt;=2,1,0)</f>
        <v>0</v>
      </c>
      <c r="K28" s="126"/>
      <c r="L28" s="126"/>
      <c r="M28" s="126"/>
      <c r="N28" s="126"/>
      <c r="O28" s="126"/>
      <c r="P28" s="126"/>
      <c r="Q28" s="131" t="n">
        <f aca="false">IF(SUM(K28:P28)&gt;=4,1,0)</f>
        <v>0</v>
      </c>
      <c r="R28" s="126"/>
      <c r="S28" s="131" t="n">
        <f aca="false">+R28</f>
        <v>0</v>
      </c>
      <c r="T28" s="126"/>
      <c r="U28" s="131" t="n">
        <f aca="false">+T28</f>
        <v>0</v>
      </c>
      <c r="V28" s="109"/>
      <c r="W28" s="109"/>
      <c r="X28" s="109"/>
      <c r="Y28" s="109"/>
      <c r="Z28" s="109"/>
      <c r="AA28" s="109"/>
      <c r="AB28" s="131" t="n">
        <f aca="false">IF(SUM(V28:AA28)&gt;=4,1,0)</f>
        <v>0</v>
      </c>
      <c r="AC28" s="547" t="n">
        <f aca="false">IF(F28="PUESTOS PUBLICOS",SUM(J28*0.2+Q28*0.2+S28*0.2+U28*0.2+AB28*0.2),SUM(J28*0.25+Q28*0.25+S28*0.25+U28*0.25))</f>
        <v>0</v>
      </c>
    </row>
    <row r="29" customFormat="false" ht="27" hidden="false" customHeight="true" outlineLevel="0" collapsed="false">
      <c r="A29" s="545" t="n">
        <f aca="false">'Listado CAPS'!A27</f>
        <v>0</v>
      </c>
      <c r="B29" s="545" t="n">
        <f aca="false">'Listado CAPS'!B27</f>
        <v>0</v>
      </c>
      <c r="C29" s="545" t="n">
        <f aca="false">'Listado CAPS'!C27</f>
        <v>0</v>
      </c>
      <c r="D29" s="545" t="str">
        <f aca="false">'Listado CAPS'!D27</f>
        <v>X</v>
      </c>
      <c r="E29" s="545" t="n">
        <f aca="false">'Listado CAPS'!E27</f>
        <v>0</v>
      </c>
      <c r="F29" s="546"/>
      <c r="G29" s="119"/>
      <c r="H29" s="119"/>
      <c r="I29" s="119"/>
      <c r="J29" s="131" t="n">
        <f aca="false">IF(SUM(G29:I29)&gt;=2,1,0)</f>
        <v>0</v>
      </c>
      <c r="K29" s="126"/>
      <c r="L29" s="126"/>
      <c r="M29" s="126"/>
      <c r="N29" s="126"/>
      <c r="O29" s="126"/>
      <c r="P29" s="126"/>
      <c r="Q29" s="131" t="n">
        <f aca="false">IF(SUM(K29:P29)&gt;=4,1,0)</f>
        <v>0</v>
      </c>
      <c r="R29" s="126"/>
      <c r="S29" s="131" t="n">
        <f aca="false">+R29</f>
        <v>0</v>
      </c>
      <c r="T29" s="126"/>
      <c r="U29" s="131" t="n">
        <f aca="false">+T29</f>
        <v>0</v>
      </c>
      <c r="V29" s="109"/>
      <c r="W29" s="109"/>
      <c r="X29" s="109"/>
      <c r="Y29" s="109"/>
      <c r="Z29" s="109"/>
      <c r="AA29" s="109"/>
      <c r="AB29" s="131" t="n">
        <f aca="false">IF(SUM(V29:AA29)&gt;=4,1,0)</f>
        <v>0</v>
      </c>
      <c r="AC29" s="547" t="n">
        <f aca="false">IF(F29="PUESTOS PUBLICOS",SUM(J29*0.2+Q29*0.2+S29*0.2+U29*0.2+AB29*0.2),SUM(J29*0.25+Q29*0.25+S29*0.25+U29*0.25))</f>
        <v>0</v>
      </c>
    </row>
    <row r="30" customFormat="false" ht="27" hidden="false" customHeight="true" outlineLevel="0" collapsed="false">
      <c r="A30" s="545" t="n">
        <f aca="false">'Listado CAPS'!A28</f>
        <v>0</v>
      </c>
      <c r="B30" s="545" t="n">
        <f aca="false">'Listado CAPS'!B28</f>
        <v>0</v>
      </c>
      <c r="C30" s="545" t="n">
        <f aca="false">'Listado CAPS'!C28</f>
        <v>0</v>
      </c>
      <c r="D30" s="545" t="str">
        <f aca="false">'Listado CAPS'!D28</f>
        <v>Y</v>
      </c>
      <c r="E30" s="545" t="n">
        <f aca="false">'Listado CAPS'!E28</f>
        <v>0</v>
      </c>
      <c r="F30" s="546"/>
      <c r="G30" s="119"/>
      <c r="H30" s="119"/>
      <c r="I30" s="119"/>
      <c r="J30" s="131" t="n">
        <f aca="false">IF(SUM(G30:I30)&gt;=2,1,0)</f>
        <v>0</v>
      </c>
      <c r="K30" s="126"/>
      <c r="L30" s="126"/>
      <c r="M30" s="126"/>
      <c r="N30" s="126"/>
      <c r="O30" s="126"/>
      <c r="P30" s="126"/>
      <c r="Q30" s="131" t="n">
        <f aca="false">IF(SUM(K30:P30)&gt;=4,1,0)</f>
        <v>0</v>
      </c>
      <c r="R30" s="126"/>
      <c r="S30" s="131" t="n">
        <f aca="false">+R30</f>
        <v>0</v>
      </c>
      <c r="T30" s="126"/>
      <c r="U30" s="131" t="n">
        <f aca="false">+T30</f>
        <v>0</v>
      </c>
      <c r="V30" s="109"/>
      <c r="W30" s="109"/>
      <c r="X30" s="109"/>
      <c r="Y30" s="109"/>
      <c r="Z30" s="109"/>
      <c r="AA30" s="109"/>
      <c r="AB30" s="131" t="n">
        <f aca="false">IF(SUM(V30:AA30)&gt;=4,1,0)</f>
        <v>0</v>
      </c>
      <c r="AC30" s="547" t="n">
        <f aca="false">IF(F30="PUESTOS PUBLICOS",SUM(J30*0.2+Q30*0.2+S30*0.2+U30*0.2+AB30*0.2),SUM(J30*0.25+Q30*0.25+S30*0.25+U30*0.25))</f>
        <v>0</v>
      </c>
    </row>
    <row r="31" s="99" customFormat="true" ht="15.75" hidden="false" customHeight="true" outlineLevel="0" collapsed="false">
      <c r="D31" s="550"/>
      <c r="E31" s="550"/>
      <c r="F31" s="550"/>
      <c r="G31" s="96"/>
      <c r="H31" s="96"/>
      <c r="J31" s="97"/>
      <c r="P31" s="96"/>
      <c r="Q31" s="97"/>
      <c r="R31" s="96"/>
      <c r="S31" s="97"/>
      <c r="U31" s="96"/>
    </row>
    <row r="32" s="99" customFormat="true" ht="15.75" hidden="false" customHeight="true" outlineLevel="0" collapsed="false">
      <c r="D32" s="550"/>
      <c r="E32" s="550"/>
      <c r="F32" s="550"/>
      <c r="G32" s="96"/>
      <c r="H32" s="96"/>
      <c r="J32" s="97"/>
      <c r="P32" s="96"/>
      <c r="Q32" s="97"/>
      <c r="R32" s="96"/>
      <c r="S32" s="97"/>
      <c r="U32" s="96"/>
    </row>
    <row r="33" s="99" customFormat="true" ht="15.75" hidden="false" customHeight="true" outlineLevel="0" collapsed="false">
      <c r="D33" s="550"/>
      <c r="E33" s="550"/>
      <c r="F33" s="550"/>
      <c r="G33" s="96"/>
      <c r="H33" s="96"/>
      <c r="J33" s="97"/>
      <c r="P33" s="96"/>
      <c r="Q33" s="97"/>
      <c r="R33" s="96"/>
      <c r="S33" s="97"/>
      <c r="U33" s="96"/>
    </row>
    <row r="34" s="551" customFormat="true" ht="27.75" hidden="false" customHeight="true" outlineLevel="0" collapsed="false"/>
    <row r="35" s="551" customFormat="true" ht="30" hidden="false" customHeight="true" outlineLevel="0" collapsed="false"/>
    <row r="36" s="551" customFormat="true" ht="21.75" hidden="false" customHeight="true" outlineLevel="0" collapsed="false"/>
    <row r="37" s="551" customFormat="true" ht="96.75" hidden="false" customHeight="true" outlineLevel="0" collapsed="false"/>
    <row r="38" s="551" customFormat="true" ht="27" hidden="false" customHeight="true" outlineLevel="0" collapsed="false"/>
    <row r="39" s="551" customFormat="true" ht="27" hidden="false" customHeight="true" outlineLevel="0" collapsed="false"/>
    <row r="40" s="551" customFormat="true" ht="27" hidden="false" customHeight="true" outlineLevel="0" collapsed="false"/>
    <row r="41" s="551" customFormat="true" ht="27" hidden="false" customHeight="true" outlineLevel="0" collapsed="false"/>
    <row r="42" s="551" customFormat="true" ht="27" hidden="false" customHeight="true" outlineLevel="0" collapsed="false"/>
    <row r="43" s="551" customFormat="true" ht="27" hidden="false" customHeight="true" outlineLevel="0" collapsed="false"/>
    <row r="44" s="551" customFormat="true" ht="27" hidden="false" customHeight="true" outlineLevel="0" collapsed="false"/>
    <row r="45" s="551" customFormat="true" ht="27" hidden="false" customHeight="true" outlineLevel="0" collapsed="false"/>
    <row r="46" s="551" customFormat="true" ht="27" hidden="false" customHeight="true" outlineLevel="0" collapsed="false"/>
    <row r="47" s="551" customFormat="true" ht="27" hidden="false" customHeight="true" outlineLevel="0" collapsed="false"/>
    <row r="48" s="551" customFormat="true" ht="22.5" hidden="false" customHeight="true" outlineLevel="0" collapsed="false"/>
    <row r="49" s="551" customFormat="true" ht="22.5" hidden="false" customHeight="true" outlineLevel="0" collapsed="false"/>
    <row r="50" s="551" customFormat="true" ht="22.5" hidden="false" customHeight="true" outlineLevel="0" collapsed="false"/>
    <row r="51" s="551" customFormat="true" ht="22.5" hidden="false" customHeight="true" outlineLevel="0" collapsed="false"/>
    <row r="52" s="551" customFormat="true" ht="22.5" hidden="false" customHeight="true" outlineLevel="0" collapsed="false"/>
    <row r="53" s="551" customFormat="true" ht="22.5" hidden="false" customHeight="true" outlineLevel="0" collapsed="false"/>
    <row r="54" s="551" customFormat="true" ht="22.5" hidden="false" customHeight="true" outlineLevel="0" collapsed="false"/>
    <row r="55" s="551" customFormat="true" ht="22.5" hidden="false" customHeight="true" outlineLevel="0" collapsed="false"/>
    <row r="56" s="551" customFormat="true" ht="22.5" hidden="false" customHeight="true" outlineLevel="0" collapsed="false"/>
    <row r="57" s="551" customFormat="true" ht="22.5" hidden="false" customHeight="true" outlineLevel="0" collapsed="false"/>
    <row r="58" s="551" customFormat="true" ht="22.5" hidden="false" customHeight="true" outlineLevel="0" collapsed="false"/>
    <row r="59" s="551" customFormat="true" ht="22.5" hidden="false" customHeight="true" outlineLevel="0" collapsed="false"/>
    <row r="60" s="551" customFormat="true" ht="22.5" hidden="false" customHeight="true" outlineLevel="0" collapsed="false"/>
    <row r="61" customFormat="false" ht="22.5" hidden="false" customHeight="true" outlineLevel="0" collapsed="false">
      <c r="A61" s="552"/>
      <c r="B61" s="552"/>
      <c r="C61" s="552"/>
      <c r="D61" s="553"/>
      <c r="E61" s="553"/>
      <c r="F61" s="553"/>
      <c r="G61" s="552"/>
      <c r="H61" s="552"/>
      <c r="I61" s="552"/>
      <c r="J61" s="552"/>
      <c r="K61" s="552"/>
      <c r="L61" s="552"/>
      <c r="M61" s="552"/>
      <c r="N61" s="552"/>
      <c r="O61" s="552"/>
      <c r="P61" s="552"/>
      <c r="Q61" s="552"/>
      <c r="R61" s="552"/>
      <c r="S61" s="552"/>
      <c r="T61" s="552"/>
      <c r="U61" s="552"/>
    </row>
    <row r="62" customFormat="false" ht="22.5" hidden="false" customHeight="true" outlineLevel="0" collapsed="false">
      <c r="A62" s="552"/>
      <c r="B62" s="552"/>
      <c r="C62" s="552"/>
      <c r="D62" s="553"/>
      <c r="E62" s="553"/>
      <c r="F62" s="553"/>
      <c r="G62" s="552"/>
      <c r="H62" s="552"/>
      <c r="I62" s="552"/>
      <c r="J62" s="552"/>
      <c r="K62" s="552"/>
      <c r="L62" s="552"/>
      <c r="M62" s="552"/>
      <c r="N62" s="552"/>
      <c r="O62" s="552"/>
      <c r="P62" s="552"/>
      <c r="Q62" s="552"/>
      <c r="R62" s="552"/>
      <c r="S62" s="552"/>
      <c r="T62" s="552"/>
      <c r="U62" s="552"/>
    </row>
    <row r="63" customFormat="false" ht="22.5" hidden="false" customHeight="true" outlineLevel="0" collapsed="false">
      <c r="A63" s="552"/>
      <c r="B63" s="552"/>
      <c r="C63" s="552"/>
      <c r="D63" s="553"/>
      <c r="E63" s="553"/>
      <c r="F63" s="553"/>
      <c r="G63" s="552"/>
      <c r="H63" s="552"/>
      <c r="I63" s="552"/>
      <c r="J63" s="552"/>
      <c r="K63" s="552"/>
      <c r="L63" s="552"/>
      <c r="M63" s="552"/>
      <c r="N63" s="552"/>
      <c r="O63" s="552"/>
      <c r="P63" s="552"/>
      <c r="Q63" s="552"/>
      <c r="R63" s="552"/>
      <c r="S63" s="552"/>
      <c r="T63" s="552"/>
      <c r="U63" s="552"/>
    </row>
    <row r="64" customFormat="false" ht="22.5" hidden="false" customHeight="true" outlineLevel="0" collapsed="false">
      <c r="A64" s="552"/>
      <c r="B64" s="552"/>
      <c r="C64" s="552"/>
      <c r="D64" s="553"/>
      <c r="E64" s="553"/>
      <c r="F64" s="553"/>
      <c r="G64" s="552"/>
      <c r="H64" s="552"/>
      <c r="I64" s="552"/>
      <c r="J64" s="552"/>
      <c r="K64" s="552"/>
      <c r="L64" s="552"/>
      <c r="M64" s="552"/>
      <c r="N64" s="552"/>
      <c r="O64" s="552"/>
      <c r="P64" s="552"/>
      <c r="Q64" s="552"/>
      <c r="R64" s="552"/>
      <c r="S64" s="552"/>
      <c r="T64" s="552"/>
      <c r="U64" s="552"/>
    </row>
    <row r="65" customFormat="false" ht="22.5" hidden="false" customHeight="true" outlineLevel="0" collapsed="false">
      <c r="A65" s="552"/>
      <c r="B65" s="552"/>
      <c r="C65" s="552"/>
      <c r="D65" s="553"/>
      <c r="E65" s="553"/>
      <c r="F65" s="553"/>
      <c r="G65" s="552"/>
      <c r="H65" s="552"/>
      <c r="I65" s="552"/>
      <c r="J65" s="552"/>
      <c r="K65" s="552"/>
      <c r="L65" s="552"/>
      <c r="M65" s="552"/>
      <c r="N65" s="552"/>
      <c r="O65" s="552"/>
      <c r="P65" s="552"/>
      <c r="Q65" s="552"/>
      <c r="R65" s="552"/>
      <c r="S65" s="552"/>
      <c r="T65" s="552"/>
      <c r="U65" s="552"/>
    </row>
    <row r="66" customFormat="false" ht="22.5" hidden="false" customHeight="true" outlineLevel="0" collapsed="false">
      <c r="A66" s="552"/>
      <c r="B66" s="552"/>
      <c r="C66" s="552"/>
      <c r="D66" s="553"/>
      <c r="E66" s="553"/>
      <c r="F66" s="553"/>
      <c r="G66" s="552"/>
      <c r="H66" s="552"/>
      <c r="I66" s="552"/>
      <c r="J66" s="552"/>
      <c r="K66" s="552"/>
      <c r="L66" s="552"/>
      <c r="M66" s="552"/>
      <c r="N66" s="552"/>
      <c r="O66" s="552"/>
      <c r="P66" s="552"/>
      <c r="Q66" s="552"/>
      <c r="R66" s="552"/>
      <c r="S66" s="552"/>
      <c r="T66" s="552"/>
      <c r="U66" s="552"/>
    </row>
    <row r="67" customFormat="false" ht="22.5" hidden="false" customHeight="true" outlineLevel="0" collapsed="false">
      <c r="A67" s="552"/>
      <c r="B67" s="552"/>
      <c r="C67" s="552"/>
      <c r="D67" s="553"/>
      <c r="E67" s="553"/>
      <c r="F67" s="553"/>
      <c r="G67" s="552"/>
      <c r="H67" s="552"/>
      <c r="I67" s="552"/>
      <c r="J67" s="552"/>
      <c r="K67" s="552"/>
      <c r="L67" s="552"/>
      <c r="M67" s="552"/>
      <c r="N67" s="552"/>
      <c r="O67" s="552"/>
      <c r="P67" s="552"/>
      <c r="Q67" s="552"/>
      <c r="R67" s="552"/>
      <c r="S67" s="552"/>
      <c r="T67" s="552"/>
      <c r="U67" s="552"/>
    </row>
    <row r="68" customFormat="false" ht="22.5" hidden="false" customHeight="true" outlineLevel="0" collapsed="false">
      <c r="A68" s="552"/>
      <c r="B68" s="552"/>
      <c r="C68" s="552"/>
      <c r="D68" s="553"/>
      <c r="E68" s="553"/>
      <c r="F68" s="553"/>
      <c r="G68" s="552"/>
      <c r="H68" s="552"/>
      <c r="I68" s="552"/>
      <c r="J68" s="552"/>
      <c r="K68" s="552"/>
      <c r="L68" s="552"/>
      <c r="M68" s="552"/>
      <c r="N68" s="552"/>
      <c r="O68" s="552"/>
      <c r="P68" s="552"/>
      <c r="Q68" s="552"/>
      <c r="R68" s="552"/>
      <c r="S68" s="552"/>
      <c r="T68" s="552"/>
      <c r="U68" s="552"/>
    </row>
    <row r="69" customFormat="false" ht="22.5" hidden="false" customHeight="true" outlineLevel="0" collapsed="false">
      <c r="A69" s="552"/>
      <c r="B69" s="552"/>
      <c r="C69" s="552"/>
      <c r="D69" s="553"/>
      <c r="E69" s="553"/>
      <c r="F69" s="553"/>
      <c r="G69" s="552"/>
      <c r="H69" s="552"/>
      <c r="I69" s="552"/>
      <c r="J69" s="552"/>
      <c r="K69" s="552"/>
      <c r="L69" s="552"/>
      <c r="M69" s="552"/>
      <c r="N69" s="552"/>
      <c r="O69" s="552"/>
      <c r="P69" s="552"/>
      <c r="Q69" s="552"/>
      <c r="R69" s="552"/>
      <c r="S69" s="552"/>
      <c r="T69" s="552"/>
      <c r="U69" s="552"/>
    </row>
    <row r="70" customFormat="false" ht="22.5" hidden="false" customHeight="true" outlineLevel="0" collapsed="false">
      <c r="A70" s="552"/>
      <c r="B70" s="552"/>
      <c r="C70" s="552"/>
      <c r="D70" s="553"/>
      <c r="E70" s="553"/>
      <c r="F70" s="553"/>
      <c r="G70" s="552"/>
      <c r="H70" s="552"/>
      <c r="I70" s="552"/>
      <c r="J70" s="552"/>
      <c r="K70" s="552"/>
      <c r="L70" s="552"/>
      <c r="M70" s="552"/>
      <c r="N70" s="552"/>
      <c r="O70" s="552"/>
      <c r="P70" s="552"/>
      <c r="Q70" s="552"/>
      <c r="R70" s="552"/>
      <c r="S70" s="552"/>
      <c r="T70" s="552"/>
      <c r="U70" s="552"/>
    </row>
    <row r="71" customFormat="false" ht="22.5" hidden="false" customHeight="true" outlineLevel="0" collapsed="false">
      <c r="A71" s="552"/>
      <c r="B71" s="552"/>
      <c r="C71" s="552"/>
      <c r="D71" s="553"/>
      <c r="E71" s="553"/>
      <c r="F71" s="553"/>
      <c r="G71" s="552"/>
      <c r="H71" s="552"/>
      <c r="I71" s="552"/>
      <c r="J71" s="552"/>
      <c r="K71" s="552"/>
      <c r="L71" s="552"/>
      <c r="M71" s="552"/>
      <c r="N71" s="552"/>
      <c r="O71" s="552"/>
      <c r="P71" s="552"/>
      <c r="Q71" s="552"/>
      <c r="R71" s="552"/>
      <c r="S71" s="552"/>
      <c r="T71" s="552"/>
      <c r="U71" s="552"/>
    </row>
    <row r="72" customFormat="false" ht="22.5" hidden="false" customHeight="true" outlineLevel="0" collapsed="false">
      <c r="A72" s="552"/>
      <c r="B72" s="552"/>
      <c r="C72" s="552"/>
      <c r="D72" s="553"/>
      <c r="E72" s="553"/>
      <c r="F72" s="553"/>
      <c r="G72" s="552"/>
      <c r="H72" s="552"/>
      <c r="I72" s="552"/>
      <c r="J72" s="552"/>
      <c r="K72" s="552"/>
      <c r="L72" s="552"/>
      <c r="M72" s="552"/>
      <c r="N72" s="552"/>
      <c r="O72" s="552"/>
      <c r="P72" s="552"/>
      <c r="Q72" s="552"/>
      <c r="R72" s="552"/>
      <c r="S72" s="552"/>
      <c r="T72" s="552"/>
      <c r="U72" s="552"/>
    </row>
    <row r="73" customFormat="false" ht="22.5" hidden="false" customHeight="true" outlineLevel="0" collapsed="false">
      <c r="A73" s="552"/>
      <c r="B73" s="552"/>
      <c r="C73" s="552"/>
      <c r="D73" s="553"/>
      <c r="E73" s="553"/>
      <c r="F73" s="553"/>
      <c r="G73" s="552"/>
      <c r="H73" s="552"/>
      <c r="I73" s="552"/>
      <c r="J73" s="552"/>
      <c r="K73" s="552"/>
      <c r="L73" s="552"/>
      <c r="M73" s="552"/>
      <c r="N73" s="552"/>
      <c r="O73" s="552"/>
      <c r="P73" s="552"/>
      <c r="Q73" s="552"/>
      <c r="R73" s="552"/>
      <c r="S73" s="552"/>
      <c r="T73" s="552"/>
      <c r="U73" s="552"/>
    </row>
    <row r="74" customFormat="false" ht="22.5" hidden="false" customHeight="true" outlineLevel="0" collapsed="false">
      <c r="A74" s="552"/>
      <c r="B74" s="552"/>
      <c r="C74" s="552"/>
      <c r="D74" s="553"/>
      <c r="E74" s="553"/>
      <c r="F74" s="553"/>
      <c r="G74" s="552"/>
      <c r="H74" s="552"/>
      <c r="I74" s="552"/>
      <c r="J74" s="552"/>
      <c r="K74" s="552"/>
      <c r="L74" s="552"/>
      <c r="M74" s="552"/>
      <c r="N74" s="552"/>
      <c r="O74" s="552"/>
      <c r="P74" s="552"/>
      <c r="Q74" s="552"/>
      <c r="R74" s="552"/>
      <c r="S74" s="552"/>
      <c r="T74" s="552"/>
      <c r="U74" s="552"/>
    </row>
    <row r="75" customFormat="false" ht="22.5" hidden="false" customHeight="true" outlineLevel="0" collapsed="false">
      <c r="A75" s="552"/>
      <c r="B75" s="552"/>
      <c r="C75" s="552"/>
      <c r="D75" s="553"/>
      <c r="E75" s="553"/>
      <c r="F75" s="553"/>
      <c r="G75" s="552"/>
      <c r="H75" s="552"/>
      <c r="I75" s="552"/>
      <c r="J75" s="552"/>
      <c r="K75" s="552"/>
      <c r="L75" s="552"/>
      <c r="M75" s="552"/>
      <c r="N75" s="552"/>
      <c r="O75" s="552"/>
      <c r="P75" s="552"/>
      <c r="Q75" s="552"/>
      <c r="R75" s="552"/>
      <c r="S75" s="552"/>
      <c r="T75" s="552"/>
      <c r="U75" s="552"/>
    </row>
    <row r="76" customFormat="false" ht="22.5" hidden="false" customHeight="true" outlineLevel="0" collapsed="false">
      <c r="A76" s="552"/>
      <c r="B76" s="552"/>
      <c r="C76" s="552"/>
      <c r="D76" s="553"/>
      <c r="E76" s="553"/>
      <c r="F76" s="553"/>
      <c r="G76" s="552"/>
      <c r="H76" s="552"/>
      <c r="I76" s="552"/>
      <c r="J76" s="552"/>
      <c r="K76" s="552"/>
      <c r="L76" s="552"/>
      <c r="M76" s="552"/>
      <c r="N76" s="552"/>
      <c r="O76" s="552"/>
      <c r="P76" s="552"/>
      <c r="Q76" s="552"/>
      <c r="R76" s="552"/>
      <c r="S76" s="552"/>
      <c r="T76" s="552"/>
      <c r="U76" s="552"/>
    </row>
    <row r="77" customFormat="false" ht="22.5" hidden="false" customHeight="true" outlineLevel="0" collapsed="false">
      <c r="A77" s="552"/>
      <c r="B77" s="552"/>
      <c r="C77" s="552"/>
      <c r="D77" s="553"/>
      <c r="E77" s="553"/>
      <c r="F77" s="553"/>
      <c r="G77" s="552"/>
      <c r="H77" s="552"/>
      <c r="I77" s="552"/>
      <c r="J77" s="552"/>
      <c r="K77" s="552"/>
      <c r="L77" s="552"/>
      <c r="M77" s="552"/>
      <c r="N77" s="552"/>
      <c r="O77" s="552"/>
      <c r="P77" s="552"/>
      <c r="Q77" s="552"/>
      <c r="R77" s="552"/>
      <c r="S77" s="552"/>
      <c r="T77" s="552"/>
      <c r="U77" s="552"/>
    </row>
    <row r="78" customFormat="false" ht="22.5" hidden="false" customHeight="true" outlineLevel="0" collapsed="false">
      <c r="A78" s="552"/>
      <c r="B78" s="552"/>
      <c r="C78" s="552"/>
      <c r="D78" s="553"/>
      <c r="E78" s="553"/>
      <c r="F78" s="553"/>
      <c r="G78" s="552"/>
      <c r="H78" s="552"/>
      <c r="I78" s="552"/>
      <c r="J78" s="552"/>
      <c r="K78" s="552"/>
      <c r="L78" s="552"/>
      <c r="M78" s="552"/>
      <c r="N78" s="552"/>
      <c r="O78" s="552"/>
      <c r="P78" s="552"/>
      <c r="Q78" s="552"/>
      <c r="R78" s="552"/>
      <c r="S78" s="552"/>
      <c r="T78" s="552"/>
      <c r="U78" s="552"/>
    </row>
    <row r="79" customFormat="false" ht="22.5" hidden="false" customHeight="true" outlineLevel="0" collapsed="false">
      <c r="A79" s="552"/>
      <c r="B79" s="552"/>
      <c r="C79" s="552"/>
      <c r="D79" s="553"/>
      <c r="E79" s="553"/>
      <c r="F79" s="553"/>
      <c r="G79" s="552"/>
      <c r="H79" s="552"/>
      <c r="I79" s="552"/>
      <c r="J79" s="552"/>
      <c r="K79" s="552"/>
      <c r="L79" s="552"/>
      <c r="M79" s="552"/>
      <c r="N79" s="552"/>
      <c r="O79" s="552"/>
      <c r="P79" s="552"/>
      <c r="Q79" s="552"/>
      <c r="R79" s="552"/>
      <c r="S79" s="552"/>
      <c r="T79" s="552"/>
      <c r="U79" s="552"/>
    </row>
    <row r="80" customFormat="false" ht="22.5" hidden="false" customHeight="true" outlineLevel="0" collapsed="false">
      <c r="A80" s="552"/>
      <c r="B80" s="552"/>
      <c r="C80" s="552"/>
      <c r="D80" s="553"/>
      <c r="E80" s="553"/>
      <c r="F80" s="553"/>
      <c r="G80" s="552"/>
      <c r="H80" s="552"/>
      <c r="I80" s="552"/>
      <c r="J80" s="552"/>
      <c r="K80" s="552"/>
      <c r="L80" s="552"/>
      <c r="M80" s="552"/>
      <c r="N80" s="552"/>
      <c r="O80" s="552"/>
      <c r="P80" s="552"/>
      <c r="Q80" s="552"/>
      <c r="R80" s="552"/>
      <c r="S80" s="552"/>
      <c r="T80" s="552"/>
      <c r="U80" s="552"/>
    </row>
    <row r="81" customFormat="false" ht="22.5" hidden="false" customHeight="true" outlineLevel="0" collapsed="false">
      <c r="A81" s="552"/>
      <c r="B81" s="552"/>
      <c r="C81" s="552"/>
      <c r="D81" s="553"/>
      <c r="E81" s="553"/>
      <c r="F81" s="553"/>
      <c r="G81" s="552"/>
      <c r="H81" s="552"/>
      <c r="I81" s="552"/>
      <c r="J81" s="552"/>
      <c r="K81" s="552"/>
      <c r="L81" s="552"/>
      <c r="M81" s="552"/>
      <c r="N81" s="552"/>
      <c r="O81" s="552"/>
      <c r="P81" s="552"/>
      <c r="Q81" s="552"/>
      <c r="R81" s="552"/>
      <c r="S81" s="552"/>
      <c r="T81" s="552"/>
      <c r="U81" s="552"/>
    </row>
    <row r="82" customFormat="false" ht="22.5" hidden="false" customHeight="true" outlineLevel="0" collapsed="false">
      <c r="A82" s="552"/>
      <c r="B82" s="552"/>
      <c r="C82" s="552"/>
      <c r="D82" s="553"/>
      <c r="E82" s="553"/>
      <c r="F82" s="553"/>
      <c r="G82" s="552"/>
      <c r="H82" s="552"/>
      <c r="I82" s="552"/>
      <c r="J82" s="552"/>
      <c r="K82" s="552"/>
      <c r="L82" s="552"/>
      <c r="M82" s="552"/>
      <c r="N82" s="552"/>
      <c r="O82" s="552"/>
      <c r="P82" s="552"/>
      <c r="Q82" s="552"/>
      <c r="R82" s="552"/>
      <c r="S82" s="552"/>
      <c r="T82" s="552"/>
      <c r="U82" s="552"/>
    </row>
    <row r="83" customFormat="false" ht="22.5" hidden="false" customHeight="true" outlineLevel="0" collapsed="false">
      <c r="A83" s="552"/>
      <c r="B83" s="552"/>
      <c r="C83" s="552"/>
      <c r="D83" s="553"/>
      <c r="E83" s="553"/>
      <c r="F83" s="553"/>
      <c r="G83" s="552"/>
      <c r="H83" s="552"/>
      <c r="I83" s="552"/>
      <c r="J83" s="552"/>
      <c r="K83" s="552"/>
      <c r="L83" s="552"/>
      <c r="M83" s="552"/>
      <c r="N83" s="552"/>
      <c r="O83" s="552"/>
      <c r="P83" s="552"/>
      <c r="Q83" s="552"/>
      <c r="R83" s="552"/>
      <c r="S83" s="552"/>
      <c r="T83" s="552"/>
      <c r="U83" s="552"/>
    </row>
    <row r="84" customFormat="false" ht="22.5" hidden="false" customHeight="true" outlineLevel="0" collapsed="false">
      <c r="A84" s="552"/>
      <c r="B84" s="552"/>
      <c r="C84" s="552"/>
      <c r="D84" s="553"/>
      <c r="E84" s="553"/>
      <c r="F84" s="553"/>
      <c r="G84" s="552"/>
      <c r="H84" s="552"/>
      <c r="I84" s="552"/>
      <c r="J84" s="552"/>
      <c r="K84" s="552"/>
      <c r="L84" s="552"/>
      <c r="M84" s="552"/>
      <c r="N84" s="552"/>
      <c r="O84" s="552"/>
      <c r="P84" s="552"/>
      <c r="Q84" s="552"/>
      <c r="R84" s="552"/>
      <c r="S84" s="552"/>
      <c r="T84" s="552"/>
      <c r="U84" s="552"/>
    </row>
    <row r="85" customFormat="false" ht="22.5" hidden="false" customHeight="true" outlineLevel="0" collapsed="false">
      <c r="A85" s="552"/>
      <c r="B85" s="552"/>
      <c r="C85" s="552"/>
      <c r="D85" s="553"/>
      <c r="E85" s="553"/>
      <c r="F85" s="553"/>
      <c r="G85" s="552"/>
      <c r="H85" s="552"/>
      <c r="I85" s="552"/>
      <c r="J85" s="552"/>
      <c r="K85" s="552"/>
      <c r="L85" s="552"/>
      <c r="M85" s="552"/>
      <c r="N85" s="552"/>
      <c r="O85" s="552"/>
      <c r="P85" s="552"/>
      <c r="Q85" s="552"/>
      <c r="R85" s="552"/>
      <c r="S85" s="552"/>
      <c r="T85" s="552"/>
      <c r="U85" s="552"/>
    </row>
    <row r="86" customFormat="false" ht="22.5" hidden="false" customHeight="true" outlineLevel="0" collapsed="false">
      <c r="A86" s="552"/>
      <c r="B86" s="552"/>
      <c r="C86" s="552"/>
      <c r="D86" s="553"/>
      <c r="E86" s="553"/>
      <c r="F86" s="553"/>
      <c r="G86" s="552"/>
      <c r="H86" s="552"/>
      <c r="I86" s="552"/>
      <c r="J86" s="552"/>
      <c r="K86" s="552"/>
      <c r="L86" s="552"/>
      <c r="M86" s="552"/>
      <c r="N86" s="552"/>
      <c r="O86" s="552"/>
      <c r="P86" s="552"/>
      <c r="Q86" s="552"/>
      <c r="R86" s="552"/>
      <c r="S86" s="552"/>
      <c r="T86" s="552"/>
      <c r="U86" s="552"/>
    </row>
    <row r="87" customFormat="false" ht="22.5" hidden="false" customHeight="true" outlineLevel="0" collapsed="false">
      <c r="A87" s="552"/>
      <c r="B87" s="552"/>
      <c r="C87" s="552"/>
      <c r="D87" s="553"/>
      <c r="E87" s="553"/>
      <c r="F87" s="553"/>
      <c r="G87" s="552"/>
      <c r="H87" s="552"/>
      <c r="I87" s="552"/>
      <c r="J87" s="552"/>
      <c r="K87" s="552"/>
      <c r="L87" s="552"/>
      <c r="M87" s="552"/>
      <c r="N87" s="552"/>
      <c r="O87" s="552"/>
      <c r="P87" s="552"/>
      <c r="Q87" s="552"/>
      <c r="R87" s="552"/>
      <c r="S87" s="552"/>
      <c r="T87" s="552"/>
      <c r="U87" s="552"/>
    </row>
    <row r="88" customFormat="false" ht="22.5" hidden="false" customHeight="true" outlineLevel="0" collapsed="false">
      <c r="A88" s="552"/>
      <c r="B88" s="552"/>
      <c r="C88" s="552"/>
      <c r="D88" s="553"/>
      <c r="E88" s="553"/>
      <c r="F88" s="553"/>
      <c r="G88" s="552"/>
      <c r="H88" s="552"/>
      <c r="I88" s="552"/>
      <c r="J88" s="552"/>
      <c r="K88" s="552"/>
      <c r="L88" s="552"/>
      <c r="M88" s="552"/>
      <c r="N88" s="552"/>
      <c r="O88" s="552"/>
      <c r="P88" s="552"/>
      <c r="Q88" s="552"/>
      <c r="R88" s="552"/>
      <c r="S88" s="552"/>
      <c r="T88" s="552"/>
      <c r="U88" s="552"/>
    </row>
    <row r="89" customFormat="false" ht="22.5" hidden="false" customHeight="true" outlineLevel="0" collapsed="false">
      <c r="A89" s="552"/>
      <c r="B89" s="552"/>
      <c r="C89" s="552"/>
      <c r="D89" s="553"/>
      <c r="E89" s="553"/>
      <c r="F89" s="553"/>
      <c r="G89" s="552"/>
      <c r="H89" s="552"/>
      <c r="I89" s="552"/>
      <c r="J89" s="552"/>
      <c r="K89" s="552"/>
      <c r="L89" s="552"/>
      <c r="M89" s="552"/>
      <c r="N89" s="552"/>
      <c r="O89" s="552"/>
      <c r="P89" s="552"/>
      <c r="Q89" s="552"/>
      <c r="R89" s="552"/>
      <c r="S89" s="552"/>
      <c r="T89" s="552"/>
      <c r="U89" s="552"/>
    </row>
    <row r="90" customFormat="false" ht="22.5" hidden="false" customHeight="true" outlineLevel="0" collapsed="false">
      <c r="A90" s="552"/>
      <c r="B90" s="552"/>
      <c r="C90" s="552"/>
      <c r="D90" s="553"/>
      <c r="E90" s="553"/>
      <c r="F90" s="553"/>
      <c r="G90" s="552"/>
      <c r="H90" s="552"/>
      <c r="I90" s="552"/>
      <c r="J90" s="552"/>
      <c r="K90" s="552"/>
      <c r="L90" s="552"/>
      <c r="M90" s="552"/>
      <c r="N90" s="552"/>
      <c r="O90" s="552"/>
      <c r="P90" s="552"/>
      <c r="Q90" s="552"/>
      <c r="R90" s="552"/>
      <c r="S90" s="552"/>
      <c r="T90" s="552"/>
      <c r="U90" s="552"/>
    </row>
    <row r="91" customFormat="false" ht="22.5" hidden="false" customHeight="true" outlineLevel="0" collapsed="false">
      <c r="A91" s="552"/>
      <c r="B91" s="552"/>
      <c r="C91" s="552"/>
      <c r="D91" s="553"/>
      <c r="E91" s="553"/>
      <c r="F91" s="553"/>
      <c r="G91" s="552"/>
      <c r="H91" s="552"/>
      <c r="I91" s="552"/>
      <c r="J91" s="552"/>
      <c r="K91" s="552"/>
      <c r="L91" s="552"/>
      <c r="M91" s="552"/>
      <c r="N91" s="552"/>
      <c r="O91" s="552"/>
      <c r="P91" s="552"/>
      <c r="Q91" s="552"/>
      <c r="R91" s="552"/>
      <c r="S91" s="552"/>
      <c r="T91" s="552"/>
      <c r="U91" s="552"/>
    </row>
    <row r="92" customFormat="false" ht="22.5" hidden="false" customHeight="true" outlineLevel="0" collapsed="false">
      <c r="A92" s="552"/>
      <c r="B92" s="552"/>
      <c r="C92" s="552"/>
      <c r="D92" s="553"/>
      <c r="E92" s="553"/>
      <c r="F92" s="553"/>
      <c r="G92" s="552"/>
      <c r="H92" s="552"/>
      <c r="I92" s="552"/>
      <c r="J92" s="552"/>
      <c r="K92" s="552"/>
      <c r="L92" s="552"/>
      <c r="M92" s="552"/>
      <c r="N92" s="552"/>
      <c r="O92" s="552"/>
      <c r="P92" s="552"/>
      <c r="Q92" s="552"/>
      <c r="R92" s="552"/>
      <c r="S92" s="552"/>
      <c r="T92" s="552"/>
      <c r="U92" s="552"/>
    </row>
    <row r="93" s="554" customFormat="true" ht="22.5" hidden="false" customHeight="true" outlineLevel="0" collapsed="false">
      <c r="A93" s="552"/>
      <c r="B93" s="552"/>
      <c r="C93" s="552"/>
      <c r="D93" s="553"/>
      <c r="E93" s="553"/>
      <c r="F93" s="553"/>
      <c r="G93" s="552"/>
      <c r="H93" s="552"/>
      <c r="I93" s="552"/>
      <c r="J93" s="552"/>
      <c r="K93" s="552"/>
      <c r="L93" s="552"/>
      <c r="M93" s="552"/>
      <c r="N93" s="552"/>
      <c r="O93" s="552"/>
      <c r="P93" s="552"/>
      <c r="Q93" s="552"/>
      <c r="R93" s="552"/>
      <c r="S93" s="552"/>
      <c r="T93" s="552"/>
      <c r="U93" s="552"/>
    </row>
    <row r="94" customFormat="false" ht="22.5" hidden="false" customHeight="true" outlineLevel="0" collapsed="false">
      <c r="A94" s="552"/>
      <c r="B94" s="552"/>
      <c r="C94" s="552"/>
      <c r="D94" s="553"/>
      <c r="E94" s="553"/>
      <c r="F94" s="553"/>
      <c r="G94" s="552"/>
      <c r="H94" s="552"/>
      <c r="I94" s="552"/>
      <c r="J94" s="552"/>
      <c r="K94" s="552"/>
      <c r="L94" s="552"/>
      <c r="M94" s="552"/>
      <c r="N94" s="552"/>
      <c r="O94" s="552"/>
      <c r="P94" s="552"/>
      <c r="Q94" s="552"/>
      <c r="R94" s="552"/>
      <c r="S94" s="552"/>
      <c r="T94" s="552"/>
      <c r="U94" s="552"/>
    </row>
    <row r="95" customFormat="false" ht="22.5" hidden="false" customHeight="true" outlineLevel="0" collapsed="false">
      <c r="A95" s="552"/>
      <c r="B95" s="552"/>
      <c r="C95" s="552"/>
      <c r="D95" s="553"/>
      <c r="E95" s="553"/>
      <c r="F95" s="553"/>
      <c r="G95" s="552"/>
      <c r="H95" s="552"/>
      <c r="I95" s="552"/>
      <c r="J95" s="552"/>
      <c r="K95" s="552"/>
      <c r="L95" s="552"/>
      <c r="M95" s="552"/>
      <c r="N95" s="552"/>
      <c r="O95" s="552"/>
      <c r="P95" s="552"/>
      <c r="Q95" s="552"/>
      <c r="R95" s="552"/>
      <c r="S95" s="552"/>
      <c r="T95" s="552"/>
      <c r="U95" s="552"/>
    </row>
    <row r="96" customFormat="false" ht="22.5" hidden="false" customHeight="true" outlineLevel="0" collapsed="false">
      <c r="A96" s="552"/>
      <c r="B96" s="552"/>
      <c r="C96" s="552"/>
      <c r="D96" s="553"/>
      <c r="E96" s="553"/>
      <c r="F96" s="553"/>
      <c r="G96" s="552"/>
      <c r="H96" s="552"/>
      <c r="I96" s="552"/>
      <c r="J96" s="552"/>
      <c r="K96" s="552"/>
      <c r="L96" s="552"/>
      <c r="M96" s="552"/>
      <c r="N96" s="552"/>
      <c r="O96" s="552"/>
      <c r="P96" s="552"/>
      <c r="Q96" s="552"/>
      <c r="R96" s="552"/>
      <c r="S96" s="552"/>
      <c r="T96" s="552"/>
      <c r="U96" s="552"/>
    </row>
    <row r="97" customFormat="false" ht="22.5" hidden="false" customHeight="true" outlineLevel="0" collapsed="false">
      <c r="A97" s="552"/>
      <c r="B97" s="552"/>
      <c r="C97" s="552"/>
      <c r="D97" s="553"/>
      <c r="E97" s="553"/>
      <c r="F97" s="553"/>
      <c r="G97" s="552"/>
      <c r="H97" s="552"/>
      <c r="I97" s="552"/>
      <c r="J97" s="552"/>
      <c r="K97" s="552"/>
      <c r="L97" s="552"/>
      <c r="M97" s="552"/>
      <c r="N97" s="552"/>
      <c r="O97" s="552"/>
      <c r="P97" s="552"/>
      <c r="Q97" s="552"/>
      <c r="R97" s="552"/>
      <c r="S97" s="552"/>
      <c r="T97" s="552"/>
      <c r="U97" s="552"/>
    </row>
    <row r="98" customFormat="false" ht="22.5" hidden="false" customHeight="true" outlineLevel="0" collapsed="false">
      <c r="A98" s="552"/>
      <c r="B98" s="552"/>
      <c r="C98" s="552"/>
      <c r="D98" s="553"/>
      <c r="E98" s="553"/>
      <c r="F98" s="553"/>
      <c r="G98" s="552"/>
      <c r="H98" s="552"/>
      <c r="I98" s="552"/>
      <c r="J98" s="552"/>
      <c r="K98" s="552"/>
      <c r="L98" s="552"/>
      <c r="M98" s="552"/>
      <c r="N98" s="552"/>
      <c r="O98" s="552"/>
      <c r="P98" s="552"/>
      <c r="Q98" s="552"/>
      <c r="R98" s="552"/>
      <c r="S98" s="552"/>
      <c r="T98" s="552"/>
      <c r="U98" s="552"/>
    </row>
    <row r="99" customFormat="false" ht="22.5" hidden="false" customHeight="true" outlineLevel="0" collapsed="false">
      <c r="A99" s="552"/>
      <c r="B99" s="552"/>
      <c r="C99" s="552"/>
      <c r="D99" s="553"/>
      <c r="E99" s="553"/>
      <c r="F99" s="553"/>
      <c r="G99" s="552"/>
      <c r="H99" s="552"/>
      <c r="I99" s="552"/>
      <c r="J99" s="552"/>
      <c r="K99" s="552"/>
      <c r="L99" s="552"/>
      <c r="M99" s="552"/>
      <c r="N99" s="552"/>
      <c r="O99" s="552"/>
      <c r="P99" s="552"/>
      <c r="Q99" s="552"/>
      <c r="R99" s="552"/>
      <c r="S99" s="552"/>
      <c r="T99" s="552"/>
      <c r="U99" s="552"/>
    </row>
    <row r="100" customFormat="false" ht="22.5" hidden="false" customHeight="true" outlineLevel="0" collapsed="false">
      <c r="A100" s="552"/>
      <c r="B100" s="552"/>
      <c r="C100" s="552"/>
      <c r="D100" s="553"/>
      <c r="E100" s="553"/>
      <c r="F100" s="553"/>
      <c r="G100" s="552"/>
      <c r="H100" s="552"/>
      <c r="I100" s="552"/>
      <c r="J100" s="552"/>
      <c r="K100" s="552"/>
      <c r="L100" s="552"/>
      <c r="M100" s="552"/>
      <c r="N100" s="552"/>
      <c r="O100" s="552"/>
      <c r="P100" s="552"/>
      <c r="Q100" s="552"/>
      <c r="R100" s="552"/>
      <c r="S100" s="552"/>
      <c r="T100" s="552"/>
      <c r="U100" s="552"/>
    </row>
    <row r="101" customFormat="false" ht="22.5" hidden="false" customHeight="true" outlineLevel="0" collapsed="false">
      <c r="A101" s="552"/>
      <c r="B101" s="552"/>
      <c r="C101" s="552"/>
      <c r="D101" s="553"/>
      <c r="E101" s="553"/>
      <c r="F101" s="553"/>
      <c r="G101" s="552"/>
      <c r="H101" s="552"/>
      <c r="I101" s="552"/>
      <c r="J101" s="552"/>
      <c r="K101" s="552"/>
      <c r="L101" s="552"/>
      <c r="M101" s="552"/>
      <c r="N101" s="552"/>
      <c r="O101" s="552"/>
      <c r="P101" s="552"/>
      <c r="Q101" s="552"/>
      <c r="R101" s="552"/>
      <c r="S101" s="552"/>
      <c r="T101" s="552"/>
      <c r="U101" s="552"/>
    </row>
    <row r="102" customFormat="false" ht="22.5" hidden="false" customHeight="true" outlineLevel="0" collapsed="false">
      <c r="A102" s="552"/>
      <c r="B102" s="552"/>
      <c r="C102" s="552"/>
      <c r="D102" s="553"/>
      <c r="E102" s="553"/>
      <c r="F102" s="553"/>
      <c r="G102" s="552"/>
      <c r="H102" s="552"/>
      <c r="I102" s="552"/>
      <c r="J102" s="552"/>
      <c r="K102" s="552"/>
      <c r="L102" s="552"/>
      <c r="M102" s="552"/>
      <c r="N102" s="552"/>
      <c r="O102" s="552"/>
      <c r="P102" s="552"/>
      <c r="Q102" s="552"/>
      <c r="R102" s="552"/>
      <c r="S102" s="552"/>
      <c r="T102" s="552"/>
      <c r="U102" s="552"/>
    </row>
    <row r="103" customFormat="false" ht="22.5" hidden="false" customHeight="true" outlineLevel="0" collapsed="false">
      <c r="A103" s="552"/>
      <c r="B103" s="552"/>
      <c r="C103" s="552"/>
      <c r="D103" s="553"/>
      <c r="E103" s="553"/>
      <c r="F103" s="553"/>
      <c r="G103" s="552"/>
      <c r="H103" s="552"/>
      <c r="I103" s="552"/>
      <c r="J103" s="552"/>
      <c r="K103" s="552"/>
      <c r="L103" s="552"/>
      <c r="M103" s="552"/>
      <c r="N103" s="552"/>
      <c r="O103" s="552"/>
      <c r="P103" s="552"/>
      <c r="Q103" s="552"/>
      <c r="R103" s="552"/>
      <c r="S103" s="552"/>
      <c r="T103" s="552"/>
      <c r="U103" s="552"/>
    </row>
    <row r="104" customFormat="false" ht="22.5" hidden="false" customHeight="true" outlineLevel="0" collapsed="false">
      <c r="A104" s="552"/>
      <c r="B104" s="552"/>
      <c r="C104" s="552"/>
      <c r="D104" s="553"/>
      <c r="E104" s="553"/>
      <c r="F104" s="553"/>
      <c r="G104" s="552"/>
      <c r="H104" s="552"/>
      <c r="I104" s="552"/>
      <c r="J104" s="552"/>
      <c r="K104" s="552"/>
      <c r="L104" s="552"/>
      <c r="M104" s="552"/>
      <c r="N104" s="552"/>
      <c r="O104" s="552"/>
      <c r="P104" s="552"/>
      <c r="Q104" s="552"/>
      <c r="R104" s="552"/>
      <c r="S104" s="552"/>
      <c r="T104" s="552"/>
      <c r="U104" s="552"/>
    </row>
    <row r="105" customFormat="false" ht="22.5" hidden="false" customHeight="true" outlineLevel="0" collapsed="false">
      <c r="A105" s="552"/>
      <c r="B105" s="552"/>
      <c r="C105" s="552"/>
      <c r="D105" s="553"/>
      <c r="E105" s="553"/>
      <c r="F105" s="553"/>
      <c r="G105" s="552"/>
      <c r="H105" s="552"/>
      <c r="I105" s="552"/>
      <c r="J105" s="552"/>
      <c r="K105" s="552"/>
      <c r="L105" s="552"/>
      <c r="M105" s="552"/>
      <c r="N105" s="552"/>
      <c r="O105" s="552"/>
      <c r="P105" s="552"/>
      <c r="Q105" s="552"/>
      <c r="R105" s="552"/>
      <c r="S105" s="552"/>
      <c r="T105" s="552"/>
      <c r="U105" s="552"/>
    </row>
    <row r="106" customFormat="false" ht="22.5" hidden="false" customHeight="true" outlineLevel="0" collapsed="false">
      <c r="A106" s="552"/>
      <c r="B106" s="552"/>
      <c r="C106" s="552"/>
      <c r="D106" s="553"/>
      <c r="E106" s="553"/>
      <c r="F106" s="553"/>
      <c r="G106" s="552"/>
      <c r="H106" s="552"/>
      <c r="I106" s="552"/>
      <c r="J106" s="552"/>
      <c r="K106" s="552"/>
      <c r="L106" s="552"/>
      <c r="M106" s="552"/>
      <c r="N106" s="552"/>
      <c r="O106" s="552"/>
      <c r="P106" s="552"/>
      <c r="Q106" s="552"/>
      <c r="R106" s="552"/>
      <c r="S106" s="552"/>
      <c r="T106" s="552"/>
      <c r="U106" s="552"/>
    </row>
    <row r="107" customFormat="false" ht="22.5" hidden="false" customHeight="true" outlineLevel="0" collapsed="false">
      <c r="A107" s="552"/>
      <c r="B107" s="552"/>
      <c r="C107" s="552"/>
      <c r="D107" s="553"/>
      <c r="E107" s="553"/>
      <c r="F107" s="553"/>
      <c r="G107" s="552"/>
      <c r="H107" s="552"/>
      <c r="I107" s="552"/>
      <c r="J107" s="552"/>
      <c r="K107" s="552"/>
      <c r="L107" s="552"/>
      <c r="M107" s="552"/>
      <c r="N107" s="552"/>
      <c r="O107" s="552"/>
      <c r="P107" s="552"/>
      <c r="Q107" s="552"/>
      <c r="R107" s="552"/>
      <c r="S107" s="552"/>
      <c r="T107" s="552"/>
      <c r="U107" s="552"/>
    </row>
    <row r="108" customFormat="false" ht="22.5" hidden="false" customHeight="true" outlineLevel="0" collapsed="false">
      <c r="A108" s="552"/>
      <c r="B108" s="552"/>
      <c r="C108" s="552"/>
      <c r="D108" s="553"/>
      <c r="E108" s="553"/>
      <c r="F108" s="553"/>
      <c r="G108" s="552"/>
      <c r="H108" s="552"/>
      <c r="I108" s="552"/>
      <c r="J108" s="552"/>
      <c r="K108" s="552"/>
      <c r="L108" s="552"/>
      <c r="M108" s="552"/>
      <c r="N108" s="552"/>
      <c r="O108" s="552"/>
      <c r="P108" s="552"/>
      <c r="Q108" s="552"/>
      <c r="R108" s="552"/>
      <c r="S108" s="552"/>
      <c r="T108" s="552"/>
      <c r="U108" s="552"/>
    </row>
    <row r="109" customFormat="false" ht="22.5" hidden="false" customHeight="true" outlineLevel="0" collapsed="false">
      <c r="A109" s="552"/>
      <c r="B109" s="552"/>
      <c r="C109" s="552"/>
      <c r="D109" s="553"/>
      <c r="E109" s="553"/>
      <c r="F109" s="553"/>
      <c r="G109" s="552"/>
      <c r="H109" s="552"/>
      <c r="I109" s="552"/>
      <c r="J109" s="552"/>
      <c r="K109" s="552"/>
      <c r="L109" s="552"/>
      <c r="M109" s="552"/>
      <c r="N109" s="552"/>
      <c r="O109" s="552"/>
      <c r="P109" s="552"/>
      <c r="Q109" s="552"/>
      <c r="R109" s="552"/>
      <c r="S109" s="552"/>
      <c r="T109" s="552"/>
      <c r="U109" s="552"/>
    </row>
    <row r="110" customFormat="false" ht="22.5" hidden="false" customHeight="true" outlineLevel="0" collapsed="false">
      <c r="A110" s="552"/>
      <c r="B110" s="552"/>
      <c r="C110" s="552"/>
      <c r="D110" s="553"/>
      <c r="E110" s="553"/>
      <c r="F110" s="553"/>
      <c r="G110" s="552"/>
      <c r="H110" s="552"/>
      <c r="I110" s="552"/>
      <c r="J110" s="552"/>
      <c r="K110" s="552"/>
      <c r="L110" s="552"/>
      <c r="M110" s="552"/>
      <c r="N110" s="552"/>
      <c r="O110" s="552"/>
      <c r="P110" s="552"/>
      <c r="Q110" s="552"/>
      <c r="R110" s="552"/>
      <c r="S110" s="552"/>
      <c r="T110" s="552"/>
      <c r="U110" s="552"/>
    </row>
    <row r="111" customFormat="false" ht="22.5" hidden="false" customHeight="true" outlineLevel="0" collapsed="false">
      <c r="A111" s="552"/>
      <c r="B111" s="552"/>
      <c r="C111" s="552"/>
      <c r="D111" s="553"/>
      <c r="E111" s="553"/>
      <c r="F111" s="553"/>
      <c r="G111" s="552"/>
      <c r="H111" s="552"/>
      <c r="I111" s="552"/>
      <c r="J111" s="552"/>
      <c r="K111" s="552"/>
      <c r="L111" s="552"/>
      <c r="M111" s="552"/>
      <c r="N111" s="552"/>
      <c r="O111" s="552"/>
      <c r="P111" s="552"/>
      <c r="Q111" s="552"/>
      <c r="R111" s="552"/>
      <c r="S111" s="552"/>
      <c r="T111" s="552"/>
      <c r="U111" s="552"/>
    </row>
    <row r="112" customFormat="false" ht="22.5" hidden="false" customHeight="true" outlineLevel="0" collapsed="false">
      <c r="A112" s="552"/>
      <c r="B112" s="552"/>
      <c r="C112" s="552"/>
      <c r="D112" s="553"/>
      <c r="E112" s="553"/>
      <c r="F112" s="553"/>
      <c r="G112" s="552"/>
      <c r="H112" s="552"/>
      <c r="I112" s="552"/>
      <c r="J112" s="552"/>
      <c r="K112" s="552"/>
      <c r="L112" s="552"/>
      <c r="M112" s="552"/>
      <c r="N112" s="552"/>
      <c r="O112" s="552"/>
      <c r="P112" s="552"/>
      <c r="Q112" s="552"/>
      <c r="R112" s="552"/>
      <c r="S112" s="552"/>
      <c r="T112" s="552"/>
      <c r="U112" s="552"/>
    </row>
    <row r="113" customFormat="false" ht="22.5" hidden="false" customHeight="true" outlineLevel="0" collapsed="false">
      <c r="A113" s="552"/>
      <c r="B113" s="552"/>
      <c r="C113" s="552"/>
      <c r="D113" s="553"/>
      <c r="E113" s="553"/>
      <c r="F113" s="553"/>
      <c r="G113" s="552"/>
      <c r="H113" s="552"/>
      <c r="I113" s="552"/>
      <c r="J113" s="552"/>
      <c r="K113" s="552"/>
      <c r="L113" s="552"/>
      <c r="M113" s="552"/>
      <c r="N113" s="552"/>
      <c r="O113" s="552"/>
      <c r="P113" s="552"/>
      <c r="Q113" s="552"/>
      <c r="R113" s="552"/>
      <c r="S113" s="552"/>
      <c r="T113" s="552"/>
      <c r="U113" s="552"/>
    </row>
    <row r="114" customFormat="false" ht="22.5" hidden="false" customHeight="true" outlineLevel="0" collapsed="false">
      <c r="A114" s="552"/>
      <c r="B114" s="552"/>
      <c r="C114" s="552"/>
      <c r="D114" s="553"/>
      <c r="E114" s="553"/>
      <c r="F114" s="553"/>
      <c r="G114" s="552"/>
      <c r="H114" s="552"/>
      <c r="I114" s="552"/>
      <c r="J114" s="552"/>
      <c r="K114" s="552"/>
      <c r="L114" s="552"/>
      <c r="M114" s="552"/>
      <c r="N114" s="552"/>
      <c r="O114" s="552"/>
      <c r="P114" s="552"/>
      <c r="Q114" s="552"/>
      <c r="R114" s="552"/>
      <c r="S114" s="552"/>
      <c r="T114" s="552"/>
      <c r="U114" s="552"/>
    </row>
    <row r="115" customFormat="false" ht="22.5" hidden="false" customHeight="true" outlineLevel="0" collapsed="false">
      <c r="A115" s="552"/>
      <c r="B115" s="552"/>
      <c r="C115" s="552"/>
      <c r="D115" s="553"/>
      <c r="E115" s="553"/>
      <c r="F115" s="553"/>
      <c r="G115" s="552"/>
      <c r="H115" s="552"/>
      <c r="I115" s="552"/>
      <c r="J115" s="552"/>
      <c r="K115" s="552"/>
      <c r="L115" s="552"/>
      <c r="M115" s="552"/>
      <c r="N115" s="552"/>
      <c r="O115" s="552"/>
      <c r="P115" s="552"/>
      <c r="Q115" s="552"/>
      <c r="R115" s="552"/>
      <c r="S115" s="552"/>
      <c r="T115" s="552"/>
      <c r="U115" s="552"/>
    </row>
    <row r="116" customFormat="false" ht="22.5" hidden="false" customHeight="true" outlineLevel="0" collapsed="false">
      <c r="A116" s="552"/>
      <c r="B116" s="552"/>
      <c r="C116" s="552"/>
      <c r="D116" s="553"/>
      <c r="E116" s="553"/>
      <c r="F116" s="553"/>
      <c r="G116" s="552"/>
      <c r="H116" s="552"/>
      <c r="I116" s="552"/>
      <c r="J116" s="552"/>
      <c r="K116" s="552"/>
      <c r="L116" s="552"/>
      <c r="M116" s="552"/>
      <c r="N116" s="552"/>
      <c r="O116" s="552"/>
      <c r="P116" s="552"/>
      <c r="Q116" s="552"/>
      <c r="R116" s="552"/>
      <c r="S116" s="552"/>
      <c r="T116" s="552"/>
      <c r="U116" s="552"/>
    </row>
    <row r="117" customFormat="false" ht="22.5" hidden="false" customHeight="true" outlineLevel="0" collapsed="false">
      <c r="A117" s="552"/>
      <c r="B117" s="552"/>
      <c r="C117" s="552"/>
      <c r="D117" s="553"/>
      <c r="E117" s="553"/>
      <c r="F117" s="553"/>
      <c r="G117" s="552"/>
      <c r="H117" s="552"/>
      <c r="I117" s="552"/>
      <c r="J117" s="552"/>
      <c r="K117" s="552"/>
      <c r="L117" s="552"/>
      <c r="M117" s="552"/>
      <c r="N117" s="552"/>
      <c r="O117" s="552"/>
      <c r="P117" s="552"/>
      <c r="Q117" s="552"/>
      <c r="R117" s="552"/>
      <c r="S117" s="552"/>
      <c r="T117" s="552"/>
      <c r="U117" s="552"/>
    </row>
    <row r="118" customFormat="false" ht="22.5" hidden="false" customHeight="true" outlineLevel="0" collapsed="false">
      <c r="A118" s="552"/>
      <c r="B118" s="552"/>
      <c r="C118" s="552"/>
      <c r="D118" s="553"/>
      <c r="E118" s="553"/>
      <c r="F118" s="553"/>
      <c r="G118" s="552"/>
      <c r="H118" s="552"/>
      <c r="I118" s="552"/>
      <c r="J118" s="552"/>
      <c r="K118" s="552"/>
      <c r="L118" s="552"/>
      <c r="M118" s="552"/>
      <c r="N118" s="552"/>
      <c r="O118" s="552"/>
      <c r="P118" s="552"/>
      <c r="Q118" s="552"/>
      <c r="R118" s="552"/>
      <c r="S118" s="552"/>
      <c r="T118" s="552"/>
      <c r="U118" s="552"/>
    </row>
    <row r="119" customFormat="false" ht="22.5" hidden="false" customHeight="true" outlineLevel="0" collapsed="false">
      <c r="A119" s="552"/>
      <c r="B119" s="552"/>
      <c r="C119" s="552"/>
      <c r="D119" s="553"/>
      <c r="E119" s="553"/>
      <c r="F119" s="553"/>
      <c r="G119" s="552"/>
      <c r="H119" s="552"/>
      <c r="I119" s="552"/>
      <c r="J119" s="552"/>
      <c r="K119" s="552"/>
      <c r="L119" s="552"/>
      <c r="M119" s="552"/>
      <c r="N119" s="552"/>
      <c r="O119" s="552"/>
      <c r="P119" s="552"/>
      <c r="Q119" s="552"/>
      <c r="R119" s="552"/>
      <c r="S119" s="552"/>
      <c r="T119" s="552"/>
      <c r="U119" s="552"/>
    </row>
    <row r="120" customFormat="false" ht="22.5" hidden="false" customHeight="true" outlineLevel="0" collapsed="false">
      <c r="A120" s="552"/>
      <c r="B120" s="552"/>
      <c r="C120" s="552"/>
      <c r="D120" s="553"/>
      <c r="E120" s="553"/>
      <c r="F120" s="553"/>
      <c r="G120" s="552"/>
      <c r="H120" s="552"/>
      <c r="I120" s="552"/>
      <c r="J120" s="552"/>
      <c r="K120" s="552"/>
      <c r="L120" s="552"/>
      <c r="M120" s="552"/>
      <c r="N120" s="552"/>
      <c r="O120" s="552"/>
      <c r="P120" s="552"/>
      <c r="Q120" s="552"/>
      <c r="R120" s="552"/>
      <c r="S120" s="552"/>
      <c r="T120" s="552"/>
      <c r="U120" s="552"/>
    </row>
    <row r="121" customFormat="false" ht="22.5" hidden="false" customHeight="true" outlineLevel="0" collapsed="false">
      <c r="A121" s="552"/>
      <c r="B121" s="552"/>
      <c r="C121" s="552"/>
      <c r="D121" s="553"/>
      <c r="E121" s="553"/>
      <c r="F121" s="553"/>
      <c r="G121" s="552"/>
      <c r="H121" s="552"/>
      <c r="I121" s="552"/>
      <c r="J121" s="552"/>
      <c r="K121" s="552"/>
      <c r="L121" s="552"/>
      <c r="M121" s="552"/>
      <c r="N121" s="552"/>
      <c r="O121" s="552"/>
      <c r="P121" s="552"/>
      <c r="Q121" s="552"/>
      <c r="R121" s="552"/>
      <c r="S121" s="552"/>
      <c r="T121" s="552"/>
      <c r="U121" s="552"/>
    </row>
    <row r="122" customFormat="false" ht="22.5" hidden="false" customHeight="true" outlineLevel="0" collapsed="false">
      <c r="A122" s="552"/>
      <c r="B122" s="552"/>
      <c r="C122" s="552"/>
      <c r="D122" s="553"/>
      <c r="E122" s="553"/>
      <c r="F122" s="553"/>
      <c r="G122" s="552"/>
      <c r="H122" s="552"/>
      <c r="I122" s="552"/>
      <c r="J122" s="552"/>
      <c r="K122" s="552"/>
      <c r="L122" s="552"/>
      <c r="M122" s="552"/>
      <c r="N122" s="552"/>
      <c r="O122" s="552"/>
      <c r="P122" s="552"/>
      <c r="Q122" s="552"/>
      <c r="R122" s="552"/>
      <c r="S122" s="552"/>
      <c r="T122" s="552"/>
      <c r="U122" s="552"/>
    </row>
    <row r="123" customFormat="false" ht="22.5" hidden="false" customHeight="true" outlineLevel="0" collapsed="false">
      <c r="A123" s="552"/>
      <c r="B123" s="552"/>
      <c r="C123" s="552"/>
      <c r="D123" s="553"/>
      <c r="E123" s="553"/>
      <c r="F123" s="553"/>
      <c r="G123" s="552"/>
      <c r="H123" s="552"/>
      <c r="I123" s="552"/>
      <c r="J123" s="552"/>
      <c r="K123" s="552"/>
      <c r="L123" s="552"/>
      <c r="M123" s="552"/>
      <c r="N123" s="552"/>
      <c r="O123" s="552"/>
      <c r="P123" s="552"/>
      <c r="Q123" s="552"/>
      <c r="R123" s="552"/>
      <c r="S123" s="552"/>
      <c r="T123" s="552"/>
      <c r="U123" s="552"/>
    </row>
    <row r="124" customFormat="false" ht="22.5" hidden="false" customHeight="true" outlineLevel="0" collapsed="false">
      <c r="A124" s="552"/>
      <c r="B124" s="552"/>
      <c r="C124" s="552"/>
      <c r="D124" s="553"/>
      <c r="E124" s="553"/>
      <c r="F124" s="553"/>
      <c r="G124" s="552"/>
      <c r="H124" s="552"/>
      <c r="I124" s="552"/>
      <c r="J124" s="552"/>
      <c r="K124" s="552"/>
      <c r="L124" s="552"/>
      <c r="M124" s="552"/>
      <c r="N124" s="552"/>
      <c r="O124" s="552"/>
      <c r="P124" s="552"/>
      <c r="Q124" s="552"/>
      <c r="R124" s="552"/>
      <c r="S124" s="552"/>
      <c r="T124" s="552"/>
      <c r="U124" s="552"/>
    </row>
    <row r="125" customFormat="false" ht="22.5" hidden="false" customHeight="true" outlineLevel="0" collapsed="false">
      <c r="A125" s="552"/>
      <c r="B125" s="552"/>
      <c r="C125" s="552"/>
      <c r="D125" s="553"/>
      <c r="E125" s="553"/>
      <c r="F125" s="553"/>
      <c r="G125" s="552"/>
      <c r="H125" s="552"/>
      <c r="I125" s="552"/>
      <c r="J125" s="552"/>
      <c r="K125" s="552"/>
      <c r="L125" s="552"/>
      <c r="M125" s="552"/>
      <c r="N125" s="552"/>
      <c r="O125" s="552"/>
      <c r="P125" s="552"/>
      <c r="Q125" s="552"/>
      <c r="R125" s="552"/>
      <c r="S125" s="552"/>
      <c r="T125" s="552"/>
      <c r="U125" s="552"/>
    </row>
    <row r="126" customFormat="false" ht="22.5" hidden="false" customHeight="true" outlineLevel="0" collapsed="false">
      <c r="A126" s="552"/>
      <c r="B126" s="552"/>
      <c r="C126" s="552"/>
      <c r="D126" s="553"/>
      <c r="E126" s="553"/>
      <c r="F126" s="553"/>
      <c r="G126" s="552"/>
      <c r="H126" s="552"/>
      <c r="I126" s="552"/>
      <c r="J126" s="552"/>
      <c r="K126" s="552"/>
      <c r="L126" s="552"/>
      <c r="M126" s="552"/>
      <c r="N126" s="552"/>
      <c r="O126" s="552"/>
      <c r="P126" s="552"/>
      <c r="Q126" s="552"/>
      <c r="R126" s="552"/>
      <c r="S126" s="552"/>
      <c r="T126" s="552"/>
      <c r="U126" s="552"/>
    </row>
    <row r="127" customFormat="false" ht="22.5" hidden="false" customHeight="true" outlineLevel="0" collapsed="false">
      <c r="A127" s="552"/>
      <c r="B127" s="552"/>
      <c r="C127" s="552"/>
      <c r="D127" s="553"/>
      <c r="E127" s="553"/>
      <c r="F127" s="553"/>
      <c r="G127" s="552"/>
      <c r="H127" s="552"/>
      <c r="I127" s="552"/>
      <c r="J127" s="552"/>
      <c r="K127" s="552"/>
      <c r="L127" s="552"/>
      <c r="M127" s="552"/>
      <c r="N127" s="552"/>
      <c r="O127" s="552"/>
      <c r="P127" s="552"/>
      <c r="Q127" s="552"/>
      <c r="R127" s="552"/>
      <c r="S127" s="552"/>
      <c r="T127" s="552"/>
      <c r="U127" s="552"/>
    </row>
    <row r="128" customFormat="false" ht="22.5" hidden="false" customHeight="true" outlineLevel="0" collapsed="false">
      <c r="A128" s="552"/>
      <c r="B128" s="552"/>
      <c r="C128" s="552"/>
      <c r="D128" s="553"/>
      <c r="E128" s="553"/>
      <c r="F128" s="553"/>
      <c r="G128" s="552"/>
      <c r="H128" s="552"/>
      <c r="I128" s="552"/>
      <c r="J128" s="552"/>
      <c r="K128" s="552"/>
      <c r="L128" s="552"/>
      <c r="M128" s="552"/>
      <c r="N128" s="552"/>
      <c r="O128" s="552"/>
      <c r="P128" s="552"/>
      <c r="Q128" s="552"/>
      <c r="R128" s="552"/>
      <c r="S128" s="552"/>
      <c r="T128" s="552"/>
      <c r="U128" s="552"/>
    </row>
    <row r="129" customFormat="false" ht="22.5" hidden="false" customHeight="true" outlineLevel="0" collapsed="false">
      <c r="A129" s="552"/>
      <c r="B129" s="552"/>
      <c r="C129" s="552"/>
      <c r="D129" s="553"/>
      <c r="E129" s="553"/>
      <c r="F129" s="553"/>
      <c r="G129" s="552"/>
      <c r="H129" s="552"/>
      <c r="I129" s="552"/>
      <c r="J129" s="552"/>
      <c r="K129" s="552"/>
      <c r="L129" s="552"/>
      <c r="M129" s="552"/>
      <c r="N129" s="552"/>
      <c r="O129" s="552"/>
      <c r="P129" s="552"/>
      <c r="Q129" s="552"/>
      <c r="R129" s="552"/>
      <c r="S129" s="552"/>
      <c r="T129" s="552"/>
      <c r="U129" s="552"/>
    </row>
    <row r="130" customFormat="false" ht="22.5" hidden="false" customHeight="true" outlineLevel="0" collapsed="false">
      <c r="A130" s="552"/>
      <c r="B130" s="552"/>
      <c r="C130" s="552"/>
      <c r="D130" s="553"/>
      <c r="E130" s="553"/>
      <c r="F130" s="553"/>
      <c r="G130" s="552"/>
      <c r="H130" s="552"/>
      <c r="I130" s="552"/>
      <c r="J130" s="552"/>
      <c r="K130" s="552"/>
      <c r="L130" s="552"/>
      <c r="M130" s="552"/>
      <c r="N130" s="552"/>
      <c r="O130" s="552"/>
      <c r="P130" s="552"/>
      <c r="Q130" s="552"/>
      <c r="R130" s="552"/>
      <c r="S130" s="552"/>
      <c r="T130" s="552"/>
      <c r="U130" s="552"/>
    </row>
    <row r="131" customFormat="false" ht="22.5" hidden="false" customHeight="true" outlineLevel="0" collapsed="false">
      <c r="A131" s="552"/>
      <c r="B131" s="552"/>
      <c r="C131" s="552"/>
      <c r="D131" s="553"/>
      <c r="E131" s="553"/>
      <c r="F131" s="553"/>
      <c r="G131" s="552"/>
      <c r="H131" s="552"/>
      <c r="I131" s="552"/>
      <c r="J131" s="552"/>
      <c r="K131" s="552"/>
      <c r="L131" s="552"/>
      <c r="M131" s="552"/>
      <c r="N131" s="552"/>
      <c r="O131" s="552"/>
      <c r="P131" s="552"/>
      <c r="Q131" s="552"/>
      <c r="R131" s="552"/>
      <c r="S131" s="552"/>
      <c r="T131" s="552"/>
      <c r="U131" s="552"/>
    </row>
    <row r="132" customFormat="false" ht="22.5" hidden="false" customHeight="true" outlineLevel="0" collapsed="false">
      <c r="A132" s="552"/>
      <c r="B132" s="552"/>
      <c r="C132" s="552"/>
      <c r="D132" s="553"/>
      <c r="E132" s="553"/>
      <c r="F132" s="553"/>
      <c r="G132" s="552"/>
      <c r="H132" s="552"/>
      <c r="I132" s="552"/>
      <c r="J132" s="552"/>
      <c r="K132" s="552"/>
      <c r="L132" s="552"/>
      <c r="M132" s="552"/>
      <c r="N132" s="552"/>
      <c r="O132" s="552"/>
      <c r="P132" s="552"/>
      <c r="Q132" s="552"/>
      <c r="R132" s="552"/>
      <c r="S132" s="552"/>
      <c r="T132" s="552"/>
      <c r="U132" s="552"/>
    </row>
    <row r="133" customFormat="false" ht="22.5" hidden="false" customHeight="true" outlineLevel="0" collapsed="false">
      <c r="A133" s="552"/>
      <c r="B133" s="552"/>
      <c r="C133" s="552"/>
      <c r="D133" s="553"/>
      <c r="E133" s="553"/>
      <c r="F133" s="553"/>
      <c r="G133" s="552"/>
      <c r="H133" s="552"/>
      <c r="I133" s="552"/>
      <c r="J133" s="552"/>
      <c r="K133" s="552"/>
      <c r="L133" s="552"/>
      <c r="M133" s="552"/>
      <c r="N133" s="552"/>
      <c r="O133" s="552"/>
      <c r="P133" s="552"/>
      <c r="Q133" s="552"/>
      <c r="R133" s="552"/>
      <c r="S133" s="552"/>
      <c r="T133" s="552"/>
      <c r="U133" s="552"/>
    </row>
    <row r="134" customFormat="false" ht="22.5" hidden="false" customHeight="true" outlineLevel="0" collapsed="false">
      <c r="A134" s="552"/>
      <c r="B134" s="552"/>
      <c r="C134" s="552"/>
      <c r="D134" s="553"/>
      <c r="E134" s="553"/>
      <c r="F134" s="553"/>
      <c r="G134" s="552"/>
      <c r="H134" s="552"/>
      <c r="I134" s="552"/>
      <c r="J134" s="552"/>
      <c r="K134" s="552"/>
      <c r="L134" s="552"/>
      <c r="M134" s="552"/>
      <c r="N134" s="552"/>
      <c r="O134" s="552"/>
      <c r="P134" s="552"/>
      <c r="Q134" s="552"/>
      <c r="R134" s="552"/>
      <c r="S134" s="552"/>
      <c r="T134" s="552"/>
      <c r="U134" s="552"/>
    </row>
    <row r="135" customFormat="false" ht="22.5" hidden="false" customHeight="true" outlineLevel="0" collapsed="false">
      <c r="A135" s="552"/>
      <c r="B135" s="552"/>
      <c r="C135" s="552"/>
      <c r="D135" s="553"/>
      <c r="E135" s="553"/>
      <c r="F135" s="553"/>
      <c r="G135" s="552"/>
      <c r="H135" s="552"/>
      <c r="I135" s="552"/>
      <c r="J135" s="552"/>
      <c r="K135" s="552"/>
      <c r="L135" s="552"/>
      <c r="M135" s="552"/>
      <c r="N135" s="552"/>
      <c r="O135" s="552"/>
      <c r="P135" s="552"/>
      <c r="Q135" s="552"/>
      <c r="R135" s="552"/>
      <c r="S135" s="552"/>
      <c r="T135" s="552"/>
      <c r="U135" s="552"/>
    </row>
    <row r="136" customFormat="false" ht="22.5" hidden="false" customHeight="true" outlineLevel="0" collapsed="false">
      <c r="A136" s="552"/>
      <c r="B136" s="552"/>
      <c r="C136" s="552"/>
      <c r="D136" s="553"/>
      <c r="E136" s="553"/>
      <c r="F136" s="553"/>
      <c r="G136" s="552"/>
      <c r="H136" s="552"/>
      <c r="I136" s="552"/>
      <c r="J136" s="552"/>
      <c r="K136" s="552"/>
      <c r="L136" s="552"/>
      <c r="M136" s="552"/>
      <c r="N136" s="552"/>
      <c r="O136" s="552"/>
      <c r="P136" s="552"/>
      <c r="Q136" s="552"/>
      <c r="R136" s="552"/>
      <c r="S136" s="552"/>
      <c r="T136" s="552"/>
      <c r="U136" s="552"/>
    </row>
    <row r="137" customFormat="false" ht="22.5" hidden="false" customHeight="true" outlineLevel="0" collapsed="false">
      <c r="A137" s="552"/>
      <c r="B137" s="552"/>
      <c r="C137" s="552"/>
      <c r="D137" s="553"/>
      <c r="E137" s="553"/>
      <c r="F137" s="553"/>
      <c r="G137" s="552"/>
      <c r="H137" s="552"/>
      <c r="I137" s="552"/>
      <c r="J137" s="552"/>
      <c r="K137" s="552"/>
      <c r="L137" s="552"/>
      <c r="M137" s="552"/>
      <c r="N137" s="552"/>
      <c r="O137" s="552"/>
      <c r="P137" s="552"/>
      <c r="Q137" s="552"/>
      <c r="R137" s="552"/>
      <c r="S137" s="552"/>
      <c r="T137" s="552"/>
      <c r="U137" s="552"/>
    </row>
    <row r="138" customFormat="false" ht="22.5" hidden="false" customHeight="true" outlineLevel="0" collapsed="false">
      <c r="A138" s="552"/>
      <c r="B138" s="552"/>
      <c r="C138" s="552"/>
      <c r="D138" s="553"/>
      <c r="E138" s="553"/>
      <c r="F138" s="553"/>
      <c r="G138" s="552"/>
      <c r="H138" s="552"/>
      <c r="I138" s="552"/>
      <c r="J138" s="552"/>
      <c r="K138" s="552"/>
      <c r="L138" s="552"/>
      <c r="M138" s="552"/>
      <c r="N138" s="552"/>
      <c r="O138" s="552"/>
      <c r="P138" s="552"/>
      <c r="Q138" s="552"/>
      <c r="R138" s="552"/>
      <c r="S138" s="552"/>
      <c r="T138" s="552"/>
      <c r="U138" s="552"/>
    </row>
    <row r="139" customFormat="false" ht="22.5" hidden="false" customHeight="true" outlineLevel="0" collapsed="false">
      <c r="A139" s="552"/>
      <c r="B139" s="552"/>
      <c r="C139" s="552"/>
      <c r="D139" s="553"/>
      <c r="E139" s="553"/>
      <c r="F139" s="553"/>
      <c r="G139" s="552"/>
      <c r="H139" s="552"/>
      <c r="I139" s="552"/>
      <c r="J139" s="552"/>
      <c r="K139" s="552"/>
      <c r="L139" s="552"/>
      <c r="M139" s="552"/>
      <c r="N139" s="552"/>
      <c r="O139" s="552"/>
      <c r="P139" s="552"/>
      <c r="Q139" s="552"/>
      <c r="R139" s="552"/>
      <c r="S139" s="552"/>
      <c r="T139" s="552"/>
      <c r="U139" s="552"/>
    </row>
    <row r="140" customFormat="false" ht="22.5" hidden="false" customHeight="true" outlineLevel="0" collapsed="false">
      <c r="A140" s="552"/>
      <c r="B140" s="552"/>
      <c r="C140" s="552"/>
      <c r="D140" s="553"/>
      <c r="E140" s="553"/>
      <c r="F140" s="553"/>
      <c r="G140" s="552"/>
      <c r="H140" s="552"/>
      <c r="I140" s="552"/>
      <c r="J140" s="552"/>
      <c r="K140" s="552"/>
      <c r="L140" s="552"/>
      <c r="M140" s="552"/>
      <c r="N140" s="552"/>
      <c r="O140" s="552"/>
      <c r="P140" s="552"/>
      <c r="Q140" s="552"/>
      <c r="R140" s="552"/>
      <c r="S140" s="552"/>
      <c r="T140" s="552"/>
      <c r="U140" s="552"/>
    </row>
    <row r="141" customFormat="false" ht="22.5" hidden="false" customHeight="true" outlineLevel="0" collapsed="false">
      <c r="A141" s="552"/>
      <c r="B141" s="552"/>
      <c r="C141" s="552"/>
      <c r="D141" s="553"/>
      <c r="E141" s="553"/>
      <c r="F141" s="553"/>
      <c r="G141" s="552"/>
      <c r="H141" s="552"/>
      <c r="I141" s="552"/>
      <c r="J141" s="552"/>
      <c r="K141" s="552"/>
      <c r="L141" s="552"/>
      <c r="M141" s="552"/>
      <c r="N141" s="552"/>
      <c r="O141" s="552"/>
      <c r="P141" s="552"/>
      <c r="Q141" s="552"/>
      <c r="R141" s="552"/>
      <c r="S141" s="552"/>
      <c r="T141" s="552"/>
      <c r="U141" s="552"/>
    </row>
    <row r="142" customFormat="false" ht="22.5" hidden="false" customHeight="true" outlineLevel="0" collapsed="false">
      <c r="A142" s="552"/>
      <c r="B142" s="552"/>
      <c r="C142" s="552"/>
      <c r="D142" s="553"/>
      <c r="E142" s="553"/>
      <c r="F142" s="553"/>
      <c r="G142" s="552"/>
      <c r="H142" s="552"/>
      <c r="I142" s="552"/>
      <c r="J142" s="552"/>
      <c r="K142" s="552"/>
      <c r="L142" s="552"/>
      <c r="M142" s="552"/>
      <c r="N142" s="552"/>
      <c r="O142" s="552"/>
      <c r="P142" s="552"/>
      <c r="Q142" s="552"/>
      <c r="R142" s="552"/>
      <c r="S142" s="552"/>
      <c r="T142" s="552"/>
      <c r="U142" s="552"/>
    </row>
    <row r="143" customFormat="false" ht="22.5" hidden="false" customHeight="true" outlineLevel="0" collapsed="false">
      <c r="A143" s="552"/>
      <c r="B143" s="552"/>
      <c r="C143" s="552"/>
      <c r="D143" s="553"/>
      <c r="E143" s="553"/>
      <c r="F143" s="553"/>
      <c r="G143" s="552"/>
      <c r="H143" s="552"/>
      <c r="I143" s="552"/>
      <c r="J143" s="552"/>
      <c r="K143" s="552"/>
      <c r="L143" s="552"/>
      <c r="M143" s="552"/>
      <c r="N143" s="552"/>
      <c r="O143" s="552"/>
      <c r="P143" s="552"/>
      <c r="Q143" s="552"/>
      <c r="R143" s="552"/>
      <c r="S143" s="552"/>
      <c r="T143" s="552"/>
      <c r="U143" s="552"/>
    </row>
    <row r="144" customFormat="false" ht="22.5" hidden="false" customHeight="true" outlineLevel="0" collapsed="false">
      <c r="A144" s="552"/>
      <c r="B144" s="552"/>
      <c r="C144" s="552"/>
      <c r="D144" s="553"/>
      <c r="E144" s="553"/>
      <c r="F144" s="553"/>
      <c r="G144" s="552"/>
      <c r="H144" s="552"/>
      <c r="I144" s="552"/>
      <c r="J144" s="552"/>
      <c r="K144" s="552"/>
      <c r="L144" s="552"/>
      <c r="M144" s="552"/>
      <c r="N144" s="552"/>
      <c r="O144" s="552"/>
      <c r="P144" s="552"/>
      <c r="Q144" s="552"/>
      <c r="R144" s="552"/>
      <c r="S144" s="552"/>
      <c r="T144" s="552"/>
      <c r="U144" s="552"/>
    </row>
    <row r="145" customFormat="false" ht="22.5" hidden="false" customHeight="true" outlineLevel="0" collapsed="false">
      <c r="A145" s="552"/>
      <c r="B145" s="552"/>
      <c r="C145" s="552"/>
      <c r="D145" s="553"/>
      <c r="E145" s="553"/>
      <c r="F145" s="553"/>
      <c r="G145" s="552"/>
      <c r="H145" s="552"/>
      <c r="I145" s="552"/>
      <c r="J145" s="552"/>
      <c r="K145" s="552"/>
      <c r="L145" s="552"/>
      <c r="M145" s="552"/>
      <c r="N145" s="552"/>
      <c r="O145" s="552"/>
      <c r="P145" s="552"/>
      <c r="Q145" s="552"/>
      <c r="R145" s="552"/>
      <c r="S145" s="552"/>
      <c r="T145" s="552"/>
      <c r="U145" s="552"/>
    </row>
    <row r="146" customFormat="false" ht="22.5" hidden="false" customHeight="true" outlineLevel="0" collapsed="false">
      <c r="A146" s="552"/>
      <c r="B146" s="552"/>
      <c r="C146" s="552"/>
      <c r="D146" s="553"/>
      <c r="E146" s="553"/>
      <c r="F146" s="553"/>
      <c r="G146" s="552"/>
      <c r="H146" s="552"/>
      <c r="I146" s="552"/>
      <c r="J146" s="552"/>
      <c r="K146" s="552"/>
      <c r="L146" s="552"/>
      <c r="M146" s="552"/>
      <c r="N146" s="552"/>
      <c r="O146" s="552"/>
      <c r="P146" s="552"/>
      <c r="Q146" s="552"/>
      <c r="R146" s="552"/>
      <c r="S146" s="552"/>
      <c r="T146" s="552"/>
      <c r="U146" s="552"/>
    </row>
    <row r="147" customFormat="false" ht="22.5" hidden="false" customHeight="true" outlineLevel="0" collapsed="false">
      <c r="A147" s="552"/>
      <c r="B147" s="552"/>
      <c r="C147" s="552"/>
      <c r="D147" s="553"/>
      <c r="E147" s="553"/>
      <c r="F147" s="553"/>
      <c r="G147" s="552"/>
      <c r="H147" s="552"/>
      <c r="I147" s="552"/>
      <c r="J147" s="552"/>
      <c r="K147" s="552"/>
      <c r="L147" s="552"/>
      <c r="M147" s="552"/>
      <c r="N147" s="552"/>
      <c r="O147" s="552"/>
      <c r="P147" s="552"/>
      <c r="Q147" s="552"/>
      <c r="R147" s="552"/>
      <c r="S147" s="552"/>
      <c r="T147" s="552"/>
      <c r="U147" s="552"/>
    </row>
    <row r="148" customFormat="false" ht="22.5" hidden="false" customHeight="true" outlineLevel="0" collapsed="false">
      <c r="A148" s="552"/>
      <c r="B148" s="552"/>
      <c r="C148" s="552"/>
      <c r="D148" s="553"/>
      <c r="E148" s="553"/>
      <c r="F148" s="553"/>
      <c r="G148" s="552"/>
      <c r="H148" s="552"/>
      <c r="I148" s="552"/>
      <c r="J148" s="552"/>
      <c r="K148" s="552"/>
      <c r="L148" s="552"/>
      <c r="M148" s="552"/>
      <c r="N148" s="552"/>
      <c r="O148" s="552"/>
      <c r="P148" s="552"/>
      <c r="Q148" s="552"/>
      <c r="R148" s="552"/>
      <c r="S148" s="552"/>
      <c r="T148" s="552"/>
      <c r="U148" s="552"/>
    </row>
    <row r="149" customFormat="false" ht="22.5" hidden="false" customHeight="true" outlineLevel="0" collapsed="false">
      <c r="A149" s="552"/>
      <c r="B149" s="552"/>
      <c r="C149" s="552"/>
      <c r="D149" s="553"/>
      <c r="E149" s="553"/>
      <c r="F149" s="553"/>
      <c r="G149" s="552"/>
      <c r="H149" s="552"/>
      <c r="I149" s="552"/>
      <c r="J149" s="552"/>
      <c r="K149" s="552"/>
      <c r="L149" s="552"/>
      <c r="M149" s="552"/>
      <c r="N149" s="552"/>
      <c r="O149" s="552"/>
      <c r="P149" s="552"/>
      <c r="Q149" s="552"/>
      <c r="R149" s="552"/>
      <c r="S149" s="552"/>
      <c r="T149" s="552"/>
      <c r="U149" s="552"/>
    </row>
    <row r="150" customFormat="false" ht="22.5" hidden="false" customHeight="true" outlineLevel="0" collapsed="false">
      <c r="A150" s="552"/>
      <c r="B150" s="552"/>
      <c r="C150" s="552"/>
      <c r="D150" s="553"/>
      <c r="E150" s="553"/>
      <c r="F150" s="553"/>
      <c r="G150" s="552"/>
      <c r="H150" s="552"/>
      <c r="I150" s="552"/>
      <c r="J150" s="552"/>
      <c r="K150" s="552"/>
      <c r="L150" s="552"/>
      <c r="M150" s="552"/>
      <c r="N150" s="552"/>
      <c r="O150" s="552"/>
      <c r="P150" s="552"/>
      <c r="Q150" s="552"/>
      <c r="R150" s="552"/>
      <c r="S150" s="552"/>
      <c r="T150" s="552"/>
      <c r="U150" s="552"/>
    </row>
    <row r="151" customFormat="false" ht="22.5" hidden="false" customHeight="true" outlineLevel="0" collapsed="false">
      <c r="A151" s="552"/>
      <c r="B151" s="552"/>
      <c r="C151" s="552"/>
      <c r="D151" s="553"/>
      <c r="E151" s="553"/>
      <c r="F151" s="553"/>
      <c r="G151" s="552"/>
      <c r="H151" s="552"/>
      <c r="I151" s="552"/>
      <c r="J151" s="552"/>
      <c r="K151" s="552"/>
      <c r="L151" s="552"/>
      <c r="M151" s="552"/>
      <c r="N151" s="552"/>
      <c r="O151" s="552"/>
      <c r="P151" s="552"/>
      <c r="Q151" s="552"/>
      <c r="R151" s="552"/>
      <c r="S151" s="552"/>
      <c r="T151" s="552"/>
      <c r="U151" s="552"/>
    </row>
    <row r="152" customFormat="false" ht="22.5" hidden="false" customHeight="true" outlineLevel="0" collapsed="false">
      <c r="A152" s="552"/>
      <c r="B152" s="552"/>
      <c r="C152" s="552"/>
      <c r="D152" s="553"/>
      <c r="E152" s="553"/>
      <c r="F152" s="553"/>
      <c r="G152" s="552"/>
      <c r="H152" s="552"/>
      <c r="I152" s="552"/>
      <c r="J152" s="552"/>
      <c r="K152" s="552"/>
      <c r="L152" s="552"/>
      <c r="M152" s="552"/>
      <c r="N152" s="552"/>
      <c r="O152" s="552"/>
      <c r="P152" s="552"/>
      <c r="Q152" s="552"/>
      <c r="R152" s="552"/>
      <c r="S152" s="552"/>
      <c r="T152" s="552"/>
      <c r="U152" s="552"/>
    </row>
    <row r="153" customFormat="false" ht="22.5" hidden="false" customHeight="true" outlineLevel="0" collapsed="false">
      <c r="A153" s="552"/>
      <c r="B153" s="552"/>
      <c r="C153" s="552"/>
      <c r="D153" s="553"/>
      <c r="E153" s="553"/>
      <c r="F153" s="553"/>
      <c r="G153" s="552"/>
      <c r="H153" s="552"/>
      <c r="I153" s="552"/>
      <c r="J153" s="552"/>
      <c r="K153" s="552"/>
      <c r="L153" s="552"/>
      <c r="M153" s="552"/>
      <c r="N153" s="552"/>
      <c r="O153" s="552"/>
      <c r="P153" s="552"/>
      <c r="Q153" s="552"/>
      <c r="R153" s="552"/>
      <c r="S153" s="552"/>
      <c r="T153" s="552"/>
      <c r="U153" s="552"/>
    </row>
    <row r="154" customFormat="false" ht="22.5" hidden="false" customHeight="true" outlineLevel="0" collapsed="false">
      <c r="A154" s="552"/>
      <c r="B154" s="552"/>
      <c r="C154" s="552"/>
      <c r="D154" s="553"/>
      <c r="E154" s="553"/>
      <c r="F154" s="553"/>
      <c r="G154" s="552"/>
      <c r="H154" s="552"/>
      <c r="I154" s="552"/>
      <c r="J154" s="552"/>
      <c r="K154" s="552"/>
      <c r="L154" s="552"/>
      <c r="M154" s="552"/>
      <c r="N154" s="552"/>
      <c r="O154" s="552"/>
      <c r="P154" s="552"/>
      <c r="Q154" s="552"/>
      <c r="R154" s="552"/>
      <c r="S154" s="552"/>
      <c r="T154" s="552"/>
      <c r="U154" s="552"/>
    </row>
    <row r="155" customFormat="false" ht="22.5" hidden="false" customHeight="true" outlineLevel="0" collapsed="false">
      <c r="A155" s="552"/>
      <c r="B155" s="552"/>
      <c r="C155" s="552"/>
      <c r="D155" s="553"/>
      <c r="E155" s="553"/>
      <c r="F155" s="553"/>
      <c r="G155" s="552"/>
      <c r="H155" s="552"/>
      <c r="I155" s="552"/>
      <c r="J155" s="552"/>
      <c r="K155" s="552"/>
      <c r="L155" s="552"/>
      <c r="M155" s="552"/>
      <c r="N155" s="552"/>
      <c r="O155" s="552"/>
      <c r="P155" s="552"/>
      <c r="Q155" s="552"/>
      <c r="R155" s="552"/>
      <c r="S155" s="552"/>
      <c r="T155" s="552"/>
      <c r="U155" s="552"/>
    </row>
    <row r="156" customFormat="false" ht="22.5" hidden="false" customHeight="true" outlineLevel="0" collapsed="false">
      <c r="A156" s="552"/>
      <c r="B156" s="552"/>
      <c r="C156" s="552"/>
      <c r="D156" s="553"/>
      <c r="E156" s="553"/>
      <c r="F156" s="553"/>
      <c r="G156" s="552"/>
      <c r="H156" s="552"/>
      <c r="I156" s="552"/>
      <c r="J156" s="552"/>
      <c r="K156" s="552"/>
      <c r="L156" s="552"/>
      <c r="M156" s="552"/>
      <c r="N156" s="552"/>
      <c r="O156" s="552"/>
      <c r="P156" s="552"/>
      <c r="Q156" s="552"/>
      <c r="R156" s="552"/>
      <c r="S156" s="552"/>
      <c r="T156" s="552"/>
      <c r="U156" s="552"/>
    </row>
    <row r="157" customFormat="false" ht="22.5" hidden="false" customHeight="true" outlineLevel="0" collapsed="false">
      <c r="A157" s="552"/>
      <c r="B157" s="552"/>
      <c r="C157" s="552"/>
      <c r="D157" s="553"/>
      <c r="E157" s="553"/>
      <c r="F157" s="553"/>
      <c r="G157" s="552"/>
      <c r="H157" s="552"/>
      <c r="I157" s="552"/>
      <c r="J157" s="552"/>
      <c r="K157" s="552"/>
      <c r="L157" s="552"/>
      <c r="M157" s="552"/>
      <c r="N157" s="552"/>
      <c r="O157" s="552"/>
      <c r="P157" s="552"/>
      <c r="Q157" s="552"/>
      <c r="R157" s="552"/>
      <c r="S157" s="552"/>
      <c r="T157" s="552"/>
      <c r="U157" s="552"/>
    </row>
    <row r="158" customFormat="false" ht="22.5" hidden="false" customHeight="true" outlineLevel="0" collapsed="false">
      <c r="A158" s="552"/>
      <c r="B158" s="552"/>
      <c r="C158" s="552"/>
      <c r="D158" s="553"/>
      <c r="E158" s="553"/>
      <c r="F158" s="553"/>
      <c r="G158" s="552"/>
      <c r="H158" s="552"/>
      <c r="I158" s="552"/>
      <c r="J158" s="552"/>
      <c r="K158" s="552"/>
      <c r="L158" s="552"/>
      <c r="M158" s="552"/>
      <c r="N158" s="552"/>
      <c r="O158" s="552"/>
      <c r="P158" s="552"/>
      <c r="Q158" s="552"/>
      <c r="R158" s="552"/>
      <c r="S158" s="552"/>
      <c r="T158" s="552"/>
      <c r="U158" s="552"/>
    </row>
    <row r="159" customFormat="false" ht="22.5" hidden="false" customHeight="true" outlineLevel="0" collapsed="false">
      <c r="A159" s="552"/>
      <c r="B159" s="552"/>
      <c r="C159" s="552"/>
      <c r="D159" s="553"/>
      <c r="E159" s="553"/>
      <c r="F159" s="553"/>
      <c r="G159" s="552"/>
      <c r="H159" s="552"/>
      <c r="I159" s="552"/>
      <c r="J159" s="552"/>
      <c r="K159" s="552"/>
      <c r="L159" s="552"/>
      <c r="M159" s="552"/>
      <c r="N159" s="552"/>
      <c r="O159" s="552"/>
      <c r="P159" s="552"/>
      <c r="Q159" s="552"/>
      <c r="R159" s="552"/>
      <c r="S159" s="552"/>
      <c r="T159" s="552"/>
      <c r="U159" s="552"/>
    </row>
    <row r="160" customFormat="false" ht="22.5" hidden="false" customHeight="true" outlineLevel="0" collapsed="false">
      <c r="A160" s="552"/>
      <c r="B160" s="552"/>
      <c r="C160" s="552"/>
      <c r="D160" s="553"/>
      <c r="E160" s="553"/>
      <c r="F160" s="553"/>
      <c r="G160" s="552"/>
      <c r="H160" s="552"/>
      <c r="I160" s="552"/>
      <c r="J160" s="552"/>
      <c r="K160" s="552"/>
      <c r="L160" s="552"/>
      <c r="M160" s="552"/>
      <c r="N160" s="552"/>
      <c r="O160" s="552"/>
      <c r="P160" s="552"/>
      <c r="Q160" s="552"/>
      <c r="R160" s="552"/>
      <c r="S160" s="552"/>
      <c r="T160" s="552"/>
      <c r="U160" s="552"/>
    </row>
    <row r="161" customFormat="false" ht="22.5" hidden="false" customHeight="true" outlineLevel="0" collapsed="false">
      <c r="A161" s="552"/>
      <c r="B161" s="552"/>
      <c r="C161" s="552"/>
      <c r="D161" s="553"/>
      <c r="E161" s="553"/>
      <c r="F161" s="553"/>
      <c r="G161" s="552"/>
      <c r="H161" s="552"/>
      <c r="I161" s="552"/>
      <c r="J161" s="552"/>
      <c r="K161" s="552"/>
      <c r="L161" s="552"/>
      <c r="M161" s="552"/>
      <c r="N161" s="552"/>
      <c r="O161" s="552"/>
      <c r="P161" s="552"/>
      <c r="Q161" s="552"/>
      <c r="R161" s="552"/>
      <c r="S161" s="552"/>
      <c r="T161" s="552"/>
      <c r="U161" s="552"/>
    </row>
    <row r="162" customFormat="false" ht="22.5" hidden="false" customHeight="true" outlineLevel="0" collapsed="false">
      <c r="A162" s="552"/>
      <c r="B162" s="552"/>
      <c r="C162" s="552"/>
      <c r="D162" s="553"/>
      <c r="E162" s="553"/>
      <c r="F162" s="553"/>
      <c r="G162" s="552"/>
      <c r="H162" s="552"/>
      <c r="I162" s="552"/>
      <c r="J162" s="552"/>
      <c r="K162" s="552"/>
      <c r="L162" s="552"/>
      <c r="M162" s="552"/>
      <c r="N162" s="552"/>
      <c r="O162" s="552"/>
      <c r="P162" s="552"/>
      <c r="Q162" s="552"/>
      <c r="R162" s="552"/>
      <c r="S162" s="552"/>
      <c r="T162" s="552"/>
      <c r="U162" s="552"/>
    </row>
    <row r="163" customFormat="false" ht="22.5" hidden="false" customHeight="true" outlineLevel="0" collapsed="false">
      <c r="A163" s="552"/>
      <c r="B163" s="552"/>
      <c r="C163" s="552"/>
      <c r="D163" s="553"/>
      <c r="E163" s="553"/>
      <c r="F163" s="553"/>
      <c r="G163" s="552"/>
      <c r="H163" s="552"/>
      <c r="I163" s="552"/>
      <c r="J163" s="552"/>
      <c r="K163" s="552"/>
      <c r="L163" s="552"/>
      <c r="M163" s="552"/>
      <c r="N163" s="552"/>
      <c r="O163" s="552"/>
      <c r="P163" s="552"/>
      <c r="Q163" s="552"/>
      <c r="R163" s="552"/>
      <c r="S163" s="552"/>
      <c r="T163" s="552"/>
      <c r="U163" s="552"/>
    </row>
    <row r="164" customFormat="false" ht="22.5" hidden="false" customHeight="true" outlineLevel="0" collapsed="false">
      <c r="A164" s="552"/>
      <c r="B164" s="552"/>
      <c r="C164" s="552"/>
      <c r="D164" s="553"/>
      <c r="E164" s="553"/>
      <c r="F164" s="553"/>
      <c r="G164" s="552"/>
      <c r="H164" s="552"/>
      <c r="I164" s="552"/>
      <c r="J164" s="552"/>
      <c r="K164" s="552"/>
      <c r="L164" s="552"/>
      <c r="M164" s="552"/>
      <c r="N164" s="552"/>
      <c r="O164" s="552"/>
      <c r="P164" s="552"/>
      <c r="Q164" s="552"/>
      <c r="R164" s="552"/>
      <c r="S164" s="552"/>
      <c r="T164" s="552"/>
      <c r="U164" s="552"/>
    </row>
    <row r="165" customFormat="false" ht="22.5" hidden="false" customHeight="true" outlineLevel="0" collapsed="false">
      <c r="A165" s="552"/>
      <c r="B165" s="552"/>
      <c r="C165" s="552"/>
      <c r="D165" s="553"/>
      <c r="E165" s="553"/>
      <c r="F165" s="553"/>
      <c r="G165" s="552"/>
      <c r="H165" s="552"/>
      <c r="I165" s="552"/>
      <c r="J165" s="552"/>
      <c r="K165" s="552"/>
      <c r="L165" s="552"/>
      <c r="M165" s="552"/>
      <c r="N165" s="552"/>
      <c r="O165" s="552"/>
      <c r="P165" s="552"/>
      <c r="Q165" s="552"/>
      <c r="R165" s="552"/>
      <c r="S165" s="552"/>
      <c r="T165" s="552"/>
      <c r="U165" s="552"/>
    </row>
    <row r="166" customFormat="false" ht="22.5" hidden="false" customHeight="true" outlineLevel="0" collapsed="false">
      <c r="A166" s="552"/>
      <c r="B166" s="552"/>
      <c r="C166" s="552"/>
      <c r="D166" s="553"/>
      <c r="E166" s="553"/>
      <c r="F166" s="553"/>
      <c r="G166" s="552"/>
      <c r="H166" s="552"/>
      <c r="I166" s="552"/>
      <c r="J166" s="552"/>
      <c r="K166" s="552"/>
      <c r="L166" s="552"/>
      <c r="M166" s="552"/>
      <c r="N166" s="552"/>
      <c r="O166" s="552"/>
      <c r="P166" s="552"/>
      <c r="Q166" s="552"/>
      <c r="R166" s="552"/>
      <c r="S166" s="552"/>
      <c r="T166" s="552"/>
      <c r="U166" s="552"/>
    </row>
    <row r="167" customFormat="false" ht="22.5" hidden="false" customHeight="true" outlineLevel="0" collapsed="false">
      <c r="A167" s="552"/>
      <c r="B167" s="552"/>
      <c r="C167" s="552"/>
      <c r="D167" s="553"/>
      <c r="E167" s="553"/>
      <c r="F167" s="553"/>
      <c r="G167" s="552"/>
      <c r="H167" s="552"/>
      <c r="I167" s="552"/>
      <c r="J167" s="552"/>
      <c r="K167" s="552"/>
      <c r="L167" s="552"/>
      <c r="M167" s="552"/>
      <c r="N167" s="552"/>
      <c r="O167" s="552"/>
      <c r="P167" s="552"/>
      <c r="Q167" s="552"/>
      <c r="R167" s="552"/>
      <c r="S167" s="552"/>
      <c r="T167" s="552"/>
      <c r="U167" s="552"/>
    </row>
    <row r="168" customFormat="false" ht="22.5" hidden="false" customHeight="true" outlineLevel="0" collapsed="false">
      <c r="A168" s="552"/>
      <c r="B168" s="552"/>
      <c r="C168" s="552"/>
      <c r="D168" s="553"/>
      <c r="E168" s="553"/>
      <c r="F168" s="553"/>
      <c r="G168" s="552"/>
      <c r="H168" s="552"/>
      <c r="I168" s="552"/>
      <c r="J168" s="552"/>
      <c r="K168" s="552"/>
      <c r="L168" s="552"/>
      <c r="M168" s="552"/>
      <c r="N168" s="552"/>
      <c r="O168" s="552"/>
      <c r="P168" s="552"/>
      <c r="Q168" s="552"/>
      <c r="R168" s="552"/>
      <c r="S168" s="552"/>
      <c r="T168" s="552"/>
      <c r="U168" s="552"/>
    </row>
    <row r="169" customFormat="false" ht="22.5" hidden="false" customHeight="true" outlineLevel="0" collapsed="false">
      <c r="A169" s="552"/>
      <c r="B169" s="552"/>
      <c r="C169" s="552"/>
      <c r="D169" s="553"/>
      <c r="E169" s="553"/>
      <c r="F169" s="553"/>
      <c r="G169" s="552"/>
      <c r="H169" s="552"/>
      <c r="I169" s="552"/>
      <c r="J169" s="552"/>
      <c r="K169" s="552"/>
      <c r="L169" s="552"/>
      <c r="M169" s="552"/>
      <c r="N169" s="552"/>
      <c r="O169" s="552"/>
      <c r="P169" s="552"/>
      <c r="Q169" s="552"/>
      <c r="R169" s="552"/>
      <c r="S169" s="552"/>
      <c r="T169" s="552"/>
      <c r="U169" s="552"/>
    </row>
    <row r="170" customFormat="false" ht="22.5" hidden="false" customHeight="true" outlineLevel="0" collapsed="false">
      <c r="A170" s="552"/>
      <c r="B170" s="552"/>
      <c r="C170" s="552"/>
      <c r="D170" s="553"/>
      <c r="E170" s="553"/>
      <c r="F170" s="553"/>
      <c r="G170" s="552"/>
      <c r="H170" s="552"/>
      <c r="I170" s="552"/>
      <c r="J170" s="552"/>
      <c r="K170" s="552"/>
      <c r="L170" s="552"/>
      <c r="M170" s="552"/>
      <c r="N170" s="552"/>
      <c r="O170" s="552"/>
      <c r="P170" s="552"/>
      <c r="Q170" s="552"/>
      <c r="R170" s="552"/>
      <c r="S170" s="552"/>
      <c r="T170" s="552"/>
      <c r="U170" s="552"/>
    </row>
    <row r="171" customFormat="false" ht="22.5" hidden="false" customHeight="true" outlineLevel="0" collapsed="false">
      <c r="J171" s="96"/>
      <c r="Q171" s="96"/>
      <c r="S171" s="96"/>
    </row>
    <row r="172" customFormat="false" ht="22.5" hidden="false" customHeight="true" outlineLevel="0" collapsed="false">
      <c r="J172" s="96"/>
      <c r="Q172" s="96"/>
      <c r="S172" s="96"/>
    </row>
    <row r="173" customFormat="false" ht="22.5" hidden="false" customHeight="true" outlineLevel="0" collapsed="false">
      <c r="J173" s="96"/>
      <c r="Q173" s="96"/>
      <c r="S173" s="96"/>
    </row>
    <row r="174" customFormat="false" ht="22.5" hidden="false" customHeight="true" outlineLevel="0" collapsed="false">
      <c r="J174" s="96"/>
      <c r="Q174" s="96"/>
      <c r="S174" s="96"/>
    </row>
    <row r="175" customFormat="false" ht="22.5" hidden="false" customHeight="true" outlineLevel="0" collapsed="false">
      <c r="J175" s="96"/>
      <c r="Q175" s="96"/>
      <c r="S175" s="96"/>
    </row>
    <row r="176" customFormat="false" ht="22.5" hidden="false" customHeight="true" outlineLevel="0" collapsed="false">
      <c r="J176" s="96"/>
      <c r="Q176" s="96"/>
      <c r="S176" s="96"/>
    </row>
    <row r="177" customFormat="false" ht="22.5" hidden="false" customHeight="true" outlineLevel="0" collapsed="false">
      <c r="J177" s="96"/>
      <c r="Q177" s="96"/>
      <c r="S177" s="96"/>
    </row>
    <row r="178" customFormat="false" ht="22.5" hidden="false" customHeight="true" outlineLevel="0" collapsed="false">
      <c r="J178" s="96"/>
      <c r="Q178" s="96"/>
      <c r="S178" s="96"/>
    </row>
    <row r="179" customFormat="false" ht="22.5" hidden="false" customHeight="true" outlineLevel="0" collapsed="false">
      <c r="J179" s="96"/>
      <c r="Q179" s="96"/>
      <c r="S179" s="96"/>
    </row>
    <row r="180" customFormat="false" ht="22.5" hidden="false" customHeight="true" outlineLevel="0" collapsed="false">
      <c r="J180" s="96"/>
      <c r="Q180" s="96"/>
      <c r="S180" s="96"/>
    </row>
    <row r="181" customFormat="false" ht="22.5" hidden="false" customHeight="true" outlineLevel="0" collapsed="false">
      <c r="J181" s="96"/>
      <c r="Q181" s="96"/>
      <c r="S181" s="96"/>
    </row>
    <row r="182" customFormat="false" ht="22.5" hidden="false" customHeight="true" outlineLevel="0" collapsed="false">
      <c r="J182" s="96"/>
      <c r="Q182" s="96"/>
      <c r="S182" s="96"/>
    </row>
    <row r="183" customFormat="false" ht="22.5" hidden="false" customHeight="true" outlineLevel="0" collapsed="false">
      <c r="J183" s="96"/>
      <c r="Q183" s="96"/>
      <c r="S183" s="96"/>
    </row>
    <row r="184" customFormat="false" ht="16.5" hidden="false" customHeight="false" outlineLevel="0" collapsed="false">
      <c r="J184" s="96"/>
      <c r="Q184" s="96"/>
      <c r="S184" s="96"/>
    </row>
    <row r="185" customFormat="false" ht="16.5" hidden="false" customHeight="false" outlineLevel="0" collapsed="false">
      <c r="J185" s="96"/>
      <c r="Q185" s="96"/>
      <c r="S185" s="96"/>
    </row>
    <row r="186" customFormat="false" ht="16.5" hidden="false" customHeight="false" outlineLevel="0" collapsed="false">
      <c r="J186" s="96"/>
      <c r="Q186" s="96"/>
      <c r="S186" s="96"/>
    </row>
    <row r="187" customFormat="false" ht="16.5" hidden="false" customHeight="false" outlineLevel="0" collapsed="false">
      <c r="J187" s="96"/>
      <c r="Q187" s="96"/>
      <c r="S187" s="96"/>
    </row>
    <row r="188" customFormat="false" ht="16.5" hidden="false" customHeight="false" outlineLevel="0" collapsed="false">
      <c r="J188" s="96"/>
      <c r="Q188" s="96"/>
      <c r="S188" s="96"/>
    </row>
    <row r="189" customFormat="false" ht="16.5" hidden="false" customHeight="false" outlineLevel="0" collapsed="false">
      <c r="J189" s="96"/>
      <c r="Q189" s="96"/>
      <c r="S189" s="96"/>
    </row>
    <row r="190" customFormat="false" ht="16.5" hidden="false" customHeight="false" outlineLevel="0" collapsed="false">
      <c r="J190" s="96"/>
      <c r="Q190" s="96"/>
      <c r="S190" s="96"/>
    </row>
    <row r="191" customFormat="false" ht="16.5" hidden="false" customHeight="false" outlineLevel="0" collapsed="false">
      <c r="J191" s="96"/>
      <c r="Q191" s="96"/>
      <c r="S191" s="96"/>
    </row>
    <row r="192" customFormat="false" ht="16.5" hidden="false" customHeight="false" outlineLevel="0" collapsed="false">
      <c r="J192" s="96"/>
      <c r="Q192" s="96"/>
      <c r="S192" s="96"/>
    </row>
    <row r="193" customFormat="false" ht="16.5" hidden="false" customHeight="false" outlineLevel="0" collapsed="false">
      <c r="J193" s="96"/>
      <c r="Q193" s="96"/>
      <c r="S193" s="96"/>
    </row>
    <row r="194" customFormat="false" ht="16.5" hidden="false" customHeight="false" outlineLevel="0" collapsed="false">
      <c r="J194" s="96"/>
      <c r="Q194" s="96"/>
      <c r="S194" s="96"/>
    </row>
    <row r="195" customFormat="false" ht="16.5" hidden="false" customHeight="false" outlineLevel="0" collapsed="false">
      <c r="J195" s="96"/>
      <c r="Q195" s="96"/>
      <c r="S195" s="96"/>
    </row>
    <row r="196" customFormat="false" ht="16.5" hidden="false" customHeight="false" outlineLevel="0" collapsed="false">
      <c r="J196" s="96"/>
      <c r="Q196" s="96"/>
      <c r="S196" s="96"/>
    </row>
    <row r="197" customFormat="false" ht="16.5" hidden="false" customHeight="false" outlineLevel="0" collapsed="false">
      <c r="J197" s="96"/>
      <c r="Q197" s="96"/>
      <c r="S197" s="96"/>
    </row>
    <row r="198" customFormat="false" ht="16.5" hidden="false" customHeight="false" outlineLevel="0" collapsed="false">
      <c r="J198" s="96"/>
      <c r="Q198" s="96"/>
      <c r="S198" s="96"/>
    </row>
    <row r="199" customFormat="false" ht="16.5" hidden="false" customHeight="false" outlineLevel="0" collapsed="false">
      <c r="J199" s="96"/>
      <c r="Q199" s="96"/>
      <c r="S199" s="96"/>
    </row>
    <row r="200" customFormat="false" ht="16.5" hidden="false" customHeight="false" outlineLevel="0" collapsed="false">
      <c r="J200" s="96"/>
      <c r="Q200" s="96"/>
      <c r="S200" s="96"/>
    </row>
    <row r="201" customFormat="false" ht="16.5" hidden="false" customHeight="false" outlineLevel="0" collapsed="false">
      <c r="J201" s="96"/>
      <c r="Q201" s="96"/>
      <c r="S201" s="96"/>
    </row>
    <row r="202" customFormat="false" ht="16.5" hidden="false" customHeight="false" outlineLevel="0" collapsed="false">
      <c r="J202" s="96"/>
      <c r="Q202" s="96"/>
      <c r="S202" s="96"/>
    </row>
    <row r="203" customFormat="false" ht="16.5" hidden="false" customHeight="false" outlineLevel="0" collapsed="false">
      <c r="J203" s="96"/>
      <c r="Q203" s="96"/>
      <c r="S203" s="96"/>
    </row>
    <row r="204" customFormat="false" ht="16.5" hidden="false" customHeight="false" outlineLevel="0" collapsed="false">
      <c r="J204" s="96"/>
      <c r="Q204" s="96"/>
      <c r="S204" s="96"/>
    </row>
    <row r="205" customFormat="false" ht="16.5" hidden="false" customHeight="false" outlineLevel="0" collapsed="false">
      <c r="J205" s="96"/>
      <c r="Q205" s="96"/>
      <c r="S205" s="96"/>
    </row>
    <row r="206" customFormat="false" ht="16.5" hidden="false" customHeight="false" outlineLevel="0" collapsed="false">
      <c r="J206" s="96"/>
      <c r="Q206" s="96"/>
      <c r="S206" s="96"/>
    </row>
    <row r="207" customFormat="false" ht="16.5" hidden="false" customHeight="false" outlineLevel="0" collapsed="false">
      <c r="J207" s="96"/>
      <c r="Q207" s="96"/>
      <c r="S207" s="96"/>
    </row>
    <row r="208" customFormat="false" ht="16.5" hidden="false" customHeight="false" outlineLevel="0" collapsed="false">
      <c r="J208" s="96"/>
      <c r="Q208" s="96"/>
      <c r="S208" s="96"/>
    </row>
    <row r="209" customFormat="false" ht="16.5" hidden="false" customHeight="false" outlineLevel="0" collapsed="false">
      <c r="J209" s="96"/>
      <c r="Q209" s="96"/>
      <c r="S209" s="96"/>
    </row>
    <row r="210" customFormat="false" ht="16.5" hidden="false" customHeight="false" outlineLevel="0" collapsed="false">
      <c r="J210" s="96"/>
      <c r="Q210" s="96"/>
      <c r="S210" s="96"/>
    </row>
    <row r="211" customFormat="false" ht="16.5" hidden="false" customHeight="false" outlineLevel="0" collapsed="false">
      <c r="J211" s="96"/>
      <c r="Q211" s="96"/>
      <c r="S211" s="96"/>
    </row>
    <row r="212" customFormat="false" ht="16.5" hidden="false" customHeight="false" outlineLevel="0" collapsed="false">
      <c r="J212" s="96"/>
      <c r="Q212" s="96"/>
      <c r="S212" s="96"/>
    </row>
    <row r="213" customFormat="false" ht="16.5" hidden="false" customHeight="false" outlineLevel="0" collapsed="false">
      <c r="J213" s="96"/>
      <c r="Q213" s="96"/>
      <c r="S213" s="96"/>
    </row>
    <row r="214" customFormat="false" ht="16.5" hidden="false" customHeight="false" outlineLevel="0" collapsed="false">
      <c r="J214" s="96"/>
      <c r="Q214" s="96"/>
      <c r="S214" s="96"/>
    </row>
    <row r="215" customFormat="false" ht="16.5" hidden="false" customHeight="false" outlineLevel="0" collapsed="false">
      <c r="J215" s="96"/>
      <c r="Q215" s="96"/>
      <c r="S215" s="96"/>
    </row>
    <row r="216" customFormat="false" ht="16.5" hidden="false" customHeight="false" outlineLevel="0" collapsed="false">
      <c r="G216" s="126"/>
      <c r="H216" s="126"/>
      <c r="I216" s="126"/>
      <c r="J216" s="126"/>
      <c r="K216" s="126"/>
      <c r="L216" s="126"/>
      <c r="M216" s="126"/>
      <c r="N216" s="126"/>
      <c r="O216" s="126"/>
      <c r="P216" s="126"/>
      <c r="Q216" s="126"/>
      <c r="R216" s="126"/>
      <c r="S216" s="126"/>
      <c r="T216" s="122"/>
      <c r="U216" s="126"/>
    </row>
    <row r="217" customFormat="false" ht="16.5" hidden="false" customHeight="false" outlineLevel="0" collapsed="false">
      <c r="G217" s="126"/>
      <c r="H217" s="126"/>
      <c r="I217" s="126"/>
      <c r="J217" s="126"/>
      <c r="K217" s="126"/>
      <c r="L217" s="126"/>
      <c r="M217" s="126"/>
      <c r="N217" s="126"/>
      <c r="O217" s="126"/>
      <c r="P217" s="126"/>
      <c r="Q217" s="126"/>
      <c r="R217" s="126"/>
      <c r="S217" s="126"/>
      <c r="T217" s="122"/>
      <c r="U217" s="126"/>
    </row>
    <row r="218" customFormat="false" ht="16.5" hidden="false" customHeight="false" outlineLevel="0" collapsed="false">
      <c r="G218" s="126"/>
      <c r="H218" s="126"/>
      <c r="I218" s="126"/>
      <c r="J218" s="126"/>
      <c r="K218" s="126"/>
      <c r="L218" s="126"/>
      <c r="M218" s="126"/>
      <c r="N218" s="126"/>
      <c r="O218" s="126"/>
      <c r="P218" s="126"/>
      <c r="Q218" s="126"/>
      <c r="R218" s="126"/>
      <c r="S218" s="126"/>
      <c r="T218" s="122"/>
      <c r="U218" s="126"/>
    </row>
    <row r="219" customFormat="false" ht="16.5" hidden="false" customHeight="false" outlineLevel="0" collapsed="false">
      <c r="G219" s="126"/>
      <c r="H219" s="126"/>
      <c r="I219" s="126"/>
      <c r="J219" s="126"/>
      <c r="K219" s="126"/>
      <c r="L219" s="126"/>
      <c r="M219" s="126"/>
      <c r="N219" s="126"/>
      <c r="O219" s="126"/>
      <c r="P219" s="126"/>
      <c r="Q219" s="126"/>
      <c r="R219" s="126"/>
      <c r="S219" s="126"/>
      <c r="T219" s="122"/>
      <c r="U219" s="126"/>
    </row>
    <row r="220" customFormat="false" ht="16.5" hidden="false" customHeight="false" outlineLevel="0" collapsed="false">
      <c r="G220" s="126"/>
      <c r="H220" s="126"/>
      <c r="I220" s="126"/>
      <c r="J220" s="126"/>
      <c r="K220" s="126"/>
      <c r="L220" s="126"/>
      <c r="M220" s="126"/>
      <c r="N220" s="126"/>
      <c r="O220" s="126"/>
      <c r="P220" s="126"/>
      <c r="Q220" s="126"/>
      <c r="R220" s="126"/>
      <c r="S220" s="126"/>
      <c r="T220" s="122"/>
      <c r="U220" s="126"/>
    </row>
  </sheetData>
  <mergeCells count="19">
    <mergeCell ref="B1:C1"/>
    <mergeCell ref="D1:U1"/>
    <mergeCell ref="J2:O2"/>
    <mergeCell ref="P2:U2"/>
    <mergeCell ref="A3:A4"/>
    <mergeCell ref="B3:B4"/>
    <mergeCell ref="C3:C4"/>
    <mergeCell ref="D3:D4"/>
    <mergeCell ref="E3:E4"/>
    <mergeCell ref="F3:F4"/>
    <mergeCell ref="G3:I3"/>
    <mergeCell ref="J3:J4"/>
    <mergeCell ref="K3:P3"/>
    <mergeCell ref="Q3:Q4"/>
    <mergeCell ref="S3:S4"/>
    <mergeCell ref="U3:U4"/>
    <mergeCell ref="V3:AA3"/>
    <mergeCell ref="AB3:AB4"/>
    <mergeCell ref="AC3:AC4"/>
  </mergeCells>
  <conditionalFormatting sqref="AA5:AA30">
    <cfRule type="expression" priority="2" aboveAverage="0" equalAverage="0" bottom="0" percent="0" rank="0" text="" dxfId="23">
      <formula>F5&lt;&gt;"PUESTOS PUBLICOS"</formula>
    </cfRule>
  </conditionalFormatting>
  <conditionalFormatting sqref="Z5:Z30">
    <cfRule type="expression" priority="3" aboveAverage="0" equalAverage="0" bottom="0" percent="0" rank="0" text="" dxfId="24">
      <formula>F5&lt;&gt;"PUESTOS PUBLICOS"</formula>
    </cfRule>
  </conditionalFormatting>
  <conditionalFormatting sqref="Y5:Y30">
    <cfRule type="expression" priority="4" aboveAverage="0" equalAverage="0" bottom="0" percent="0" rank="0" text="" dxfId="25">
      <formula>F5&lt;&gt;"PUESTOS PUBLICOS"</formula>
    </cfRule>
  </conditionalFormatting>
  <conditionalFormatting sqref="X5:X30">
    <cfRule type="expression" priority="5" aboveAverage="0" equalAverage="0" bottom="0" percent="0" rank="0" text="" dxfId="26">
      <formula>F5&lt;&gt;"PUESTOS PUBLICOS"</formula>
    </cfRule>
  </conditionalFormatting>
  <conditionalFormatting sqref="W5:W30">
    <cfRule type="expression" priority="6" aboveAverage="0" equalAverage="0" bottom="0" percent="0" rank="0" text="" dxfId="27">
      <formula>F5&lt;&gt;"PUESTOS PUBLICOS"</formula>
    </cfRule>
  </conditionalFormatting>
  <conditionalFormatting sqref="V5:V30">
    <cfRule type="expression" priority="7" aboveAverage="0" equalAverage="0" bottom="0" percent="0" rank="0" text="" dxfId="28">
      <formula>F5&lt;&gt;"PUESTOS PUBLICOS"</formula>
    </cfRule>
  </conditionalFormatting>
  <conditionalFormatting sqref="G5:G30">
    <cfRule type="expression" priority="8" aboveAverage="0" equalAverage="0" bottom="0" percent="0" rank="0" text="" dxfId="29">
      <formula>E5&lt;&gt;"MAG"</formula>
    </cfRule>
  </conditionalFormatting>
  <conditionalFormatting sqref="M5:M30">
    <cfRule type="expression" priority="9" aboveAverage="0" equalAverage="0" bottom="0" percent="0" rank="0" text="" dxfId="30">
      <formula>E5&lt;&gt;"MAG"</formula>
    </cfRule>
  </conditionalFormatting>
  <conditionalFormatting sqref="T5:T30">
    <cfRule type="expression" priority="10" aboveAverage="0" equalAverage="0" bottom="0" percent="0" rank="0" text="" dxfId="31">
      <formula>E5&lt;&gt;"MAG"</formula>
    </cfRule>
  </conditionalFormatting>
  <conditionalFormatting sqref="R5:R30">
    <cfRule type="expression" priority="11" aboveAverage="0" equalAverage="0" bottom="0" percent="0" rank="0" text="" dxfId="32">
      <formula>E5&lt;&gt;"MAG"</formula>
    </cfRule>
  </conditionalFormatting>
  <conditionalFormatting sqref="P5:P30">
    <cfRule type="expression" priority="12" aboveAverage="0" equalAverage="0" bottom="0" percent="0" rank="0" text="" dxfId="33">
      <formula>E5&lt;&gt;"MAG"</formula>
    </cfRule>
  </conditionalFormatting>
  <conditionalFormatting sqref="O5:O30">
    <cfRule type="expression" priority="13" aboveAverage="0" equalAverage="0" bottom="0" percent="0" rank="0" text="" dxfId="34">
      <formula>E5&lt;&gt;"MAG"</formula>
    </cfRule>
  </conditionalFormatting>
  <conditionalFormatting sqref="N5:N30">
    <cfRule type="expression" priority="14" aboveAverage="0" equalAverage="0" bottom="0" percent="0" rank="0" text="" dxfId="35">
      <formula>E5&lt;&gt;"MAG"</formula>
    </cfRule>
  </conditionalFormatting>
  <conditionalFormatting sqref="L5:L30">
    <cfRule type="expression" priority="15" aboveAverage="0" equalAverage="0" bottom="0" percent="0" rank="0" text="" dxfId="36">
      <formula>E5&lt;&gt;"MAG"</formula>
    </cfRule>
  </conditionalFormatting>
  <conditionalFormatting sqref="K5:K30">
    <cfRule type="expression" priority="16" aboveAverage="0" equalAverage="0" bottom="0" percent="0" rank="0" text="" dxfId="37">
      <formula>E5&lt;&gt;"MAG"</formula>
    </cfRule>
  </conditionalFormatting>
  <conditionalFormatting sqref="I5:I30">
    <cfRule type="expression" priority="17" aboveAverage="0" equalAverage="0" bottom="0" percent="0" rank="0" text="" dxfId="38">
      <formula>E5&lt;&gt;"MAG"</formula>
    </cfRule>
  </conditionalFormatting>
  <conditionalFormatting sqref="H5:H30">
    <cfRule type="expression" priority="18" aboveAverage="0" equalAverage="0" bottom="0" percent="0" rank="0" text="" dxfId="39">
      <formula>E5&lt;&gt;"MAG"</formula>
    </cfRule>
  </conditionalFormatting>
  <hyperlinks>
    <hyperlink ref="B1" location="'Tabla de Contenidos'!A1" display="Volver a Tabla de contenidos"/>
    <hyperlink ref="V1" location="'RESULTADO FINAL SOSTENIBILIDAD'!A1" display="Ir a Resultados Finales"/>
  </hyperlinks>
  <printOptions headings="false" gridLines="false" gridLinesSet="true" horizontalCentered="false" verticalCentered="false"/>
  <pageMargins left="0.315277777777778" right="0.118055555555556" top="0" bottom="0.157638888888889" header="0.511811023622047" footer="0.511811023622047"/>
  <pageSetup paperSize="5" scale="5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0"/>
  <sheetViews>
    <sheetView showFormulas="false" showGridLines="true" showRowColHeaders="true" showZeros="true" rightToLeft="false" tabSelected="false" showOutlineSymbols="true" defaultGridColor="true" view="normal" topLeftCell="M1" colorId="64" zoomScale="90" zoomScaleNormal="90" zoomScalePageLayoutView="100" workbookViewId="0">
      <selection pane="topLeft" activeCell="AB5" activeCellId="0" sqref="AB5"/>
    </sheetView>
  </sheetViews>
  <sheetFormatPr defaultColWidth="10.6796875" defaultRowHeight="15" customHeight="false" zeroHeight="false" outlineLevelRow="0" outlineLevelCol="0"/>
  <cols>
    <col collapsed="false" customWidth="true" hidden="false" outlineLevel="0" max="6" min="6" style="238" width="4.14"/>
    <col collapsed="false" customWidth="true" hidden="false" outlineLevel="0" max="16" min="16" style="238" width="13.86"/>
    <col collapsed="false" customWidth="true" hidden="false" outlineLevel="0" max="17" min="17" style="238" width="16.43"/>
    <col collapsed="false" customWidth="true" hidden="false" outlineLevel="0" max="19" min="19" style="238" width="14"/>
    <col collapsed="false" customWidth="true" hidden="false" outlineLevel="0" max="20" min="20" style="238" width="15.42"/>
    <col collapsed="false" customWidth="true" hidden="false" outlineLevel="0" max="23" min="23" style="238" width="12.42"/>
    <col collapsed="false" customWidth="true" hidden="false" outlineLevel="0" max="26" min="26" style="238" width="12.29"/>
  </cols>
  <sheetData>
    <row r="1" customFormat="false" ht="41.25" hidden="false" customHeight="true" outlineLevel="0" collapsed="false">
      <c r="A1" s="403"/>
      <c r="B1" s="188" t="s">
        <v>246</v>
      </c>
      <c r="C1" s="188"/>
      <c r="D1" s="528" t="s">
        <v>489</v>
      </c>
      <c r="E1" s="528"/>
      <c r="F1" s="528"/>
      <c r="G1" s="528"/>
      <c r="H1" s="528"/>
      <c r="I1" s="528"/>
      <c r="J1" s="528"/>
      <c r="K1" s="528"/>
      <c r="L1" s="528"/>
      <c r="M1" s="528"/>
      <c r="N1" s="528"/>
      <c r="O1" s="528"/>
      <c r="P1" s="528"/>
      <c r="Q1" s="528"/>
      <c r="R1" s="528"/>
      <c r="S1" s="528"/>
      <c r="T1" s="528"/>
      <c r="U1" s="528"/>
      <c r="V1" s="405" t="s">
        <v>176</v>
      </c>
    </row>
    <row r="2" customFormat="false" ht="36.75" hidden="false" customHeight="true" outlineLevel="0" collapsed="false">
      <c r="A2" s="530"/>
      <c r="B2" s="530"/>
      <c r="C2" s="530"/>
      <c r="D2" s="531"/>
      <c r="E2" s="531"/>
      <c r="F2" s="531"/>
      <c r="G2" s="531"/>
      <c r="H2" s="531"/>
      <c r="I2" s="555" t="s">
        <v>490</v>
      </c>
      <c r="J2" s="555"/>
      <c r="K2" s="555"/>
      <c r="L2" s="555"/>
      <c r="M2" s="555"/>
      <c r="N2" s="555"/>
      <c r="O2" s="556"/>
      <c r="P2" s="556"/>
      <c r="Q2" s="556"/>
      <c r="R2" s="556"/>
      <c r="S2" s="556"/>
      <c r="T2" s="556"/>
      <c r="U2" s="556"/>
    </row>
    <row r="3" customFormat="false" ht="36" hidden="false" customHeight="true" outlineLevel="0" collapsed="false">
      <c r="A3" s="534" t="s">
        <v>315</v>
      </c>
      <c r="B3" s="534" t="s">
        <v>17</v>
      </c>
      <c r="C3" s="534" t="s">
        <v>317</v>
      </c>
      <c r="D3" s="472" t="s">
        <v>318</v>
      </c>
      <c r="E3" s="472" t="s">
        <v>20</v>
      </c>
      <c r="F3" s="557" t="s">
        <v>471</v>
      </c>
      <c r="G3" s="558" t="s">
        <v>491</v>
      </c>
      <c r="H3" s="558"/>
      <c r="I3" s="128" t="s">
        <v>64</v>
      </c>
      <c r="J3" s="504" t="s">
        <v>492</v>
      </c>
      <c r="K3" s="504"/>
      <c r="L3" s="504"/>
      <c r="M3" s="504"/>
      <c r="N3" s="504"/>
      <c r="O3" s="128" t="s">
        <v>65</v>
      </c>
      <c r="P3" s="504" t="s">
        <v>493</v>
      </c>
      <c r="Q3" s="504"/>
      <c r="R3" s="128" t="s">
        <v>66</v>
      </c>
      <c r="S3" s="504" t="s">
        <v>494</v>
      </c>
      <c r="T3" s="504"/>
      <c r="U3" s="538" t="s">
        <v>67</v>
      </c>
      <c r="V3" s="504" t="s">
        <v>495</v>
      </c>
      <c r="W3" s="504"/>
      <c r="X3" s="559" t="s">
        <v>475</v>
      </c>
      <c r="Y3" s="560" t="s">
        <v>496</v>
      </c>
      <c r="Z3" s="560"/>
      <c r="AA3" s="561" t="s">
        <v>497</v>
      </c>
      <c r="AB3" s="562" t="s">
        <v>34</v>
      </c>
    </row>
    <row r="4" customFormat="false" ht="91" hidden="false" customHeight="false" outlineLevel="0" collapsed="false">
      <c r="A4" s="534"/>
      <c r="B4" s="534"/>
      <c r="C4" s="534"/>
      <c r="D4" s="472"/>
      <c r="E4" s="472"/>
      <c r="F4" s="557"/>
      <c r="G4" s="509" t="s">
        <v>168</v>
      </c>
      <c r="H4" s="509" t="s">
        <v>169</v>
      </c>
      <c r="I4" s="128"/>
      <c r="J4" s="509" t="s">
        <v>498</v>
      </c>
      <c r="K4" s="509" t="s">
        <v>499</v>
      </c>
      <c r="L4" s="509" t="s">
        <v>500</v>
      </c>
      <c r="M4" s="509" t="s">
        <v>501</v>
      </c>
      <c r="N4" s="509" t="s">
        <v>502</v>
      </c>
      <c r="O4" s="128"/>
      <c r="P4" s="563" t="s">
        <v>503</v>
      </c>
      <c r="Q4" s="564" t="s">
        <v>504</v>
      </c>
      <c r="R4" s="128"/>
      <c r="S4" s="564" t="s">
        <v>505</v>
      </c>
      <c r="T4" s="564" t="s">
        <v>506</v>
      </c>
      <c r="U4" s="538"/>
      <c r="V4" s="564" t="s">
        <v>507</v>
      </c>
      <c r="W4" s="564" t="s">
        <v>508</v>
      </c>
      <c r="X4" s="559"/>
      <c r="Y4" s="163" t="s">
        <v>509</v>
      </c>
      <c r="Z4" s="163" t="s">
        <v>510</v>
      </c>
      <c r="AA4" s="561"/>
      <c r="AB4" s="562"/>
    </row>
    <row r="5" customFormat="false" ht="23.85" hidden="false" customHeight="false" outlineLevel="0" collapsed="false">
      <c r="A5" s="545" t="str">
        <f aca="false">'Listado CAPS'!A3</f>
        <v>Madriz</v>
      </c>
      <c r="B5" s="545" t="str">
        <f aca="false">'Listado CAPS'!B3</f>
        <v>Yalaguina</v>
      </c>
      <c r="C5" s="545" t="str">
        <f aca="false">'Listado CAPS'!C3</f>
        <v>Los Encuentros</v>
      </c>
      <c r="D5" s="545" t="str">
        <f aca="false">'Listado CAPS'!D3</f>
        <v>Los Encuentros</v>
      </c>
      <c r="E5" s="545" t="str">
        <f aca="false">'Listado CAPS'!E3</f>
        <v>MAG</v>
      </c>
      <c r="F5" s="546"/>
      <c r="G5" s="119"/>
      <c r="H5" s="119"/>
      <c r="I5" s="131" t="n">
        <f aca="false">IF(SUM(G5:H5)=2,1,0)</f>
        <v>0</v>
      </c>
      <c r="J5" s="126"/>
      <c r="K5" s="126"/>
      <c r="L5" s="126"/>
      <c r="M5" s="126"/>
      <c r="N5" s="126"/>
      <c r="O5" s="131" t="n">
        <f aca="false">IF(SUM(J5:N5)&gt;=4,1,0)</f>
        <v>0</v>
      </c>
      <c r="P5" s="126"/>
      <c r="Q5" s="126"/>
      <c r="R5" s="131" t="n">
        <f aca="false">IF(SUM(P5:Q5)=2,1,0)</f>
        <v>0</v>
      </c>
      <c r="S5" s="126"/>
      <c r="T5" s="126"/>
      <c r="U5" s="133" t="n">
        <f aca="false">IF(SUM(S5:T5)=1,1,0)</f>
        <v>0</v>
      </c>
      <c r="V5" s="514"/>
      <c r="W5" s="514"/>
      <c r="X5" s="131" t="n">
        <f aca="false">IF(SUM(V5:W5)=2,1,0)</f>
        <v>0</v>
      </c>
      <c r="Y5" s="565"/>
      <c r="Z5" s="565"/>
      <c r="AA5" s="566" t="n">
        <f aca="false">IF(SUM(Y5:Z5)=2,1,0)</f>
        <v>0</v>
      </c>
      <c r="AB5" s="567" t="n">
        <f aca="false">IF(E6&lt;&gt;"EXCAVADO EBM",SUM(I5*0.2+O5*0.2+R5*0.2+U5*0.2+X5*0.2),SUM(I5*0.16+O5*0.16+R5*0.16+U5*0.16+X5*0.16+AA5*0.16))</f>
        <v>0</v>
      </c>
    </row>
    <row r="6" customFormat="false" ht="15" hidden="false" customHeight="false" outlineLevel="0" collapsed="false">
      <c r="A6" s="545" t="n">
        <f aca="false">'Listado CAPS'!A4</f>
        <v>0</v>
      </c>
      <c r="B6" s="545" t="n">
        <f aca="false">'Listado CAPS'!B4</f>
        <v>0</v>
      </c>
      <c r="C6" s="545" t="n">
        <f aca="false">'Listado CAPS'!C4</f>
        <v>0</v>
      </c>
      <c r="D6" s="545" t="str">
        <f aca="false">'Listado CAPS'!D4</f>
        <v>B</v>
      </c>
      <c r="E6" s="545"/>
      <c r="F6" s="546"/>
      <c r="G6" s="119"/>
      <c r="H6" s="119"/>
      <c r="I6" s="131" t="n">
        <f aca="false">IF(SUM(G6:H6)=2,1,0)</f>
        <v>0</v>
      </c>
      <c r="J6" s="126"/>
      <c r="K6" s="126"/>
      <c r="L6" s="126"/>
      <c r="M6" s="126"/>
      <c r="N6" s="126"/>
      <c r="O6" s="131" t="n">
        <f aca="false">IF(SUM(J6:N6)&gt;=4,1,0)</f>
        <v>0</v>
      </c>
      <c r="P6" s="126"/>
      <c r="Q6" s="126"/>
      <c r="R6" s="131" t="n">
        <f aca="false">IF(SUM(P6:Q6)=2,1,0)</f>
        <v>0</v>
      </c>
      <c r="S6" s="126"/>
      <c r="T6" s="126"/>
      <c r="U6" s="133" t="n">
        <f aca="false">IF(SUM(S6:T6)=1,1,0)</f>
        <v>0</v>
      </c>
      <c r="V6" s="514"/>
      <c r="W6" s="514"/>
      <c r="X6" s="131" t="n">
        <f aca="false">IF(SUM(V6:W6)=2,1,0)</f>
        <v>0</v>
      </c>
      <c r="Y6" s="565"/>
      <c r="Z6" s="565"/>
      <c r="AA6" s="566" t="n">
        <f aca="false">IF(SUM(Y6:Z6)=2,1,0)</f>
        <v>0</v>
      </c>
      <c r="AB6" s="567" t="n">
        <f aca="false">IF(E7&lt;&gt;"EXCAVADO EBM",SUM(I6*0.2+O6*0.2+R6*0.2+U6*0.2+X6*0.2),SUM(I6*0.16+O6*0.16+R6*0.16+U6*0.16+X6*0.16+AA6*0.16))</f>
        <v>0</v>
      </c>
    </row>
    <row r="7" customFormat="false" ht="15" hidden="false" customHeight="false" outlineLevel="0" collapsed="false">
      <c r="A7" s="545" t="n">
        <f aca="false">'Listado CAPS'!A5</f>
        <v>0</v>
      </c>
      <c r="B7" s="545" t="n">
        <f aca="false">'Listado CAPS'!B5</f>
        <v>0</v>
      </c>
      <c r="C7" s="545" t="n">
        <f aca="false">'Listado CAPS'!C5</f>
        <v>0</v>
      </c>
      <c r="D7" s="545" t="str">
        <f aca="false">'Listado CAPS'!D5</f>
        <v>C</v>
      </c>
      <c r="E7" s="545"/>
      <c r="F7" s="546"/>
      <c r="G7" s="119"/>
      <c r="H7" s="119"/>
      <c r="I7" s="131" t="n">
        <f aca="false">IF(SUM(G7:H7)=2,1,0)</f>
        <v>0</v>
      </c>
      <c r="J7" s="126"/>
      <c r="K7" s="126"/>
      <c r="L7" s="126"/>
      <c r="M7" s="126"/>
      <c r="N7" s="126"/>
      <c r="O7" s="131" t="n">
        <f aca="false">IF(SUM(J7:N7)&gt;=4,1,0)</f>
        <v>0</v>
      </c>
      <c r="P7" s="126"/>
      <c r="Q7" s="126"/>
      <c r="R7" s="131" t="n">
        <f aca="false">IF(SUM(P7:Q7)=2,1,0)</f>
        <v>0</v>
      </c>
      <c r="S7" s="126"/>
      <c r="T7" s="126"/>
      <c r="U7" s="133" t="n">
        <f aca="false">IF(SUM(S7:T7)=1,1,0)</f>
        <v>0</v>
      </c>
      <c r="V7" s="514"/>
      <c r="W7" s="514"/>
      <c r="X7" s="131" t="n">
        <f aca="false">IF(SUM(V7:W7)=2,1,0)</f>
        <v>0</v>
      </c>
      <c r="Y7" s="565"/>
      <c r="Z7" s="565"/>
      <c r="AA7" s="566" t="n">
        <f aca="false">IF(SUM(Y7:Z7)=2,1,0)</f>
        <v>0</v>
      </c>
      <c r="AB7" s="567" t="n">
        <f aca="false">IF(E8&lt;&gt;"EXCAVADO EBM",SUM(I7*0.2+O7*0.2+R7*0.2+U7*0.2+X7*0.2),SUM(I7*0.16+O7*0.16+R7*0.16+U7*0.16+X7*0.16+AA7*0.16))</f>
        <v>0</v>
      </c>
    </row>
    <row r="8" customFormat="false" ht="15" hidden="false" customHeight="false" outlineLevel="0" collapsed="false">
      <c r="A8" s="545" t="n">
        <f aca="false">'Listado CAPS'!A6</f>
        <v>0</v>
      </c>
      <c r="B8" s="545" t="n">
        <f aca="false">'Listado CAPS'!B6</f>
        <v>0</v>
      </c>
      <c r="C8" s="545" t="n">
        <f aca="false">'Listado CAPS'!C6</f>
        <v>0</v>
      </c>
      <c r="D8" s="545" t="str">
        <f aca="false">'Listado CAPS'!D6</f>
        <v>D</v>
      </c>
      <c r="E8" s="545"/>
      <c r="F8" s="546"/>
      <c r="G8" s="119"/>
      <c r="H8" s="119"/>
      <c r="I8" s="131" t="n">
        <f aca="false">IF(SUM(G8:H8)=2,1,0)</f>
        <v>0</v>
      </c>
      <c r="J8" s="126"/>
      <c r="K8" s="126"/>
      <c r="L8" s="126"/>
      <c r="M8" s="126"/>
      <c r="N8" s="126"/>
      <c r="O8" s="131" t="n">
        <f aca="false">IF(SUM(J8:N8)&gt;=4,1,0)</f>
        <v>0</v>
      </c>
      <c r="P8" s="126"/>
      <c r="Q8" s="126"/>
      <c r="R8" s="131" t="n">
        <f aca="false">IF(SUM(P8:Q8)=2,1,0)</f>
        <v>0</v>
      </c>
      <c r="S8" s="126"/>
      <c r="T8" s="126"/>
      <c r="U8" s="133" t="n">
        <f aca="false">IF(SUM(S8:T8)=1,1,0)</f>
        <v>0</v>
      </c>
      <c r="V8" s="514"/>
      <c r="W8" s="514"/>
      <c r="X8" s="131" t="n">
        <f aca="false">IF(SUM(V8:W8)=2,1,0)</f>
        <v>0</v>
      </c>
      <c r="Y8" s="565"/>
      <c r="Z8" s="565"/>
      <c r="AA8" s="566" t="n">
        <f aca="false">IF(SUM(Y8:Z8)=2,1,0)</f>
        <v>0</v>
      </c>
      <c r="AB8" s="567" t="n">
        <f aca="false">IF(E9&lt;&gt;"EXCAVADO EBM",SUM(I8*0.2+O8*0.2+R8*0.2+U8*0.2+X8*0.2),SUM(I8*0.16+O8*0.16+R8*0.16+U8*0.16+X8*0.16+AA8*0.16))</f>
        <v>0</v>
      </c>
    </row>
    <row r="9" customFormat="false" ht="15" hidden="false" customHeight="false" outlineLevel="0" collapsed="false">
      <c r="A9" s="545" t="n">
        <f aca="false">'Listado CAPS'!A7</f>
        <v>0</v>
      </c>
      <c r="B9" s="545" t="n">
        <f aca="false">'Listado CAPS'!B7</f>
        <v>0</v>
      </c>
      <c r="C9" s="545" t="n">
        <f aca="false">'Listado CAPS'!C7</f>
        <v>0</v>
      </c>
      <c r="D9" s="545" t="str">
        <f aca="false">'Listado CAPS'!D7</f>
        <v>E</v>
      </c>
      <c r="E9" s="545"/>
      <c r="F9" s="546"/>
      <c r="G9" s="119"/>
      <c r="H9" s="119"/>
      <c r="I9" s="131" t="n">
        <f aca="false">IF(SUM(G9:H9)=2,1,0)</f>
        <v>0</v>
      </c>
      <c r="J9" s="126"/>
      <c r="K9" s="126"/>
      <c r="L9" s="126"/>
      <c r="M9" s="126"/>
      <c r="N9" s="126"/>
      <c r="O9" s="131" t="n">
        <f aca="false">IF(SUM(J9:N9)&gt;=4,1,0)</f>
        <v>0</v>
      </c>
      <c r="P9" s="126"/>
      <c r="Q9" s="126"/>
      <c r="R9" s="131" t="n">
        <f aca="false">IF(SUM(P9:Q9)=2,1,0)</f>
        <v>0</v>
      </c>
      <c r="S9" s="126"/>
      <c r="T9" s="126"/>
      <c r="U9" s="133" t="n">
        <f aca="false">IF(SUM(S9:T9)=1,1,0)</f>
        <v>0</v>
      </c>
      <c r="V9" s="514"/>
      <c r="W9" s="514"/>
      <c r="X9" s="131" t="n">
        <f aca="false">IF(SUM(V9:W9)=2,1,0)</f>
        <v>0</v>
      </c>
      <c r="Y9" s="565"/>
      <c r="Z9" s="565"/>
      <c r="AA9" s="566" t="n">
        <f aca="false">IF(SUM(Y9:Z9)=2,1,0)</f>
        <v>0</v>
      </c>
      <c r="AB9" s="567" t="n">
        <f aca="false">IF(E10&lt;&gt;"EXCAVADO EBM",SUM(I9*0.2+O9*0.2+R9*0.2+U9*0.2+X9*0.2),SUM(I9*0.16+O9*0.16+R9*0.16+U9*0.16+X9*0.16+AA9*0.16))</f>
        <v>0</v>
      </c>
    </row>
    <row r="10" customFormat="false" ht="15" hidden="false" customHeight="false" outlineLevel="0" collapsed="false">
      <c r="A10" s="545" t="n">
        <f aca="false">'Listado CAPS'!A8</f>
        <v>0</v>
      </c>
      <c r="B10" s="545" t="n">
        <f aca="false">'Listado CAPS'!B8</f>
        <v>0</v>
      </c>
      <c r="C10" s="545" t="n">
        <f aca="false">'Listado CAPS'!C8</f>
        <v>0</v>
      </c>
      <c r="D10" s="545" t="str">
        <f aca="false">'Listado CAPS'!D8</f>
        <v>F</v>
      </c>
      <c r="E10" s="545"/>
      <c r="F10" s="546"/>
      <c r="G10" s="119"/>
      <c r="H10" s="119"/>
      <c r="I10" s="131" t="n">
        <f aca="false">IF(SUM(G10:H10)=2,1,0)</f>
        <v>0</v>
      </c>
      <c r="J10" s="126"/>
      <c r="K10" s="126"/>
      <c r="L10" s="126"/>
      <c r="M10" s="126"/>
      <c r="N10" s="126"/>
      <c r="O10" s="131" t="n">
        <f aca="false">IF(SUM(J10:N10)&gt;=4,1,0)</f>
        <v>0</v>
      </c>
      <c r="P10" s="126"/>
      <c r="Q10" s="126"/>
      <c r="R10" s="131" t="n">
        <f aca="false">IF(SUM(P10:Q10)=2,1,0)</f>
        <v>0</v>
      </c>
      <c r="S10" s="126"/>
      <c r="T10" s="126"/>
      <c r="U10" s="133" t="n">
        <f aca="false">IF(SUM(S10:T10)=1,1,0)</f>
        <v>0</v>
      </c>
      <c r="V10" s="514"/>
      <c r="W10" s="514"/>
      <c r="X10" s="131" t="n">
        <f aca="false">IF(SUM(V10:W10)=2,1,0)</f>
        <v>0</v>
      </c>
      <c r="Y10" s="565"/>
      <c r="Z10" s="565"/>
      <c r="AA10" s="566" t="n">
        <f aca="false">IF(SUM(Y10:Z10)=2,1,0)</f>
        <v>0</v>
      </c>
      <c r="AB10" s="567" t="n">
        <f aca="false">IF(E11&lt;&gt;"EXCAVADO EBM",SUM(I10*0.2+O10*0.2+R10*0.2+U10*0.2+X10*0.2),SUM(I10*0.16+O10*0.16+R10*0.16+U10*0.16+X10*0.16+AA10*0.16))</f>
        <v>0</v>
      </c>
    </row>
    <row r="11" customFormat="false" ht="15" hidden="false" customHeight="false" outlineLevel="0" collapsed="false">
      <c r="A11" s="545" t="n">
        <f aca="false">'Listado CAPS'!A9</f>
        <v>0</v>
      </c>
      <c r="B11" s="545" t="n">
        <f aca="false">'Listado CAPS'!B9</f>
        <v>0</v>
      </c>
      <c r="C11" s="545" t="n">
        <f aca="false">'Listado CAPS'!C9</f>
        <v>0</v>
      </c>
      <c r="D11" s="545" t="str">
        <f aca="false">'Listado CAPS'!D9</f>
        <v>G</v>
      </c>
      <c r="E11" s="545"/>
      <c r="F11" s="546"/>
      <c r="G11" s="119"/>
      <c r="H11" s="119"/>
      <c r="I11" s="131" t="n">
        <f aca="false">IF(SUM(G11:H11)=2,1,0)</f>
        <v>0</v>
      </c>
      <c r="J11" s="126"/>
      <c r="K11" s="126"/>
      <c r="L11" s="126"/>
      <c r="M11" s="126"/>
      <c r="N11" s="126"/>
      <c r="O11" s="131" t="n">
        <f aca="false">IF(SUM(J11:N11)&gt;=4,1,0)</f>
        <v>0</v>
      </c>
      <c r="P11" s="126"/>
      <c r="Q11" s="126"/>
      <c r="R11" s="131" t="n">
        <f aca="false">IF(SUM(P11:Q11)=2,1,0)</f>
        <v>0</v>
      </c>
      <c r="S11" s="126"/>
      <c r="T11" s="126"/>
      <c r="U11" s="133" t="n">
        <f aca="false">IF(SUM(S11:T11)=1,1,0)</f>
        <v>0</v>
      </c>
      <c r="V11" s="514"/>
      <c r="W11" s="514"/>
      <c r="X11" s="131" t="n">
        <f aca="false">IF(SUM(V11:W11)=2,1,0)</f>
        <v>0</v>
      </c>
      <c r="Y11" s="565"/>
      <c r="Z11" s="565"/>
      <c r="AA11" s="566" t="n">
        <f aca="false">IF(SUM(Y11:Z11)=2,1,0)</f>
        <v>0</v>
      </c>
      <c r="AB11" s="567" t="n">
        <f aca="false">IF(E12&lt;&gt;"EXCAVADO EBM",SUM(I11*0.2+O11*0.2+R11*0.2+U11*0.2+X11*0.2),SUM(I11*0.16+O11*0.16+R11*0.16+U11*0.16+X11*0.16+AA11*0.16))</f>
        <v>0</v>
      </c>
    </row>
    <row r="12" customFormat="false" ht="15" hidden="false" customHeight="false" outlineLevel="0" collapsed="false">
      <c r="A12" s="545" t="n">
        <f aca="false">'Listado CAPS'!A10</f>
        <v>0</v>
      </c>
      <c r="B12" s="545" t="n">
        <f aca="false">'Listado CAPS'!B10</f>
        <v>0</v>
      </c>
      <c r="C12" s="545" t="n">
        <f aca="false">'Listado CAPS'!C10</f>
        <v>0</v>
      </c>
      <c r="D12" s="545" t="str">
        <f aca="false">'Listado CAPS'!D10</f>
        <v>H</v>
      </c>
      <c r="E12" s="545"/>
      <c r="F12" s="546"/>
      <c r="G12" s="119"/>
      <c r="H12" s="119"/>
      <c r="I12" s="131" t="n">
        <f aca="false">IF(SUM(G12:H12)=2,1,0)</f>
        <v>0</v>
      </c>
      <c r="J12" s="126"/>
      <c r="K12" s="126"/>
      <c r="L12" s="126"/>
      <c r="M12" s="126"/>
      <c r="N12" s="126"/>
      <c r="O12" s="131" t="n">
        <f aca="false">IF(SUM(J12:N12)&gt;=4,1,0)</f>
        <v>0</v>
      </c>
      <c r="P12" s="126"/>
      <c r="Q12" s="126"/>
      <c r="R12" s="131" t="n">
        <f aca="false">IF(SUM(P12:Q12)=2,1,0)</f>
        <v>0</v>
      </c>
      <c r="S12" s="126"/>
      <c r="T12" s="126"/>
      <c r="U12" s="133" t="n">
        <f aca="false">IF(SUM(S12:T12)=1,1,0)</f>
        <v>0</v>
      </c>
      <c r="V12" s="514"/>
      <c r="W12" s="514"/>
      <c r="X12" s="131" t="n">
        <f aca="false">IF(SUM(V12:W12)=2,1,0)</f>
        <v>0</v>
      </c>
      <c r="Y12" s="565"/>
      <c r="Z12" s="565"/>
      <c r="AA12" s="566" t="n">
        <f aca="false">IF(SUM(Y12:Z12)=2,1,0)</f>
        <v>0</v>
      </c>
      <c r="AB12" s="567" t="n">
        <f aca="false">IF(E13&lt;&gt;"EXCAVADO EBM",SUM(I12*0.2+O12*0.2+R12*0.2+U12*0.2+X12*0.2),SUM(I12*0.16+O12*0.16+R12*0.16+U12*0.16+X12*0.16+AA12*0.16))</f>
        <v>0</v>
      </c>
    </row>
    <row r="13" customFormat="false" ht="15" hidden="false" customHeight="false" outlineLevel="0" collapsed="false">
      <c r="A13" s="545" t="n">
        <f aca="false">'Listado CAPS'!A11</f>
        <v>0</v>
      </c>
      <c r="B13" s="545" t="n">
        <f aca="false">'Listado CAPS'!B11</f>
        <v>0</v>
      </c>
      <c r="C13" s="545" t="n">
        <f aca="false">'Listado CAPS'!C11</f>
        <v>0</v>
      </c>
      <c r="D13" s="545" t="str">
        <f aca="false">'Listado CAPS'!D11</f>
        <v>I</v>
      </c>
      <c r="E13" s="545"/>
      <c r="F13" s="546"/>
      <c r="G13" s="119"/>
      <c r="H13" s="119"/>
      <c r="I13" s="131" t="n">
        <f aca="false">IF(SUM(G13:H13)=2,1,0)</f>
        <v>0</v>
      </c>
      <c r="J13" s="126"/>
      <c r="K13" s="126"/>
      <c r="L13" s="126"/>
      <c r="M13" s="126"/>
      <c r="N13" s="126"/>
      <c r="O13" s="131" t="n">
        <f aca="false">IF(SUM(J13:N13)&gt;=4,1,0)</f>
        <v>0</v>
      </c>
      <c r="P13" s="126"/>
      <c r="Q13" s="126"/>
      <c r="R13" s="131" t="n">
        <f aca="false">IF(SUM(P13:Q13)=2,1,0)</f>
        <v>0</v>
      </c>
      <c r="S13" s="126"/>
      <c r="T13" s="126"/>
      <c r="U13" s="133" t="n">
        <f aca="false">IF(SUM(S13:T13)=1,1,0)</f>
        <v>0</v>
      </c>
      <c r="V13" s="514"/>
      <c r="W13" s="514"/>
      <c r="X13" s="131" t="n">
        <f aca="false">IF(SUM(V13:W13)=2,1,0)</f>
        <v>0</v>
      </c>
      <c r="Y13" s="565"/>
      <c r="Z13" s="565"/>
      <c r="AA13" s="566" t="n">
        <f aca="false">IF(SUM(Y13:Z13)=2,1,0)</f>
        <v>0</v>
      </c>
      <c r="AB13" s="567" t="n">
        <f aca="false">IF(E14&lt;&gt;"EXCAVADO EBM",SUM(I13*0.2+O13*0.2+R13*0.2+U13*0.2+X13*0.2),SUM(I13*0.16+O13*0.16+R13*0.16+U13*0.16+X13*0.16+AA13*0.16))</f>
        <v>0</v>
      </c>
    </row>
    <row r="14" customFormat="false" ht="15" hidden="false" customHeight="false" outlineLevel="0" collapsed="false">
      <c r="A14" s="545" t="n">
        <f aca="false">'Listado CAPS'!A12</f>
        <v>0</v>
      </c>
      <c r="B14" s="545" t="n">
        <f aca="false">'Listado CAPS'!B12</f>
        <v>0</v>
      </c>
      <c r="C14" s="545" t="n">
        <f aca="false">'Listado CAPS'!C12</f>
        <v>0</v>
      </c>
      <c r="D14" s="545" t="str">
        <f aca="false">'Listado CAPS'!D12</f>
        <v>J</v>
      </c>
      <c r="E14" s="545"/>
      <c r="F14" s="546"/>
      <c r="G14" s="119"/>
      <c r="H14" s="119"/>
      <c r="I14" s="131" t="n">
        <f aca="false">IF(SUM(G14:H14)=2,1,0)</f>
        <v>0</v>
      </c>
      <c r="J14" s="126"/>
      <c r="K14" s="126"/>
      <c r="L14" s="126"/>
      <c r="M14" s="126"/>
      <c r="N14" s="126"/>
      <c r="O14" s="131" t="n">
        <f aca="false">IF(SUM(J14:N14)&gt;=4,1,0)</f>
        <v>0</v>
      </c>
      <c r="P14" s="126"/>
      <c r="Q14" s="126"/>
      <c r="R14" s="131" t="n">
        <f aca="false">IF(SUM(P14:Q14)=2,1,0)</f>
        <v>0</v>
      </c>
      <c r="S14" s="126"/>
      <c r="T14" s="126"/>
      <c r="U14" s="133" t="n">
        <f aca="false">IF(SUM(S14:T14)=1,1,0)</f>
        <v>0</v>
      </c>
      <c r="V14" s="514"/>
      <c r="W14" s="514"/>
      <c r="X14" s="131" t="n">
        <f aca="false">IF(SUM(V14:W14)=2,1,0)</f>
        <v>0</v>
      </c>
      <c r="Y14" s="565"/>
      <c r="Z14" s="565"/>
      <c r="AA14" s="566" t="n">
        <f aca="false">IF(SUM(Y14:Z14)=2,1,0)</f>
        <v>0</v>
      </c>
      <c r="AB14" s="567" t="n">
        <f aca="false">IF(E15&lt;&gt;"EXCAVADO EBM",SUM(I14*0.2+O14*0.2+R14*0.2+U14*0.2+X14*0.2),SUM(I14*0.16+O14*0.16+R14*0.16+U14*0.16+X14*0.16+AA14*0.16))</f>
        <v>0</v>
      </c>
    </row>
    <row r="15" customFormat="false" ht="15" hidden="false" customHeight="false" outlineLevel="0" collapsed="false">
      <c r="A15" s="545" t="n">
        <f aca="false">'Listado CAPS'!A13</f>
        <v>0</v>
      </c>
      <c r="B15" s="545" t="n">
        <f aca="false">'Listado CAPS'!B13</f>
        <v>0</v>
      </c>
      <c r="C15" s="545" t="n">
        <f aca="false">'Listado CAPS'!C13</f>
        <v>0</v>
      </c>
      <c r="D15" s="545" t="str">
        <f aca="false">'Listado CAPS'!D13</f>
        <v>K</v>
      </c>
      <c r="E15" s="545"/>
      <c r="F15" s="546"/>
      <c r="G15" s="119"/>
      <c r="H15" s="119"/>
      <c r="I15" s="131" t="n">
        <f aca="false">IF(SUM(G15:H15)=2,1,0)</f>
        <v>0</v>
      </c>
      <c r="J15" s="126"/>
      <c r="K15" s="126"/>
      <c r="L15" s="126"/>
      <c r="M15" s="126"/>
      <c r="N15" s="126"/>
      <c r="O15" s="131" t="n">
        <f aca="false">IF(SUM(J15:N15)&gt;=4,1,0)</f>
        <v>0</v>
      </c>
      <c r="P15" s="126"/>
      <c r="Q15" s="126"/>
      <c r="R15" s="131" t="n">
        <f aca="false">IF(SUM(P15:Q15)=2,1,0)</f>
        <v>0</v>
      </c>
      <c r="S15" s="126"/>
      <c r="T15" s="126"/>
      <c r="U15" s="133" t="n">
        <f aca="false">IF(SUM(S15:T15)=1,1,0)</f>
        <v>0</v>
      </c>
      <c r="V15" s="514"/>
      <c r="W15" s="514"/>
      <c r="X15" s="131" t="n">
        <f aca="false">IF(SUM(V15:W15)=2,1,0)</f>
        <v>0</v>
      </c>
      <c r="Y15" s="565"/>
      <c r="Z15" s="565"/>
      <c r="AA15" s="566" t="n">
        <f aca="false">IF(SUM(Y15:Z15)=2,1,0)</f>
        <v>0</v>
      </c>
      <c r="AB15" s="567" t="n">
        <f aca="false">IF(E16&lt;&gt;"EXCAVADO EBM",SUM(I15*0.2+O15*0.2+R15*0.2+U15*0.2+X15*0.2),SUM(I15*0.16+O15*0.16+R15*0.16+U15*0.16+X15*0.16+AA15*0.16))</f>
        <v>0</v>
      </c>
    </row>
    <row r="16" customFormat="false" ht="15" hidden="false" customHeight="false" outlineLevel="0" collapsed="false">
      <c r="A16" s="545" t="n">
        <f aca="false">'Listado CAPS'!A14</f>
        <v>0</v>
      </c>
      <c r="B16" s="545" t="n">
        <f aca="false">'Listado CAPS'!B14</f>
        <v>0</v>
      </c>
      <c r="C16" s="545" t="n">
        <f aca="false">'Listado CAPS'!C14</f>
        <v>0</v>
      </c>
      <c r="D16" s="545" t="str">
        <f aca="false">'Listado CAPS'!D14</f>
        <v>L</v>
      </c>
      <c r="E16" s="545"/>
      <c r="F16" s="546"/>
      <c r="G16" s="119"/>
      <c r="H16" s="119"/>
      <c r="I16" s="131" t="n">
        <f aca="false">IF(SUM(G16:H16)=2,1,0)</f>
        <v>0</v>
      </c>
      <c r="J16" s="126"/>
      <c r="K16" s="126"/>
      <c r="L16" s="126"/>
      <c r="M16" s="126"/>
      <c r="N16" s="126"/>
      <c r="O16" s="131" t="n">
        <f aca="false">IF(SUM(J16:N16)&gt;=4,1,0)</f>
        <v>0</v>
      </c>
      <c r="P16" s="126"/>
      <c r="Q16" s="126"/>
      <c r="R16" s="131" t="n">
        <f aca="false">IF(SUM(P16:Q16)=2,1,0)</f>
        <v>0</v>
      </c>
      <c r="S16" s="126"/>
      <c r="T16" s="126"/>
      <c r="U16" s="133" t="n">
        <f aca="false">IF(SUM(S16:T16)=1,1,0)</f>
        <v>0</v>
      </c>
      <c r="V16" s="514"/>
      <c r="W16" s="514"/>
      <c r="X16" s="131" t="n">
        <f aca="false">IF(SUM(V16:W16)=2,1,0)</f>
        <v>0</v>
      </c>
      <c r="Y16" s="565"/>
      <c r="Z16" s="565"/>
      <c r="AA16" s="566" t="n">
        <f aca="false">IF(SUM(Y16:Z16)=2,1,0)</f>
        <v>0</v>
      </c>
      <c r="AB16" s="567" t="n">
        <f aca="false">IF(E17&lt;&gt;"EXCAVADO EBM",SUM(I16*0.2+O16*0.2+R16*0.2+U16*0.2+X16*0.2),SUM(I16*0.16+O16*0.16+R16*0.16+U16*0.16+X16*0.16+AA16*0.16))</f>
        <v>0</v>
      </c>
    </row>
    <row r="17" customFormat="false" ht="15" hidden="false" customHeight="false" outlineLevel="0" collapsed="false">
      <c r="A17" s="545" t="n">
        <f aca="false">'Listado CAPS'!A15</f>
        <v>0</v>
      </c>
      <c r="B17" s="545" t="n">
        <f aca="false">'Listado CAPS'!B15</f>
        <v>0</v>
      </c>
      <c r="C17" s="545" t="n">
        <f aca="false">'Listado CAPS'!C15</f>
        <v>0</v>
      </c>
      <c r="D17" s="545" t="str">
        <f aca="false">'Listado CAPS'!D15</f>
        <v>M</v>
      </c>
      <c r="E17" s="545"/>
      <c r="F17" s="546"/>
      <c r="G17" s="119"/>
      <c r="H17" s="119"/>
      <c r="I17" s="131" t="n">
        <f aca="false">IF(SUM(G17:H17)=2,1,0)</f>
        <v>0</v>
      </c>
      <c r="J17" s="126"/>
      <c r="K17" s="126"/>
      <c r="L17" s="126"/>
      <c r="M17" s="126"/>
      <c r="N17" s="126"/>
      <c r="O17" s="131" t="n">
        <f aca="false">IF(SUM(J17:N17)&gt;=4,1,0)</f>
        <v>0</v>
      </c>
      <c r="P17" s="126"/>
      <c r="Q17" s="126"/>
      <c r="R17" s="131" t="n">
        <f aca="false">IF(SUM(P17:Q17)=2,1,0)</f>
        <v>0</v>
      </c>
      <c r="S17" s="126"/>
      <c r="T17" s="126"/>
      <c r="U17" s="133" t="n">
        <f aca="false">IF(SUM(S17:T17)=1,1,0)</f>
        <v>0</v>
      </c>
      <c r="V17" s="514"/>
      <c r="W17" s="514"/>
      <c r="X17" s="131" t="n">
        <f aca="false">IF(SUM(V17:W17)=2,1,0)</f>
        <v>0</v>
      </c>
      <c r="Y17" s="565"/>
      <c r="Z17" s="565"/>
      <c r="AA17" s="566" t="n">
        <f aca="false">IF(SUM(Y17:Z17)=2,1,0)</f>
        <v>0</v>
      </c>
      <c r="AB17" s="567" t="n">
        <f aca="false">IF(E18&lt;&gt;"EXCAVADO EBM",SUM(I17*0.2+O17*0.2+R17*0.2+U17*0.2+X17*0.2),SUM(I17*0.16+O17*0.16+R17*0.16+U17*0.16+X17*0.16+AA17*0.16))</f>
        <v>0</v>
      </c>
    </row>
    <row r="18" customFormat="false" ht="15" hidden="false" customHeight="false" outlineLevel="0" collapsed="false">
      <c r="A18" s="545" t="n">
        <f aca="false">'Listado CAPS'!A16</f>
        <v>0</v>
      </c>
      <c r="B18" s="545" t="n">
        <f aca="false">'Listado CAPS'!B16</f>
        <v>0</v>
      </c>
      <c r="C18" s="545" t="n">
        <f aca="false">'Listado CAPS'!C16</f>
        <v>0</v>
      </c>
      <c r="D18" s="545" t="str">
        <f aca="false">'Listado CAPS'!D16</f>
        <v>N</v>
      </c>
      <c r="E18" s="545"/>
      <c r="F18" s="546"/>
      <c r="G18" s="119"/>
      <c r="H18" s="119"/>
      <c r="I18" s="131" t="n">
        <f aca="false">IF(SUM(G18:H18)=2,1,0)</f>
        <v>0</v>
      </c>
      <c r="J18" s="126"/>
      <c r="K18" s="126"/>
      <c r="L18" s="126"/>
      <c r="M18" s="126"/>
      <c r="N18" s="126"/>
      <c r="O18" s="131" t="n">
        <f aca="false">IF(SUM(J18:N18)&gt;=4,1,0)</f>
        <v>0</v>
      </c>
      <c r="P18" s="126"/>
      <c r="Q18" s="126"/>
      <c r="R18" s="131" t="n">
        <f aca="false">IF(SUM(P18:Q18)=2,1,0)</f>
        <v>0</v>
      </c>
      <c r="S18" s="126"/>
      <c r="T18" s="126"/>
      <c r="U18" s="133" t="n">
        <f aca="false">IF(SUM(S18:T18)=1,1,0)</f>
        <v>0</v>
      </c>
      <c r="V18" s="514"/>
      <c r="W18" s="514"/>
      <c r="X18" s="131" t="n">
        <f aca="false">IF(SUM(V18:W18)=2,1,0)</f>
        <v>0</v>
      </c>
      <c r="Y18" s="565"/>
      <c r="Z18" s="565"/>
      <c r="AA18" s="566" t="n">
        <f aca="false">IF(SUM(Y18:Z18)=2,1,0)</f>
        <v>0</v>
      </c>
      <c r="AB18" s="567" t="n">
        <f aca="false">IF(E19&lt;&gt;"EXCAVADO EBM",SUM(I18*0.2+O18*0.2+R18*0.2+U18*0.2+X18*0.2),SUM(I18*0.16+O18*0.16+R18*0.16+U18*0.16+X18*0.16+AA18*0.16))</f>
        <v>0</v>
      </c>
    </row>
    <row r="19" customFormat="false" ht="15" hidden="false" customHeight="false" outlineLevel="0" collapsed="false">
      <c r="A19" s="545" t="n">
        <f aca="false">'Listado CAPS'!A17</f>
        <v>0</v>
      </c>
      <c r="B19" s="545" t="n">
        <f aca="false">'Listado CAPS'!B17</f>
        <v>0</v>
      </c>
      <c r="C19" s="545" t="n">
        <f aca="false">'Listado CAPS'!C17</f>
        <v>0</v>
      </c>
      <c r="D19" s="545" t="str">
        <f aca="false">'Listado CAPS'!D17</f>
        <v>Ñ</v>
      </c>
      <c r="E19" s="545"/>
      <c r="F19" s="546"/>
      <c r="G19" s="119"/>
      <c r="H19" s="119"/>
      <c r="I19" s="131" t="n">
        <f aca="false">IF(SUM(G19:H19)=2,1,0)</f>
        <v>0</v>
      </c>
      <c r="J19" s="126"/>
      <c r="K19" s="126"/>
      <c r="L19" s="126"/>
      <c r="M19" s="126"/>
      <c r="N19" s="126"/>
      <c r="O19" s="131" t="n">
        <f aca="false">IF(SUM(J19:N19)&gt;=4,1,0)</f>
        <v>0</v>
      </c>
      <c r="P19" s="126"/>
      <c r="Q19" s="126"/>
      <c r="R19" s="131" t="n">
        <f aca="false">IF(SUM(P19:Q19)=2,1,0)</f>
        <v>0</v>
      </c>
      <c r="S19" s="126"/>
      <c r="T19" s="126"/>
      <c r="U19" s="133" t="n">
        <f aca="false">IF(SUM(S19:T19)=1,1,0)</f>
        <v>0</v>
      </c>
      <c r="V19" s="514"/>
      <c r="W19" s="514"/>
      <c r="X19" s="131" t="n">
        <f aca="false">IF(SUM(V19:W19)=2,1,0)</f>
        <v>0</v>
      </c>
      <c r="Y19" s="565"/>
      <c r="Z19" s="565"/>
      <c r="AA19" s="566" t="n">
        <f aca="false">IF(SUM(Y19:Z19)=2,1,0)</f>
        <v>0</v>
      </c>
      <c r="AB19" s="567" t="n">
        <f aca="false">IF(E20&lt;&gt;"EXCAVADO EBM",SUM(I19*0.2+O19*0.2+R19*0.2+U19*0.2+X19*0.2),SUM(I19*0.16+O19*0.16+R19*0.16+U19*0.16+X19*0.16+AA19*0.16))</f>
        <v>0</v>
      </c>
    </row>
    <row r="20" customFormat="false" ht="15" hidden="false" customHeight="false" outlineLevel="0" collapsed="false">
      <c r="A20" s="545" t="n">
        <f aca="false">'Listado CAPS'!A18</f>
        <v>0</v>
      </c>
      <c r="B20" s="545" t="n">
        <f aca="false">'Listado CAPS'!B18</f>
        <v>0</v>
      </c>
      <c r="C20" s="545" t="n">
        <f aca="false">'Listado CAPS'!C18</f>
        <v>0</v>
      </c>
      <c r="D20" s="545" t="str">
        <f aca="false">'Listado CAPS'!D18</f>
        <v>O</v>
      </c>
      <c r="E20" s="545"/>
      <c r="F20" s="546"/>
      <c r="G20" s="119"/>
      <c r="H20" s="119"/>
      <c r="I20" s="131" t="n">
        <f aca="false">IF(SUM(G20:H20)=2,1,0)</f>
        <v>0</v>
      </c>
      <c r="J20" s="126"/>
      <c r="K20" s="126"/>
      <c r="L20" s="126"/>
      <c r="M20" s="126"/>
      <c r="N20" s="126"/>
      <c r="O20" s="131" t="n">
        <f aca="false">IF(SUM(J20:N20)&gt;=4,1,0)</f>
        <v>0</v>
      </c>
      <c r="P20" s="126"/>
      <c r="Q20" s="126"/>
      <c r="R20" s="131" t="n">
        <f aca="false">IF(SUM(P20:Q20)=2,1,0)</f>
        <v>0</v>
      </c>
      <c r="S20" s="126"/>
      <c r="T20" s="126"/>
      <c r="U20" s="133" t="n">
        <f aca="false">IF(SUM(S20:T20)=1,1,0)</f>
        <v>0</v>
      </c>
      <c r="V20" s="514"/>
      <c r="W20" s="514"/>
      <c r="X20" s="131" t="n">
        <f aca="false">IF(SUM(V20:W20)=2,1,0)</f>
        <v>0</v>
      </c>
      <c r="Y20" s="565"/>
      <c r="Z20" s="565"/>
      <c r="AA20" s="566" t="n">
        <f aca="false">IF(SUM(Y20:Z20)=2,1,0)</f>
        <v>0</v>
      </c>
      <c r="AB20" s="567" t="n">
        <f aca="false">IF(E21&lt;&gt;"EXCAVADO EBM",SUM(I20*0.2+O20*0.2+R20*0.2+U20*0.2+X20*0.2),SUM(I20*0.16+O20*0.16+R20*0.16+U20*0.16+X20*0.16+AA20*0.16))</f>
        <v>0</v>
      </c>
    </row>
    <row r="21" customFormat="false" ht="15" hidden="false" customHeight="false" outlineLevel="0" collapsed="false">
      <c r="A21" s="545" t="n">
        <f aca="false">'Listado CAPS'!A19</f>
        <v>0</v>
      </c>
      <c r="B21" s="545" t="n">
        <f aca="false">'Listado CAPS'!B19</f>
        <v>0</v>
      </c>
      <c r="C21" s="545" t="n">
        <f aca="false">'Listado CAPS'!C19</f>
        <v>0</v>
      </c>
      <c r="D21" s="545" t="str">
        <f aca="false">'Listado CAPS'!D19</f>
        <v>P</v>
      </c>
      <c r="E21" s="545"/>
      <c r="F21" s="546"/>
      <c r="G21" s="119"/>
      <c r="H21" s="119"/>
      <c r="I21" s="131" t="n">
        <f aca="false">IF(SUM(G21:H21)=2,1,0)</f>
        <v>0</v>
      </c>
      <c r="J21" s="126"/>
      <c r="K21" s="126"/>
      <c r="L21" s="126"/>
      <c r="M21" s="126"/>
      <c r="N21" s="126"/>
      <c r="O21" s="131" t="n">
        <f aca="false">IF(SUM(J21:N21)&gt;=4,1,0)</f>
        <v>0</v>
      </c>
      <c r="P21" s="126"/>
      <c r="Q21" s="126"/>
      <c r="R21" s="131" t="n">
        <f aca="false">IF(SUM(P21:Q21)=2,1,0)</f>
        <v>0</v>
      </c>
      <c r="S21" s="126"/>
      <c r="T21" s="126"/>
      <c r="U21" s="133" t="n">
        <f aca="false">IF(SUM(S21:T21)=1,1,0)</f>
        <v>0</v>
      </c>
      <c r="V21" s="514"/>
      <c r="W21" s="514"/>
      <c r="X21" s="131" t="n">
        <f aca="false">IF(SUM(V21:W21)=2,1,0)</f>
        <v>0</v>
      </c>
      <c r="Y21" s="565"/>
      <c r="Z21" s="565"/>
      <c r="AA21" s="566" t="n">
        <f aca="false">IF(SUM(Y21:Z21)=2,1,0)</f>
        <v>0</v>
      </c>
      <c r="AB21" s="567" t="n">
        <f aca="false">IF(E22&lt;&gt;"EXCAVADO EBM",SUM(I21*0.2+O21*0.2+R21*0.2+U21*0.2+X21*0.2),SUM(I21*0.16+O21*0.16+R21*0.16+U21*0.16+X21*0.16+AA21*0.16))</f>
        <v>0</v>
      </c>
    </row>
    <row r="22" customFormat="false" ht="15" hidden="false" customHeight="false" outlineLevel="0" collapsed="false">
      <c r="A22" s="545" t="n">
        <f aca="false">'Listado CAPS'!A20</f>
        <v>0</v>
      </c>
      <c r="B22" s="545" t="n">
        <f aca="false">'Listado CAPS'!B20</f>
        <v>0</v>
      </c>
      <c r="C22" s="545" t="n">
        <f aca="false">'Listado CAPS'!C20</f>
        <v>0</v>
      </c>
      <c r="D22" s="545" t="str">
        <f aca="false">'Listado CAPS'!D20</f>
        <v>Q</v>
      </c>
      <c r="E22" s="545"/>
      <c r="F22" s="546"/>
      <c r="G22" s="119"/>
      <c r="H22" s="119"/>
      <c r="I22" s="131" t="n">
        <f aca="false">IF(SUM(G22:H22)=2,1,0)</f>
        <v>0</v>
      </c>
      <c r="J22" s="126"/>
      <c r="K22" s="126"/>
      <c r="L22" s="126"/>
      <c r="M22" s="126"/>
      <c r="N22" s="126"/>
      <c r="O22" s="131" t="n">
        <f aca="false">IF(SUM(J22:N22)&gt;=4,1,0)</f>
        <v>0</v>
      </c>
      <c r="P22" s="126"/>
      <c r="Q22" s="126"/>
      <c r="R22" s="131" t="n">
        <f aca="false">IF(SUM(P22:Q22)=2,1,0)</f>
        <v>0</v>
      </c>
      <c r="S22" s="126"/>
      <c r="T22" s="126"/>
      <c r="U22" s="133" t="n">
        <f aca="false">IF(SUM(S22:T22)=1,1,0)</f>
        <v>0</v>
      </c>
      <c r="V22" s="514"/>
      <c r="W22" s="514"/>
      <c r="X22" s="131" t="n">
        <f aca="false">IF(SUM(V22:W22)=2,1,0)</f>
        <v>0</v>
      </c>
      <c r="Y22" s="565"/>
      <c r="Z22" s="565"/>
      <c r="AA22" s="566" t="n">
        <f aca="false">IF(SUM(Y22:Z22)=2,1,0)</f>
        <v>0</v>
      </c>
      <c r="AB22" s="567" t="n">
        <f aca="false">IF(E23&lt;&gt;"EXCAVADO EBM",SUM(I22*0.2+O22*0.2+R22*0.2+U22*0.2+X22*0.2),SUM(I22*0.16+O22*0.16+R22*0.16+U22*0.16+X22*0.16+AA22*0.16))</f>
        <v>0</v>
      </c>
    </row>
    <row r="23" customFormat="false" ht="15" hidden="false" customHeight="false" outlineLevel="0" collapsed="false">
      <c r="A23" s="545" t="n">
        <f aca="false">'Listado CAPS'!A21</f>
        <v>0</v>
      </c>
      <c r="B23" s="545" t="n">
        <f aca="false">'Listado CAPS'!B21</f>
        <v>0</v>
      </c>
      <c r="C23" s="545" t="n">
        <f aca="false">'Listado CAPS'!C21</f>
        <v>0</v>
      </c>
      <c r="D23" s="545" t="str">
        <f aca="false">'Listado CAPS'!D21</f>
        <v>R</v>
      </c>
      <c r="E23" s="545" t="n">
        <f aca="false">'Listado CAPS'!E21</f>
        <v>0</v>
      </c>
      <c r="F23" s="546"/>
      <c r="G23" s="119"/>
      <c r="H23" s="119"/>
      <c r="I23" s="131" t="n">
        <f aca="false">IF(SUM(G23:H23)=2,1,0)</f>
        <v>0</v>
      </c>
      <c r="J23" s="126"/>
      <c r="K23" s="126"/>
      <c r="L23" s="126"/>
      <c r="M23" s="126"/>
      <c r="N23" s="126"/>
      <c r="O23" s="131" t="n">
        <f aca="false">IF(SUM(J23:N23)&gt;=4,1,0)</f>
        <v>0</v>
      </c>
      <c r="P23" s="126"/>
      <c r="Q23" s="126"/>
      <c r="R23" s="131" t="n">
        <f aca="false">IF(SUM(P23:Q23)=2,1,0)</f>
        <v>0</v>
      </c>
      <c r="S23" s="126"/>
      <c r="T23" s="126"/>
      <c r="U23" s="133" t="n">
        <f aca="false">IF(SUM(S23:T23)=1,1,0)</f>
        <v>0</v>
      </c>
      <c r="V23" s="514"/>
      <c r="W23" s="514"/>
      <c r="X23" s="131" t="n">
        <f aca="false">IF(SUM(V23:W23)=2,1,0)</f>
        <v>0</v>
      </c>
      <c r="Y23" s="565"/>
      <c r="Z23" s="565"/>
      <c r="AA23" s="566" t="n">
        <f aca="false">IF(SUM(Y23:Z23)=2,1,0)</f>
        <v>0</v>
      </c>
      <c r="AB23" s="567" t="n">
        <f aca="false">IF(E24&lt;&gt;"EXCAVADO EBM",SUM(I23*0.2+O23*0.2+R23*0.2+U23*0.2+X23*0.2),SUM(I23*0.16+O23*0.16+R23*0.16+U23*0.16+X23*0.16+AA23*0.16))</f>
        <v>0</v>
      </c>
    </row>
    <row r="24" customFormat="false" ht="15" hidden="false" customHeight="false" outlineLevel="0" collapsed="false">
      <c r="A24" s="545" t="n">
        <f aca="false">'Listado CAPS'!A22</f>
        <v>0</v>
      </c>
      <c r="B24" s="545" t="n">
        <f aca="false">'Listado CAPS'!B22</f>
        <v>0</v>
      </c>
      <c r="C24" s="545" t="n">
        <f aca="false">'Listado CAPS'!C22</f>
        <v>0</v>
      </c>
      <c r="D24" s="545" t="str">
        <f aca="false">'Listado CAPS'!D22</f>
        <v>S</v>
      </c>
      <c r="E24" s="545" t="n">
        <f aca="false">'Listado CAPS'!E22</f>
        <v>0</v>
      </c>
      <c r="F24" s="546"/>
      <c r="G24" s="119"/>
      <c r="H24" s="119"/>
      <c r="I24" s="131" t="n">
        <f aca="false">IF(SUM(G24:H24)=2,1,0)</f>
        <v>0</v>
      </c>
      <c r="J24" s="126"/>
      <c r="K24" s="126"/>
      <c r="L24" s="126"/>
      <c r="M24" s="126"/>
      <c r="N24" s="126"/>
      <c r="O24" s="131" t="n">
        <f aca="false">IF(SUM(J24:N24)&gt;=4,1,0)</f>
        <v>0</v>
      </c>
      <c r="P24" s="126"/>
      <c r="Q24" s="126"/>
      <c r="R24" s="131" t="n">
        <f aca="false">IF(SUM(P24:Q24)=2,1,0)</f>
        <v>0</v>
      </c>
      <c r="S24" s="126"/>
      <c r="T24" s="126"/>
      <c r="U24" s="133" t="n">
        <f aca="false">IF(SUM(S24:T24)=1,1,0)</f>
        <v>0</v>
      </c>
      <c r="V24" s="514"/>
      <c r="W24" s="514"/>
      <c r="X24" s="131" t="n">
        <f aca="false">IF(SUM(V24:W24)=2,1,0)</f>
        <v>0</v>
      </c>
      <c r="Y24" s="565"/>
      <c r="Z24" s="565"/>
      <c r="AA24" s="566" t="n">
        <f aca="false">IF(SUM(Y24:Z24)=2,1,0)</f>
        <v>0</v>
      </c>
      <c r="AB24" s="567" t="n">
        <f aca="false">IF(E25&lt;&gt;"EXCAVADO EBM",SUM(I24*0.2+O24*0.2+R24*0.2+U24*0.2+X24*0.2),SUM(I24*0.16+O24*0.16+R24*0.16+U24*0.16+X24*0.16+AA24*0.16))</f>
        <v>0</v>
      </c>
    </row>
    <row r="25" customFormat="false" ht="15" hidden="false" customHeight="false" outlineLevel="0" collapsed="false">
      <c r="A25" s="545" t="n">
        <f aca="false">'Listado CAPS'!A23</f>
        <v>0</v>
      </c>
      <c r="B25" s="545" t="n">
        <f aca="false">'Listado CAPS'!B23</f>
        <v>0</v>
      </c>
      <c r="C25" s="545" t="n">
        <f aca="false">'Listado CAPS'!C23</f>
        <v>0</v>
      </c>
      <c r="D25" s="545" t="str">
        <f aca="false">'Listado CAPS'!D23</f>
        <v>T</v>
      </c>
      <c r="E25" s="545" t="n">
        <f aca="false">'Listado CAPS'!E23</f>
        <v>0</v>
      </c>
      <c r="F25" s="546"/>
      <c r="G25" s="119"/>
      <c r="H25" s="119"/>
      <c r="I25" s="131" t="n">
        <f aca="false">IF(SUM(G25:H25)=2,1,0)</f>
        <v>0</v>
      </c>
      <c r="J25" s="126"/>
      <c r="K25" s="126"/>
      <c r="L25" s="126"/>
      <c r="M25" s="126"/>
      <c r="N25" s="126"/>
      <c r="O25" s="131" t="n">
        <f aca="false">IF(SUM(J25:N25)&gt;=4,1,0)</f>
        <v>0</v>
      </c>
      <c r="P25" s="126"/>
      <c r="Q25" s="126"/>
      <c r="R25" s="131" t="n">
        <f aca="false">IF(SUM(P25:Q25)=2,1,0)</f>
        <v>0</v>
      </c>
      <c r="S25" s="126"/>
      <c r="T25" s="126"/>
      <c r="U25" s="133" t="n">
        <f aca="false">IF(SUM(S25:T25)=1,1,0)</f>
        <v>0</v>
      </c>
      <c r="V25" s="514"/>
      <c r="W25" s="514"/>
      <c r="X25" s="131" t="n">
        <f aca="false">IF(SUM(V25:W25)=2,1,0)</f>
        <v>0</v>
      </c>
      <c r="Y25" s="565"/>
      <c r="Z25" s="565"/>
      <c r="AA25" s="566" t="n">
        <f aca="false">IF(SUM(Y25:Z25)=2,1,0)</f>
        <v>0</v>
      </c>
      <c r="AB25" s="567" t="n">
        <f aca="false">IF(E26&lt;&gt;"EXCAVADO EBM",SUM(I25*0.2+O25*0.2+R25*0.2+U25*0.2+X25*0.2),SUM(I25*0.16+O25*0.16+R25*0.16+U25*0.16+X25*0.16+AA25*0.16))</f>
        <v>0</v>
      </c>
    </row>
    <row r="26" customFormat="false" ht="15" hidden="false" customHeight="false" outlineLevel="0" collapsed="false">
      <c r="A26" s="545" t="n">
        <f aca="false">'Listado CAPS'!A24</f>
        <v>0</v>
      </c>
      <c r="B26" s="545" t="n">
        <f aca="false">'Listado CAPS'!B24</f>
        <v>0</v>
      </c>
      <c r="C26" s="545" t="n">
        <f aca="false">'Listado CAPS'!C24</f>
        <v>0</v>
      </c>
      <c r="D26" s="545" t="str">
        <f aca="false">'Listado CAPS'!D24</f>
        <v>U</v>
      </c>
      <c r="E26" s="545" t="n">
        <f aca="false">'Listado CAPS'!E24</f>
        <v>0</v>
      </c>
      <c r="F26" s="546"/>
      <c r="G26" s="119"/>
      <c r="H26" s="119"/>
      <c r="I26" s="131" t="n">
        <f aca="false">IF(SUM(G26:H26)=2,1,0)</f>
        <v>0</v>
      </c>
      <c r="J26" s="126"/>
      <c r="K26" s="126"/>
      <c r="L26" s="126"/>
      <c r="M26" s="126"/>
      <c r="N26" s="126"/>
      <c r="O26" s="131" t="n">
        <f aca="false">IF(SUM(J26:N26)&gt;=4,1,0)</f>
        <v>0</v>
      </c>
      <c r="P26" s="126"/>
      <c r="Q26" s="126"/>
      <c r="R26" s="131" t="n">
        <f aca="false">IF(SUM(P26:Q26)=2,1,0)</f>
        <v>0</v>
      </c>
      <c r="S26" s="126"/>
      <c r="T26" s="126"/>
      <c r="U26" s="133" t="n">
        <f aca="false">IF(SUM(S26:T26)=1,1,0)</f>
        <v>0</v>
      </c>
      <c r="V26" s="514"/>
      <c r="W26" s="514"/>
      <c r="X26" s="131" t="n">
        <f aca="false">IF(SUM(V26:W26)=2,1,0)</f>
        <v>0</v>
      </c>
      <c r="Y26" s="565"/>
      <c r="Z26" s="565"/>
      <c r="AA26" s="566" t="n">
        <f aca="false">IF(SUM(Y26:Z26)=2,1,0)</f>
        <v>0</v>
      </c>
      <c r="AB26" s="567" t="n">
        <f aca="false">IF(E27&lt;&gt;"EXCAVADO EBM",SUM(I26*0.2+O26*0.2+R26*0.2+U26*0.2+X26*0.2),SUM(I26*0.16+O26*0.16+R26*0.16+U26*0.16+X26*0.16+AA26*0.16))</f>
        <v>0</v>
      </c>
    </row>
    <row r="27" customFormat="false" ht="15" hidden="false" customHeight="false" outlineLevel="0" collapsed="false">
      <c r="A27" s="545" t="n">
        <f aca="false">'Listado CAPS'!A25</f>
        <v>0</v>
      </c>
      <c r="B27" s="545" t="n">
        <f aca="false">'Listado CAPS'!B25</f>
        <v>0</v>
      </c>
      <c r="C27" s="545" t="n">
        <f aca="false">'Listado CAPS'!C25</f>
        <v>0</v>
      </c>
      <c r="D27" s="545" t="str">
        <f aca="false">'Listado CAPS'!D25</f>
        <v>V</v>
      </c>
      <c r="E27" s="545" t="n">
        <f aca="false">'Listado CAPS'!E25</f>
        <v>0</v>
      </c>
      <c r="F27" s="546"/>
      <c r="G27" s="119"/>
      <c r="H27" s="119"/>
      <c r="I27" s="131" t="n">
        <f aca="false">IF(SUM(G27:H27)=2,1,0)</f>
        <v>0</v>
      </c>
      <c r="J27" s="126"/>
      <c r="K27" s="126"/>
      <c r="L27" s="126"/>
      <c r="M27" s="126"/>
      <c r="N27" s="126"/>
      <c r="O27" s="131" t="n">
        <f aca="false">IF(SUM(J27:N27)&gt;=4,1,0)</f>
        <v>0</v>
      </c>
      <c r="P27" s="126"/>
      <c r="Q27" s="126"/>
      <c r="R27" s="131" t="n">
        <f aca="false">IF(SUM(P27:Q27)=2,1,0)</f>
        <v>0</v>
      </c>
      <c r="S27" s="126"/>
      <c r="T27" s="126"/>
      <c r="U27" s="133" t="n">
        <f aca="false">IF(SUM(S27:T27)=1,1,0)</f>
        <v>0</v>
      </c>
      <c r="V27" s="514"/>
      <c r="W27" s="514"/>
      <c r="X27" s="131" t="n">
        <f aca="false">IF(SUM(V27:W27)=2,1,0)</f>
        <v>0</v>
      </c>
      <c r="Y27" s="565"/>
      <c r="Z27" s="565"/>
      <c r="AA27" s="566" t="n">
        <f aca="false">IF(SUM(Y27:Z27)=2,1,0)</f>
        <v>0</v>
      </c>
      <c r="AB27" s="567" t="n">
        <f aca="false">IF(E28&lt;&gt;"EXCAVADO EBM",SUM(I27*0.2+O27*0.2+R27*0.2+U27*0.2+X27*0.2),SUM(I27*0.16+O27*0.16+R27*0.16+U27*0.16+X27*0.16+AA27*0.16))</f>
        <v>0</v>
      </c>
    </row>
    <row r="28" customFormat="false" ht="15" hidden="false" customHeight="false" outlineLevel="0" collapsed="false">
      <c r="A28" s="545" t="n">
        <f aca="false">'Listado CAPS'!A26</f>
        <v>0</v>
      </c>
      <c r="B28" s="545" t="n">
        <f aca="false">'Listado CAPS'!B26</f>
        <v>0</v>
      </c>
      <c r="C28" s="545" t="n">
        <f aca="false">'Listado CAPS'!C26</f>
        <v>0</v>
      </c>
      <c r="D28" s="545" t="str">
        <f aca="false">'Listado CAPS'!D26</f>
        <v>W</v>
      </c>
      <c r="E28" s="545" t="n">
        <f aca="false">'Listado CAPS'!E26</f>
        <v>0</v>
      </c>
      <c r="F28" s="546"/>
      <c r="G28" s="119"/>
      <c r="H28" s="119"/>
      <c r="I28" s="131" t="n">
        <f aca="false">IF(SUM(G28:H28)=2,1,0)</f>
        <v>0</v>
      </c>
      <c r="J28" s="126"/>
      <c r="K28" s="126"/>
      <c r="L28" s="126"/>
      <c r="M28" s="126"/>
      <c r="N28" s="126"/>
      <c r="O28" s="131" t="n">
        <f aca="false">IF(SUM(J28:N28)&gt;=4,1,0)</f>
        <v>0</v>
      </c>
      <c r="P28" s="126"/>
      <c r="Q28" s="126"/>
      <c r="R28" s="131" t="n">
        <f aca="false">IF(SUM(P28:Q28)=2,1,0)</f>
        <v>0</v>
      </c>
      <c r="S28" s="126"/>
      <c r="T28" s="126"/>
      <c r="U28" s="133" t="n">
        <f aca="false">IF(SUM(S28:T28)=1,1,0)</f>
        <v>0</v>
      </c>
      <c r="V28" s="514"/>
      <c r="W28" s="514"/>
      <c r="X28" s="131" t="n">
        <f aca="false">IF(SUM(V28:W28)=2,1,0)</f>
        <v>0</v>
      </c>
      <c r="Y28" s="565"/>
      <c r="Z28" s="565"/>
      <c r="AA28" s="566" t="n">
        <f aca="false">IF(SUM(Y28:Z28)=2,1,0)</f>
        <v>0</v>
      </c>
      <c r="AB28" s="567" t="n">
        <f aca="false">IF(E29&lt;&gt;"EXCAVADO EBM",SUM(I28*0.2+O28*0.2+R28*0.2+U28*0.2+X28*0.2),SUM(I28*0.16+O28*0.16+R28*0.16+U28*0.16+X28*0.16+AA28*0.16))</f>
        <v>0</v>
      </c>
    </row>
    <row r="29" customFormat="false" ht="15" hidden="false" customHeight="false" outlineLevel="0" collapsed="false">
      <c r="A29" s="545" t="n">
        <f aca="false">'Listado CAPS'!A27</f>
        <v>0</v>
      </c>
      <c r="B29" s="545" t="n">
        <f aca="false">'Listado CAPS'!B27</f>
        <v>0</v>
      </c>
      <c r="C29" s="545" t="n">
        <f aca="false">'Listado CAPS'!C27</f>
        <v>0</v>
      </c>
      <c r="D29" s="545" t="str">
        <f aca="false">'Listado CAPS'!D27</f>
        <v>X</v>
      </c>
      <c r="E29" s="545" t="n">
        <f aca="false">'Listado CAPS'!E27</f>
        <v>0</v>
      </c>
      <c r="F29" s="546"/>
      <c r="G29" s="119"/>
      <c r="H29" s="119"/>
      <c r="I29" s="131" t="n">
        <f aca="false">IF(SUM(G29:H29)=2,1,0)</f>
        <v>0</v>
      </c>
      <c r="J29" s="126"/>
      <c r="K29" s="126"/>
      <c r="L29" s="126"/>
      <c r="M29" s="126"/>
      <c r="N29" s="126"/>
      <c r="O29" s="131" t="n">
        <f aca="false">IF(SUM(J29:N29)&gt;=4,1,0)</f>
        <v>0</v>
      </c>
      <c r="P29" s="126"/>
      <c r="Q29" s="126"/>
      <c r="R29" s="131" t="n">
        <f aca="false">IF(SUM(P29:Q29)=2,1,0)</f>
        <v>0</v>
      </c>
      <c r="S29" s="126"/>
      <c r="T29" s="126"/>
      <c r="U29" s="133" t="n">
        <f aca="false">IF(SUM(S29:T29)=1,1,0)</f>
        <v>0</v>
      </c>
      <c r="V29" s="514"/>
      <c r="W29" s="514"/>
      <c r="X29" s="131" t="n">
        <f aca="false">IF(SUM(V29:W29)=2,1,0)</f>
        <v>0</v>
      </c>
      <c r="Y29" s="565"/>
      <c r="Z29" s="565"/>
      <c r="AA29" s="566" t="n">
        <f aca="false">IF(SUM(Y29:Z29)=2,1,0)</f>
        <v>0</v>
      </c>
      <c r="AB29" s="567" t="n">
        <f aca="false">IF(E30&lt;&gt;"EXCAVADO EBM",SUM(I29*0.2+O29*0.2+R29*0.2+U29*0.2+X29*0.2),SUM(I29*0.16+O29*0.16+R29*0.16+U29*0.16+X29*0.16+AA29*0.16))</f>
        <v>0</v>
      </c>
    </row>
    <row r="30" customFormat="false" ht="15" hidden="false" customHeight="false" outlineLevel="0" collapsed="false">
      <c r="A30" s="545" t="n">
        <f aca="false">'Listado CAPS'!A28</f>
        <v>0</v>
      </c>
      <c r="B30" s="545" t="n">
        <f aca="false">'Listado CAPS'!B28</f>
        <v>0</v>
      </c>
      <c r="C30" s="545" t="n">
        <f aca="false">'Listado CAPS'!C28</f>
        <v>0</v>
      </c>
      <c r="D30" s="545" t="str">
        <f aca="false">'Listado CAPS'!D28</f>
        <v>Y</v>
      </c>
      <c r="E30" s="545" t="n">
        <f aca="false">'Listado CAPS'!E28</f>
        <v>0</v>
      </c>
      <c r="F30" s="546"/>
      <c r="G30" s="119"/>
      <c r="H30" s="119"/>
      <c r="I30" s="131" t="n">
        <f aca="false">IF(SUM(G30:H30)=2,1,0)</f>
        <v>0</v>
      </c>
      <c r="J30" s="126"/>
      <c r="K30" s="126"/>
      <c r="L30" s="126"/>
      <c r="M30" s="126"/>
      <c r="N30" s="126"/>
      <c r="O30" s="131" t="n">
        <f aca="false">IF(SUM(J30:N30)&gt;=4,1,0)</f>
        <v>0</v>
      </c>
      <c r="P30" s="126"/>
      <c r="Q30" s="126"/>
      <c r="R30" s="131" t="n">
        <f aca="false">IF(SUM(P30:Q30)=2,1,0)</f>
        <v>0</v>
      </c>
      <c r="S30" s="126"/>
      <c r="T30" s="126"/>
      <c r="U30" s="133" t="n">
        <f aca="false">IF(SUM(S30:T30)=1,1,0)</f>
        <v>0</v>
      </c>
      <c r="V30" s="514"/>
      <c r="W30" s="514"/>
      <c r="X30" s="131" t="n">
        <f aca="false">IF(SUM(V30:W30)=2,1,0)</f>
        <v>0</v>
      </c>
      <c r="Y30" s="565"/>
      <c r="Z30" s="565"/>
      <c r="AA30" s="566" t="n">
        <f aca="false">IF(SUM(Y30:Z30)=2,1,0)</f>
        <v>0</v>
      </c>
      <c r="AB30" s="567" t="n">
        <f aca="false">IF(E31&lt;&gt;"EXCAVADO EBM",SUM(I30*0.2+O30*0.2+R30*0.2+U30*0.2+X30*0.2),SUM(I30*0.16+O30*0.16+R30*0.16+U30*0.16+X30*0.16+AA30*0.16))</f>
        <v>0</v>
      </c>
    </row>
  </sheetData>
  <mergeCells count="23">
    <mergeCell ref="B1:C1"/>
    <mergeCell ref="D1:U1"/>
    <mergeCell ref="I2:N2"/>
    <mergeCell ref="O2:U2"/>
    <mergeCell ref="A3:A4"/>
    <mergeCell ref="B3:B4"/>
    <mergeCell ref="C3:C4"/>
    <mergeCell ref="D3:D4"/>
    <mergeCell ref="E3:E4"/>
    <mergeCell ref="F3:F4"/>
    <mergeCell ref="G3:H3"/>
    <mergeCell ref="I3:I4"/>
    <mergeCell ref="J3:N3"/>
    <mergeCell ref="O3:O4"/>
    <mergeCell ref="P3:Q3"/>
    <mergeCell ref="R3:R4"/>
    <mergeCell ref="S3:T3"/>
    <mergeCell ref="U3:U4"/>
    <mergeCell ref="V3:W3"/>
    <mergeCell ref="X3:X4"/>
    <mergeCell ref="Y3:Z3"/>
    <mergeCell ref="AA3:AA4"/>
    <mergeCell ref="AB3:AB4"/>
  </mergeCells>
  <conditionalFormatting sqref="Z5:Z30">
    <cfRule type="expression" priority="2" aboveAverage="0" equalAverage="0" bottom="0" percent="0" rank="0" text="" dxfId="40">
      <formula>F5&lt;&gt;"EXCAVADO EBM"</formula>
    </cfRule>
  </conditionalFormatting>
  <conditionalFormatting sqref="Y5:Y30">
    <cfRule type="expression" priority="3" aboveAverage="0" equalAverage="0" bottom="0" percent="0" rank="0" text="" dxfId="41">
      <formula>F5&lt;&gt;"EXCAVADO EBM"</formula>
    </cfRule>
  </conditionalFormatting>
  <conditionalFormatting sqref="W5:W30">
    <cfRule type="expression" priority="4" aboveAverage="0" equalAverage="0" bottom="0" percent="0" rank="0" text="" dxfId="42">
      <formula>E5&lt;&gt;"POZO"</formula>
    </cfRule>
  </conditionalFormatting>
  <conditionalFormatting sqref="V5:V30">
    <cfRule type="expression" priority="5" aboveAverage="0" equalAverage="0" bottom="0" percent="0" rank="0" text="" dxfId="43">
      <formula>E5&lt;&gt;"POZO"</formula>
    </cfRule>
  </conditionalFormatting>
  <conditionalFormatting sqref="T5:T30">
    <cfRule type="expression" priority="6" aboveAverage="0" equalAverage="0" bottom="0" percent="0" rank="0" text="" dxfId="44">
      <formula>E5&lt;&gt;"POZO"</formula>
    </cfRule>
  </conditionalFormatting>
  <conditionalFormatting sqref="S5:S30">
    <cfRule type="expression" priority="7" aboveAverage="0" equalAverage="0" bottom="0" percent="0" rank="0" text="" dxfId="45">
      <formula>E5&lt;&gt;"POZO"</formula>
    </cfRule>
  </conditionalFormatting>
  <conditionalFormatting sqref="Q5:Q30">
    <cfRule type="expression" priority="8" aboveAverage="0" equalAverage="0" bottom="0" percent="0" rank="0" text="" dxfId="46">
      <formula>E5&lt;&gt;"POZO"</formula>
    </cfRule>
  </conditionalFormatting>
  <conditionalFormatting sqref="P5:P30">
    <cfRule type="expression" priority="9" aboveAverage="0" equalAverage="0" bottom="0" percent="0" rank="0" text="" dxfId="47">
      <formula>E5&lt;&gt;"POZO"</formula>
    </cfRule>
  </conditionalFormatting>
  <conditionalFormatting sqref="N5:N30">
    <cfRule type="expression" priority="10" aboveAverage="0" equalAverage="0" bottom="0" percent="0" rank="0" text="" dxfId="48">
      <formula>E5&lt;&gt;"POZO"</formula>
    </cfRule>
  </conditionalFormatting>
  <conditionalFormatting sqref="M5:M30">
    <cfRule type="expression" priority="11" aboveAverage="0" equalAverage="0" bottom="0" percent="0" rank="0" text="" dxfId="49">
      <formula>E5&lt;&gt;"POZO"</formula>
    </cfRule>
  </conditionalFormatting>
  <conditionalFormatting sqref="L5:L30">
    <cfRule type="expression" priority="12" aboveAverage="0" equalAverage="0" bottom="0" percent="0" rank="0" text="" dxfId="50">
      <formula>E5&lt;&gt;"POZO"</formula>
    </cfRule>
  </conditionalFormatting>
  <conditionalFormatting sqref="K5:K30">
    <cfRule type="expression" priority="13" aboveAverage="0" equalAverage="0" bottom="0" percent="0" rank="0" text="" dxfId="51">
      <formula>E5&lt;&gt;"POZO"</formula>
    </cfRule>
  </conditionalFormatting>
  <conditionalFormatting sqref="J5:J30">
    <cfRule type="expression" priority="14" aboveAverage="0" equalAverage="0" bottom="0" percent="0" rank="0" text="" dxfId="52">
      <formula>E5&lt;&gt;"POZO"</formula>
    </cfRule>
  </conditionalFormatting>
  <conditionalFormatting sqref="H5:H30">
    <cfRule type="expression" priority="15" aboveAverage="0" equalAverage="0" bottom="0" percent="0" rank="0" text="" dxfId="53">
      <formula>E5&lt;&gt;"POZO"</formula>
    </cfRule>
  </conditionalFormatting>
  <conditionalFormatting sqref="G5:G30">
    <cfRule type="expression" priority="16" aboveAverage="0" equalAverage="0" bottom="0" percent="0" rank="0" text="" dxfId="54">
      <formula>E5&lt;&gt;"POZO"</formula>
    </cfRule>
  </conditionalFormatting>
  <hyperlinks>
    <hyperlink ref="B1" location="'Tabla de Contenidos'!A1" display="Volver a Tabla de contenidos"/>
    <hyperlink ref="V1" location="'RESULTADO FINAL SOSTENIBILIDAD'!A1" display="Ir a Resultados Finale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2:K5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M6" activeCellId="0" sqref="M6"/>
    </sheetView>
  </sheetViews>
  <sheetFormatPr defaultColWidth="11.43359375" defaultRowHeight="12.75" customHeight="true" zeroHeight="false" outlineLevelRow="0" outlineLevelCol="0"/>
  <cols>
    <col collapsed="false" customWidth="true" hidden="false" outlineLevel="0" max="3" min="1" style="568" width="12.71"/>
    <col collapsed="false" customWidth="true" hidden="false" outlineLevel="0" max="5" min="4" style="568" width="23"/>
    <col collapsed="false" customWidth="true" hidden="false" outlineLevel="0" max="7" min="6" style="569" width="20.71"/>
    <col collapsed="false" customWidth="true" hidden="false" outlineLevel="0" max="8" min="8" style="570" width="8.15"/>
    <col collapsed="false" customWidth="true" hidden="false" outlineLevel="0" max="9" min="9" style="569" width="25.85"/>
    <col collapsed="false" customWidth="true" hidden="false" outlineLevel="0" max="10" min="10" style="569" width="28.29"/>
    <col collapsed="false" customWidth="true" hidden="false" outlineLevel="0" max="11" min="11" style="570" width="16.43"/>
    <col collapsed="false" customWidth="false" hidden="false" outlineLevel="0" max="16384" min="12" style="569" width="11.43"/>
  </cols>
  <sheetData>
    <row r="2" s="573" customFormat="true" ht="51.75" hidden="false" customHeight="true" outlineLevel="0" collapsed="false">
      <c r="A2" s="403"/>
      <c r="B2" s="571" t="s">
        <v>246</v>
      </c>
      <c r="C2" s="571"/>
      <c r="D2" s="572" t="s">
        <v>511</v>
      </c>
      <c r="E2" s="572"/>
      <c r="F2" s="572"/>
      <c r="G2" s="572"/>
      <c r="H2" s="572"/>
      <c r="I2" s="572"/>
      <c r="J2" s="572"/>
      <c r="K2" s="405" t="s">
        <v>176</v>
      </c>
    </row>
    <row r="3" s="570" customFormat="true" ht="51.75" hidden="false" customHeight="true" outlineLevel="0" collapsed="false">
      <c r="C3" s="574"/>
      <c r="D3" s="574"/>
      <c r="E3" s="575" t="s">
        <v>512</v>
      </c>
      <c r="F3" s="575"/>
      <c r="G3" s="575"/>
      <c r="H3" s="575"/>
      <c r="I3" s="576" t="s">
        <v>513</v>
      </c>
      <c r="J3" s="576"/>
    </row>
    <row r="4" s="581" customFormat="true" ht="21" hidden="false" customHeight="true" outlineLevel="0" collapsed="false">
      <c r="A4" s="439" t="s">
        <v>315</v>
      </c>
      <c r="B4" s="439" t="s">
        <v>17</v>
      </c>
      <c r="C4" s="439" t="s">
        <v>317</v>
      </c>
      <c r="D4" s="577" t="s">
        <v>318</v>
      </c>
      <c r="E4" s="578" t="s">
        <v>514</v>
      </c>
      <c r="F4" s="578"/>
      <c r="G4" s="578"/>
      <c r="H4" s="579" t="s">
        <v>38</v>
      </c>
      <c r="I4" s="578" t="s">
        <v>515</v>
      </c>
      <c r="J4" s="578"/>
      <c r="K4" s="580" t="s">
        <v>45</v>
      </c>
    </row>
    <row r="5" s="582" customFormat="true" ht="23.25" hidden="false" customHeight="true" outlineLevel="0" collapsed="false">
      <c r="A5" s="439"/>
      <c r="B5" s="439"/>
      <c r="C5" s="439"/>
      <c r="D5" s="577"/>
      <c r="E5" s="578"/>
      <c r="F5" s="578"/>
      <c r="G5" s="578"/>
      <c r="H5" s="579"/>
      <c r="I5" s="578"/>
      <c r="J5" s="578"/>
      <c r="K5" s="580"/>
    </row>
    <row r="6" s="585" customFormat="true" ht="71.25" hidden="false" customHeight="true" outlineLevel="0" collapsed="false">
      <c r="A6" s="439"/>
      <c r="B6" s="439"/>
      <c r="C6" s="439"/>
      <c r="D6" s="577"/>
      <c r="E6" s="583" t="s">
        <v>516</v>
      </c>
      <c r="F6" s="583" t="s">
        <v>517</v>
      </c>
      <c r="G6" s="583" t="s">
        <v>518</v>
      </c>
      <c r="H6" s="579"/>
      <c r="I6" s="584" t="s">
        <v>519</v>
      </c>
      <c r="J6" s="584" t="s">
        <v>520</v>
      </c>
      <c r="K6" s="580"/>
    </row>
    <row r="7" s="570" customFormat="true" ht="24.75" hidden="false" customHeight="true" outlineLevel="0" collapsed="false">
      <c r="A7" s="586" t="str">
        <f aca="false">'Listado CAPS'!A3</f>
        <v>Madriz</v>
      </c>
      <c r="B7" s="586" t="str">
        <f aca="false">'Listado CAPS'!B3</f>
        <v>Yalaguina</v>
      </c>
      <c r="C7" s="586" t="str">
        <f aca="false">'Listado CAPS'!C3</f>
        <v>Los Encuentros</v>
      </c>
      <c r="D7" s="586" t="str">
        <f aca="false">'Listado CAPS'!D3</f>
        <v>Los Encuentros</v>
      </c>
      <c r="E7" s="586" t="n">
        <f aca="false">IF('Conformación JD'!AA7&gt;=50%,1,0)</f>
        <v>1</v>
      </c>
      <c r="F7" s="586" t="n">
        <f aca="false">IF('Conformación JD'!Z7&gt;=1,1,0)</f>
        <v>1</v>
      </c>
      <c r="G7" s="586" t="n">
        <f aca="false">IF('A.Org_CAPS'!K16&gt;=40%,1,0)</f>
        <v>1</v>
      </c>
      <c r="H7" s="587" t="n">
        <f aca="false">SUM(E7+F7+G7)/3</f>
        <v>1</v>
      </c>
      <c r="I7" s="588" t="n">
        <v>1</v>
      </c>
      <c r="J7" s="588" t="n">
        <v>1</v>
      </c>
      <c r="K7" s="587" t="n">
        <f aca="false">SUM(I7+J7)/2</f>
        <v>1</v>
      </c>
    </row>
    <row r="8" s="589" customFormat="true" ht="24.75" hidden="false" customHeight="true" outlineLevel="0" collapsed="false">
      <c r="A8" s="586" t="n">
        <f aca="false">'Listado CAPS'!A4</f>
        <v>0</v>
      </c>
      <c r="B8" s="586" t="n">
        <f aca="false">'Listado CAPS'!B4</f>
        <v>0</v>
      </c>
      <c r="C8" s="586" t="n">
        <f aca="false">'Listado CAPS'!C4</f>
        <v>0</v>
      </c>
      <c r="D8" s="586" t="str">
        <f aca="false">'Listado CAPS'!D4</f>
        <v>B</v>
      </c>
      <c r="E8" s="586" t="n">
        <f aca="false">IF('Conformación JD'!AA8&gt;=50%,1,0)</f>
        <v>0</v>
      </c>
      <c r="F8" s="586" t="n">
        <f aca="false">IF('Conformación JD'!Z8&gt;=1,1,0)</f>
        <v>0</v>
      </c>
      <c r="G8" s="586" t="n">
        <f aca="false">IF('A.Org_CAPS'!K30&gt;=40%,1,0)</f>
        <v>0</v>
      </c>
      <c r="H8" s="587" t="n">
        <f aca="false">SUM(E8+F8+G8)/3</f>
        <v>0</v>
      </c>
      <c r="I8" s="588"/>
      <c r="J8" s="588"/>
      <c r="K8" s="587" t="n">
        <f aca="false">SUM(I8+J8)/2</f>
        <v>0</v>
      </c>
    </row>
    <row r="9" s="570" customFormat="true" ht="24.75" hidden="false" customHeight="true" outlineLevel="0" collapsed="false">
      <c r="A9" s="586" t="n">
        <f aca="false">'Listado CAPS'!A5</f>
        <v>0</v>
      </c>
      <c r="B9" s="586" t="n">
        <f aca="false">'Listado CAPS'!B5</f>
        <v>0</v>
      </c>
      <c r="C9" s="586" t="n">
        <f aca="false">'Listado CAPS'!C5</f>
        <v>0</v>
      </c>
      <c r="D9" s="586" t="str">
        <f aca="false">'Listado CAPS'!D5</f>
        <v>C</v>
      </c>
      <c r="E9" s="586" t="n">
        <f aca="false">IF('Conformación JD'!AA9&gt;=50%,1,0)</f>
        <v>0</v>
      </c>
      <c r="F9" s="586" t="n">
        <f aca="false">IF('Conformación JD'!Z9&gt;=1,1,0)</f>
        <v>0</v>
      </c>
      <c r="G9" s="586" t="n">
        <f aca="false">IF('A.Org_CAPS'!K44&gt;=40%,1,0)</f>
        <v>0</v>
      </c>
      <c r="H9" s="587" t="n">
        <f aca="false">SUM(E9+F9+G9)/3</f>
        <v>0</v>
      </c>
      <c r="I9" s="588"/>
      <c r="J9" s="588"/>
      <c r="K9" s="587" t="n">
        <f aca="false">SUM(I9+J9)/2</f>
        <v>0</v>
      </c>
    </row>
    <row r="10" s="570" customFormat="true" ht="24.75" hidden="false" customHeight="true" outlineLevel="0" collapsed="false">
      <c r="A10" s="586" t="n">
        <f aca="false">'Listado CAPS'!A6</f>
        <v>0</v>
      </c>
      <c r="B10" s="586" t="n">
        <f aca="false">'Listado CAPS'!B6</f>
        <v>0</v>
      </c>
      <c r="C10" s="586" t="n">
        <f aca="false">'Listado CAPS'!C6</f>
        <v>0</v>
      </c>
      <c r="D10" s="586" t="str">
        <f aca="false">'Listado CAPS'!D6</f>
        <v>D</v>
      </c>
      <c r="E10" s="586" t="n">
        <f aca="false">IF('Conformación JD'!AA10&gt;=50%,1,0)</f>
        <v>0</v>
      </c>
      <c r="F10" s="586" t="n">
        <f aca="false">IF('Conformación JD'!Z10&gt;=1,1,0)</f>
        <v>0</v>
      </c>
      <c r="G10" s="586" t="n">
        <f aca="false">IF('A.Org_CAPS'!K58&gt;=40%,1,0)</f>
        <v>0</v>
      </c>
      <c r="H10" s="587" t="n">
        <f aca="false">SUM(E10+F10+G10)/3</f>
        <v>0</v>
      </c>
      <c r="I10" s="588"/>
      <c r="J10" s="588"/>
      <c r="K10" s="587" t="n">
        <f aca="false">SUM(I10+J10)/2</f>
        <v>0</v>
      </c>
    </row>
    <row r="11" s="570" customFormat="true" ht="24.75" hidden="false" customHeight="true" outlineLevel="0" collapsed="false">
      <c r="A11" s="586" t="n">
        <f aca="false">'Listado CAPS'!A7</f>
        <v>0</v>
      </c>
      <c r="B11" s="586" t="n">
        <f aca="false">'Listado CAPS'!B7</f>
        <v>0</v>
      </c>
      <c r="C11" s="586" t="n">
        <f aca="false">'Listado CAPS'!C7</f>
        <v>0</v>
      </c>
      <c r="D11" s="586" t="str">
        <f aca="false">'Listado CAPS'!D7</f>
        <v>E</v>
      </c>
      <c r="E11" s="586" t="n">
        <f aca="false">IF('Conformación JD'!AA11&gt;=50%,1,0)</f>
        <v>0</v>
      </c>
      <c r="F11" s="586" t="n">
        <f aca="false">IF('Conformación JD'!Z11&gt;=1,1,0)</f>
        <v>0</v>
      </c>
      <c r="G11" s="586" t="n">
        <f aca="false">IF('A.Org_CAPS'!K72&gt;=40%,1,0)</f>
        <v>0</v>
      </c>
      <c r="H11" s="587" t="n">
        <f aca="false">SUM(E11+F11+G11)/3</f>
        <v>0</v>
      </c>
      <c r="I11" s="590"/>
      <c r="J11" s="590"/>
      <c r="K11" s="587" t="n">
        <f aca="false">SUM(I11+J11)/2</f>
        <v>0</v>
      </c>
    </row>
    <row r="12" s="570" customFormat="true" ht="24.75" hidden="false" customHeight="true" outlineLevel="0" collapsed="false">
      <c r="A12" s="586" t="n">
        <f aca="false">'Listado CAPS'!A8</f>
        <v>0</v>
      </c>
      <c r="B12" s="586" t="n">
        <f aca="false">'Listado CAPS'!B8</f>
        <v>0</v>
      </c>
      <c r="C12" s="586" t="n">
        <f aca="false">'Listado CAPS'!C8</f>
        <v>0</v>
      </c>
      <c r="D12" s="586" t="str">
        <f aca="false">'Listado CAPS'!D8</f>
        <v>F</v>
      </c>
      <c r="E12" s="586" t="n">
        <f aca="false">IF('Conformación JD'!AA12&gt;=50%,1,0)</f>
        <v>0</v>
      </c>
      <c r="F12" s="586" t="n">
        <f aca="false">IF('Conformación JD'!Z12&gt;=1,1,0)</f>
        <v>0</v>
      </c>
      <c r="G12" s="586" t="n">
        <f aca="false">IF('A.Org_CAPS'!K86&gt;=40%,1,0)</f>
        <v>0</v>
      </c>
      <c r="H12" s="587" t="n">
        <f aca="false">SUM(E12+F12+G12)/3</f>
        <v>0</v>
      </c>
      <c r="I12" s="590"/>
      <c r="J12" s="590"/>
      <c r="K12" s="587" t="n">
        <f aca="false">SUM(I12+J12)/2</f>
        <v>0</v>
      </c>
    </row>
    <row r="13" s="570" customFormat="true" ht="24.75" hidden="false" customHeight="true" outlineLevel="0" collapsed="false">
      <c r="A13" s="586" t="n">
        <f aca="false">'Listado CAPS'!A9</f>
        <v>0</v>
      </c>
      <c r="B13" s="586" t="n">
        <f aca="false">'Listado CAPS'!B9</f>
        <v>0</v>
      </c>
      <c r="C13" s="586" t="n">
        <f aca="false">'Listado CAPS'!C9</f>
        <v>0</v>
      </c>
      <c r="D13" s="586" t="str">
        <f aca="false">'Listado CAPS'!D9</f>
        <v>G</v>
      </c>
      <c r="E13" s="586" t="n">
        <f aca="false">IF('Conformación JD'!AA13&gt;=50%,1,0)</f>
        <v>0</v>
      </c>
      <c r="F13" s="586" t="n">
        <f aca="false">IF('Conformación JD'!Z13&gt;=1,1,0)</f>
        <v>0</v>
      </c>
      <c r="G13" s="586" t="n">
        <f aca="false">IF('A.Org_CAPS'!K100&gt;=40%,1,0)</f>
        <v>0</v>
      </c>
      <c r="H13" s="587" t="n">
        <f aca="false">SUM(E13+F13+G13)/3</f>
        <v>0</v>
      </c>
      <c r="I13" s="590"/>
      <c r="J13" s="590"/>
      <c r="K13" s="587" t="n">
        <f aca="false">SUM(I13+J13)/2</f>
        <v>0</v>
      </c>
    </row>
    <row r="14" s="592" customFormat="true" ht="24.75" hidden="false" customHeight="true" outlineLevel="0" collapsed="false">
      <c r="A14" s="586" t="n">
        <f aca="false">'Listado CAPS'!A10</f>
        <v>0</v>
      </c>
      <c r="B14" s="586" t="n">
        <f aca="false">'Listado CAPS'!B10</f>
        <v>0</v>
      </c>
      <c r="C14" s="586" t="n">
        <f aca="false">'Listado CAPS'!C10</f>
        <v>0</v>
      </c>
      <c r="D14" s="586" t="str">
        <f aca="false">'Listado CAPS'!D10</f>
        <v>H</v>
      </c>
      <c r="E14" s="586" t="n">
        <f aca="false">IF('Conformación JD'!AA14&gt;=50%,1,0)</f>
        <v>0</v>
      </c>
      <c r="F14" s="586" t="n">
        <f aca="false">IF('Conformación JD'!Z14&gt;=1,1,0)</f>
        <v>0</v>
      </c>
      <c r="G14" s="586" t="n">
        <f aca="false">IF('A.Org_CAPS'!K114&gt;=40%,1,0)</f>
        <v>0</v>
      </c>
      <c r="H14" s="587" t="n">
        <f aca="false">SUM(E14+F14+G14)/3</f>
        <v>0</v>
      </c>
      <c r="I14" s="591"/>
      <c r="J14" s="591"/>
      <c r="K14" s="587" t="n">
        <f aca="false">SUM(I14+J14)/2</f>
        <v>0</v>
      </c>
    </row>
    <row r="15" s="592" customFormat="true" ht="24.75" hidden="false" customHeight="true" outlineLevel="0" collapsed="false">
      <c r="A15" s="586" t="n">
        <f aca="false">'Listado CAPS'!A11</f>
        <v>0</v>
      </c>
      <c r="B15" s="586" t="n">
        <f aca="false">'Listado CAPS'!B11</f>
        <v>0</v>
      </c>
      <c r="C15" s="586" t="n">
        <f aca="false">'Listado CAPS'!C11</f>
        <v>0</v>
      </c>
      <c r="D15" s="586" t="str">
        <f aca="false">'Listado CAPS'!D11</f>
        <v>I</v>
      </c>
      <c r="E15" s="586" t="n">
        <f aca="false">IF('Conformación JD'!AA15&gt;=50%,1,0)</f>
        <v>0</v>
      </c>
      <c r="F15" s="586" t="n">
        <f aca="false">IF('Conformación JD'!Z15&gt;=1,1,0)</f>
        <v>0</v>
      </c>
      <c r="G15" s="586" t="n">
        <f aca="false">IF('A.Org_CAPS'!K128&gt;=40%,1,0)</f>
        <v>0</v>
      </c>
      <c r="H15" s="587" t="n">
        <f aca="false">SUM(E15+F15+G15)/3</f>
        <v>0</v>
      </c>
      <c r="I15" s="591"/>
      <c r="J15" s="591"/>
      <c r="K15" s="587" t="n">
        <f aca="false">SUM(I15+J15)/2</f>
        <v>0</v>
      </c>
    </row>
    <row r="16" s="593" customFormat="true" ht="24.75" hidden="false" customHeight="true" outlineLevel="0" collapsed="false">
      <c r="A16" s="586" t="n">
        <f aca="false">'Listado CAPS'!A12</f>
        <v>0</v>
      </c>
      <c r="B16" s="586" t="n">
        <f aca="false">'Listado CAPS'!B12</f>
        <v>0</v>
      </c>
      <c r="C16" s="586" t="n">
        <f aca="false">'Listado CAPS'!C12</f>
        <v>0</v>
      </c>
      <c r="D16" s="586" t="str">
        <f aca="false">'Listado CAPS'!D12</f>
        <v>J</v>
      </c>
      <c r="E16" s="586" t="n">
        <f aca="false">IF('Conformación JD'!AA16&gt;=50%,1,0)</f>
        <v>0</v>
      </c>
      <c r="F16" s="586" t="n">
        <f aca="false">IF('Conformación JD'!Z16&gt;=1,1,0)</f>
        <v>0</v>
      </c>
      <c r="G16" s="586" t="n">
        <f aca="false">IF('A.Org_CAPS'!K142&gt;=40%,1,0)</f>
        <v>0</v>
      </c>
      <c r="H16" s="587" t="n">
        <f aca="false">SUM(E16+F16+G16)/3</f>
        <v>0</v>
      </c>
      <c r="I16" s="590"/>
      <c r="J16" s="590"/>
      <c r="K16" s="587" t="n">
        <f aca="false">SUM(I16+J16)/2</f>
        <v>0</v>
      </c>
    </row>
    <row r="17" s="594" customFormat="true" ht="24.75" hidden="false" customHeight="true" outlineLevel="0" collapsed="false">
      <c r="A17" s="586" t="n">
        <f aca="false">'Listado CAPS'!A13</f>
        <v>0</v>
      </c>
      <c r="B17" s="586" t="n">
        <f aca="false">'Listado CAPS'!B13</f>
        <v>0</v>
      </c>
      <c r="C17" s="586" t="n">
        <f aca="false">'Listado CAPS'!C13</f>
        <v>0</v>
      </c>
      <c r="D17" s="586" t="str">
        <f aca="false">'Listado CAPS'!D13</f>
        <v>K</v>
      </c>
      <c r="E17" s="586" t="n">
        <f aca="false">IF('Conformación JD'!AA17&gt;=50%,1,0)</f>
        <v>0</v>
      </c>
      <c r="F17" s="586" t="n">
        <f aca="false">IF('Conformación JD'!Z17&gt;=1,1,0)</f>
        <v>0</v>
      </c>
      <c r="G17" s="586" t="n">
        <f aca="false">IF('A.Org_CAPS'!K156&gt;=40%,1,0)</f>
        <v>0</v>
      </c>
      <c r="H17" s="587" t="n">
        <f aca="false">SUM(E17+F17+G17)/3</f>
        <v>0</v>
      </c>
      <c r="I17" s="590"/>
      <c r="J17" s="590"/>
      <c r="K17" s="587" t="n">
        <f aca="false">SUM(I17+J17)/2</f>
        <v>0</v>
      </c>
    </row>
    <row r="18" s="594" customFormat="true" ht="24.75" hidden="false" customHeight="true" outlineLevel="0" collapsed="false">
      <c r="A18" s="586" t="n">
        <f aca="false">'Listado CAPS'!A14</f>
        <v>0</v>
      </c>
      <c r="B18" s="586" t="n">
        <f aca="false">'Listado CAPS'!B14</f>
        <v>0</v>
      </c>
      <c r="C18" s="586" t="n">
        <f aca="false">'Listado CAPS'!C14</f>
        <v>0</v>
      </c>
      <c r="D18" s="586" t="str">
        <f aca="false">'Listado CAPS'!D14</f>
        <v>L</v>
      </c>
      <c r="E18" s="586" t="n">
        <f aca="false">IF('Conformación JD'!AA18&gt;=50%,1,0)</f>
        <v>0</v>
      </c>
      <c r="F18" s="586" t="n">
        <f aca="false">IF('Conformación JD'!Z18&gt;=1,1,0)</f>
        <v>0</v>
      </c>
      <c r="G18" s="586" t="n">
        <f aca="false">IF('A.Org_CAPS'!K170&gt;=40%,1,0)</f>
        <v>0</v>
      </c>
      <c r="H18" s="587" t="n">
        <f aca="false">SUM(E18+F18+G18)/3</f>
        <v>0</v>
      </c>
      <c r="I18" s="590"/>
      <c r="J18" s="590"/>
      <c r="K18" s="587" t="n">
        <f aca="false">SUM(I18+J18)/2</f>
        <v>0</v>
      </c>
    </row>
    <row r="19" s="594" customFormat="true" ht="24.75" hidden="false" customHeight="true" outlineLevel="0" collapsed="false">
      <c r="A19" s="586" t="n">
        <f aca="false">'Listado CAPS'!A15</f>
        <v>0</v>
      </c>
      <c r="B19" s="586" t="n">
        <f aca="false">'Listado CAPS'!B15</f>
        <v>0</v>
      </c>
      <c r="C19" s="586" t="n">
        <f aca="false">'Listado CAPS'!C15</f>
        <v>0</v>
      </c>
      <c r="D19" s="586" t="str">
        <f aca="false">'Listado CAPS'!D15</f>
        <v>M</v>
      </c>
      <c r="E19" s="586" t="n">
        <f aca="false">IF('Conformación JD'!AA19&gt;=50%,1,0)</f>
        <v>0</v>
      </c>
      <c r="F19" s="586" t="n">
        <f aca="false">IF('Conformación JD'!Z19&gt;=1,1,0)</f>
        <v>0</v>
      </c>
      <c r="G19" s="586" t="n">
        <f aca="false">IF('A.Org_CAPS'!K184&gt;=40%,1,0)</f>
        <v>0</v>
      </c>
      <c r="H19" s="587" t="n">
        <f aca="false">SUM(E19+F19+G19)/3</f>
        <v>0</v>
      </c>
      <c r="I19" s="590"/>
      <c r="J19" s="590"/>
      <c r="K19" s="587" t="n">
        <f aca="false">SUM(I19+J19)/2</f>
        <v>0</v>
      </c>
    </row>
    <row r="20" s="594" customFormat="true" ht="24.75" hidden="false" customHeight="true" outlineLevel="0" collapsed="false">
      <c r="A20" s="586" t="n">
        <f aca="false">'Listado CAPS'!A16</f>
        <v>0</v>
      </c>
      <c r="B20" s="586" t="n">
        <f aca="false">'Listado CAPS'!B16</f>
        <v>0</v>
      </c>
      <c r="C20" s="586" t="n">
        <f aca="false">'Listado CAPS'!C16</f>
        <v>0</v>
      </c>
      <c r="D20" s="586" t="str">
        <f aca="false">'Listado CAPS'!D16</f>
        <v>N</v>
      </c>
      <c r="E20" s="586" t="n">
        <f aca="false">IF('Conformación JD'!AA20&gt;=50%,1,0)</f>
        <v>0</v>
      </c>
      <c r="F20" s="586" t="n">
        <f aca="false">IF('Conformación JD'!Z20&gt;=1,1,0)</f>
        <v>0</v>
      </c>
      <c r="G20" s="586" t="n">
        <f aca="false">IF('A.Org_CAPS'!K198&gt;=40%,1,0)</f>
        <v>0</v>
      </c>
      <c r="H20" s="587" t="n">
        <f aca="false">SUM(E20+F20+G20)/3</f>
        <v>0</v>
      </c>
      <c r="I20" s="590"/>
      <c r="J20" s="590"/>
      <c r="K20" s="587" t="n">
        <f aca="false">SUM(I20+J20)/2</f>
        <v>0</v>
      </c>
    </row>
    <row r="21" s="594" customFormat="true" ht="24.75" hidden="false" customHeight="true" outlineLevel="0" collapsed="false">
      <c r="A21" s="586" t="n">
        <f aca="false">'Listado CAPS'!A17</f>
        <v>0</v>
      </c>
      <c r="B21" s="586" t="n">
        <f aca="false">'Listado CAPS'!B17</f>
        <v>0</v>
      </c>
      <c r="C21" s="586" t="n">
        <f aca="false">'Listado CAPS'!C17</f>
        <v>0</v>
      </c>
      <c r="D21" s="586" t="str">
        <f aca="false">'Listado CAPS'!D17</f>
        <v>Ñ</v>
      </c>
      <c r="E21" s="586" t="n">
        <f aca="false">IF('Conformación JD'!AA21&gt;=50%,1,0)</f>
        <v>0</v>
      </c>
      <c r="F21" s="586" t="n">
        <f aca="false">IF('Conformación JD'!Z21&gt;=1,1,0)</f>
        <v>0</v>
      </c>
      <c r="G21" s="586" t="n">
        <f aca="false">IF('A.Org_CAPS'!K212&gt;=40%,1,0)</f>
        <v>0</v>
      </c>
      <c r="H21" s="587" t="n">
        <f aca="false">SUM(E21+F21+G21)/3</f>
        <v>0</v>
      </c>
      <c r="I21" s="590"/>
      <c r="J21" s="590"/>
      <c r="K21" s="587" t="n">
        <f aca="false">SUM(I21+J21)/2</f>
        <v>0</v>
      </c>
    </row>
    <row r="22" s="594" customFormat="true" ht="24.75" hidden="false" customHeight="true" outlineLevel="0" collapsed="false">
      <c r="A22" s="586" t="n">
        <f aca="false">'Listado CAPS'!A18</f>
        <v>0</v>
      </c>
      <c r="B22" s="586" t="n">
        <f aca="false">'Listado CAPS'!B18</f>
        <v>0</v>
      </c>
      <c r="C22" s="586" t="n">
        <f aca="false">'Listado CAPS'!C18</f>
        <v>0</v>
      </c>
      <c r="D22" s="586" t="str">
        <f aca="false">'Listado CAPS'!D18</f>
        <v>O</v>
      </c>
      <c r="E22" s="586" t="n">
        <f aca="false">IF('Conformación JD'!AA22&gt;=50%,1,0)</f>
        <v>0</v>
      </c>
      <c r="F22" s="586" t="n">
        <f aca="false">IF('Conformación JD'!Z22&gt;=1,1,0)</f>
        <v>0</v>
      </c>
      <c r="G22" s="586" t="n">
        <f aca="false">IF('A.Org_CAPS'!K226=40%,1,0)</f>
        <v>0</v>
      </c>
      <c r="H22" s="587" t="n">
        <f aca="false">SUM(E22+F22+G22)/3</f>
        <v>0</v>
      </c>
      <c r="I22" s="590"/>
      <c r="J22" s="590"/>
      <c r="K22" s="587" t="n">
        <f aca="false">SUM(I22+J22)/2</f>
        <v>0</v>
      </c>
    </row>
    <row r="23" s="594" customFormat="true" ht="24.75" hidden="false" customHeight="true" outlineLevel="0" collapsed="false">
      <c r="A23" s="586" t="n">
        <f aca="false">'Listado CAPS'!A19</f>
        <v>0</v>
      </c>
      <c r="B23" s="586" t="n">
        <f aca="false">'Listado CAPS'!B19</f>
        <v>0</v>
      </c>
      <c r="C23" s="586" t="n">
        <f aca="false">'Listado CAPS'!C19</f>
        <v>0</v>
      </c>
      <c r="D23" s="586" t="str">
        <f aca="false">'Listado CAPS'!D19</f>
        <v>P</v>
      </c>
      <c r="E23" s="586" t="n">
        <f aca="false">IF('Conformación JD'!AA23&gt;=50%,1,0)</f>
        <v>0</v>
      </c>
      <c r="F23" s="586" t="n">
        <f aca="false">IF('Conformación JD'!Z23&gt;=1,1,0)</f>
        <v>0</v>
      </c>
      <c r="G23" s="586" t="n">
        <f aca="false">IF('A.Org_CAPS'!K240&gt;=40%,1,0)</f>
        <v>0</v>
      </c>
      <c r="H23" s="587" t="n">
        <f aca="false">SUM(E23+F23+G23)/3</f>
        <v>0</v>
      </c>
      <c r="I23" s="590"/>
      <c r="J23" s="590"/>
      <c r="K23" s="587" t="n">
        <f aca="false">SUM(I23+J23)/2</f>
        <v>0</v>
      </c>
    </row>
    <row r="24" s="594" customFormat="true" ht="24.75" hidden="false" customHeight="true" outlineLevel="0" collapsed="false">
      <c r="A24" s="586" t="n">
        <f aca="false">'Listado CAPS'!A20</f>
        <v>0</v>
      </c>
      <c r="B24" s="586" t="n">
        <f aca="false">'Listado CAPS'!B20</f>
        <v>0</v>
      </c>
      <c r="C24" s="586" t="n">
        <f aca="false">'Listado CAPS'!C20</f>
        <v>0</v>
      </c>
      <c r="D24" s="586" t="str">
        <f aca="false">'Listado CAPS'!D20</f>
        <v>Q</v>
      </c>
      <c r="E24" s="586" t="n">
        <f aca="false">IF('Conformación JD'!AA24&gt;=50%,1,0)</f>
        <v>0</v>
      </c>
      <c r="F24" s="586" t="n">
        <f aca="false">IF('Conformación JD'!Z24&gt;=1,1,0)</f>
        <v>0</v>
      </c>
      <c r="G24" s="586" t="n">
        <f aca="false">IF('A.Org_CAPS'!K254&gt;=40%,1,0)</f>
        <v>0</v>
      </c>
      <c r="H24" s="587" t="n">
        <f aca="false">SUM(E24+F24+G24)/3</f>
        <v>0</v>
      </c>
      <c r="I24" s="590"/>
      <c r="J24" s="590"/>
      <c r="K24" s="587" t="n">
        <f aca="false">SUM(I24+J24)/2</f>
        <v>0</v>
      </c>
    </row>
    <row r="25" s="594" customFormat="true" ht="24.75" hidden="false" customHeight="true" outlineLevel="0" collapsed="false">
      <c r="A25" s="586" t="n">
        <f aca="false">'Listado CAPS'!A21</f>
        <v>0</v>
      </c>
      <c r="B25" s="586" t="n">
        <f aca="false">'Listado CAPS'!B21</f>
        <v>0</v>
      </c>
      <c r="C25" s="586" t="n">
        <f aca="false">'Listado CAPS'!C21</f>
        <v>0</v>
      </c>
      <c r="D25" s="586" t="str">
        <f aca="false">'Listado CAPS'!D21</f>
        <v>R</v>
      </c>
      <c r="E25" s="586" t="n">
        <f aca="false">IF('Conformación JD'!AA25&gt;=50%,1,0)</f>
        <v>0</v>
      </c>
      <c r="F25" s="586" t="n">
        <f aca="false">IF('Conformación JD'!Z25&gt;=1,1,0)</f>
        <v>0</v>
      </c>
      <c r="G25" s="586" t="n">
        <f aca="false">IF('A.Org_CAPS'!K268&gt;=40%,1,0)</f>
        <v>0</v>
      </c>
      <c r="H25" s="587" t="n">
        <f aca="false">SUM(E25+F25+G25)/3</f>
        <v>0</v>
      </c>
      <c r="I25" s="590"/>
      <c r="J25" s="590"/>
      <c r="K25" s="587" t="n">
        <f aca="false">SUM(I25+J25)/2</f>
        <v>0</v>
      </c>
    </row>
    <row r="26" s="594" customFormat="true" ht="24.75" hidden="false" customHeight="true" outlineLevel="0" collapsed="false">
      <c r="A26" s="586" t="n">
        <f aca="false">'Listado CAPS'!A22</f>
        <v>0</v>
      </c>
      <c r="B26" s="586" t="n">
        <f aca="false">'Listado CAPS'!B22</f>
        <v>0</v>
      </c>
      <c r="C26" s="586" t="n">
        <f aca="false">'Listado CAPS'!C22</f>
        <v>0</v>
      </c>
      <c r="D26" s="586" t="str">
        <f aca="false">'Listado CAPS'!D22</f>
        <v>S</v>
      </c>
      <c r="E26" s="586" t="n">
        <f aca="false">IF('Conformación JD'!AA26&gt;=50%,1,0)</f>
        <v>0</v>
      </c>
      <c r="F26" s="586" t="n">
        <f aca="false">IF('Conformación JD'!Z26&gt;=1,1,0)</f>
        <v>0</v>
      </c>
      <c r="G26" s="586" t="n">
        <f aca="false">IF('A.Org_CAPS'!K282&gt;=40%,1,0)</f>
        <v>0</v>
      </c>
      <c r="H26" s="587" t="n">
        <f aca="false">SUM(E26+F26+G26)/3</f>
        <v>0</v>
      </c>
      <c r="I26" s="590"/>
      <c r="J26" s="590"/>
      <c r="K26" s="587" t="n">
        <f aca="false">SUM(I26+J26)/2</f>
        <v>0</v>
      </c>
    </row>
    <row r="27" s="594" customFormat="true" ht="24.75" hidden="false" customHeight="true" outlineLevel="0" collapsed="false">
      <c r="A27" s="586" t="n">
        <f aca="false">'Listado CAPS'!A23</f>
        <v>0</v>
      </c>
      <c r="B27" s="586" t="n">
        <f aca="false">'Listado CAPS'!B23</f>
        <v>0</v>
      </c>
      <c r="C27" s="586" t="n">
        <f aca="false">'Listado CAPS'!C23</f>
        <v>0</v>
      </c>
      <c r="D27" s="586" t="str">
        <f aca="false">'Listado CAPS'!D23</f>
        <v>T</v>
      </c>
      <c r="E27" s="586" t="n">
        <f aca="false">IF('Conformación JD'!AA27&gt;=50%,1,0)</f>
        <v>0</v>
      </c>
      <c r="F27" s="586" t="n">
        <f aca="false">IF('Conformación JD'!Z27&gt;=1,1,0)</f>
        <v>0</v>
      </c>
      <c r="G27" s="586" t="n">
        <f aca="false">IF('A.Org_CAPS'!K296&gt;=40%,1,0)</f>
        <v>0</v>
      </c>
      <c r="H27" s="587" t="n">
        <f aca="false">SUM(E27+F27+G27)/3</f>
        <v>0</v>
      </c>
      <c r="I27" s="590"/>
      <c r="J27" s="590"/>
      <c r="K27" s="587" t="n">
        <f aca="false">SUM(I27+J27)/2</f>
        <v>0</v>
      </c>
    </row>
    <row r="28" s="594" customFormat="true" ht="24.75" hidden="false" customHeight="true" outlineLevel="0" collapsed="false">
      <c r="A28" s="586" t="n">
        <f aca="false">'Listado CAPS'!A24</f>
        <v>0</v>
      </c>
      <c r="B28" s="586" t="n">
        <f aca="false">'Listado CAPS'!B24</f>
        <v>0</v>
      </c>
      <c r="C28" s="586" t="n">
        <f aca="false">'Listado CAPS'!C24</f>
        <v>0</v>
      </c>
      <c r="D28" s="586" t="str">
        <f aca="false">'Listado CAPS'!D24</f>
        <v>U</v>
      </c>
      <c r="E28" s="586" t="n">
        <f aca="false">IF('Conformación JD'!AA28&gt;=50%,1,0)</f>
        <v>0</v>
      </c>
      <c r="F28" s="586" t="n">
        <f aca="false">IF('Conformación JD'!Z28&gt;=1,1,0)</f>
        <v>0</v>
      </c>
      <c r="G28" s="586" t="n">
        <f aca="false">IF('A.Org_CAPS'!K310&gt;=40%,1,0)</f>
        <v>0</v>
      </c>
      <c r="H28" s="587" t="n">
        <f aca="false">SUM(E28+F28+G28)/3</f>
        <v>0</v>
      </c>
      <c r="I28" s="590"/>
      <c r="J28" s="590"/>
      <c r="K28" s="587" t="n">
        <f aca="false">SUM(I28+J28)/2</f>
        <v>0</v>
      </c>
    </row>
    <row r="29" s="594" customFormat="true" ht="24.75" hidden="false" customHeight="true" outlineLevel="0" collapsed="false">
      <c r="A29" s="586" t="n">
        <f aca="false">'Listado CAPS'!A25</f>
        <v>0</v>
      </c>
      <c r="B29" s="586" t="n">
        <f aca="false">'Listado CAPS'!B25</f>
        <v>0</v>
      </c>
      <c r="C29" s="586" t="n">
        <f aca="false">'Listado CAPS'!C25</f>
        <v>0</v>
      </c>
      <c r="D29" s="586" t="str">
        <f aca="false">'Listado CAPS'!D25</f>
        <v>V</v>
      </c>
      <c r="E29" s="586" t="n">
        <f aca="false">IF('Conformación JD'!AA29&gt;=50%,1,0)</f>
        <v>0</v>
      </c>
      <c r="F29" s="586" t="n">
        <f aca="false">IF('Conformación JD'!Z29&gt;=1,1,0)</f>
        <v>0</v>
      </c>
      <c r="G29" s="586" t="n">
        <f aca="false">IF('A.Org_CAPS'!K324&gt;=40%,1,0)</f>
        <v>0</v>
      </c>
      <c r="H29" s="587" t="n">
        <f aca="false">SUM(E29+F29+G29)/3</f>
        <v>0</v>
      </c>
      <c r="I29" s="590"/>
      <c r="J29" s="590"/>
      <c r="K29" s="587" t="n">
        <f aca="false">SUM(I29+J29)/2</f>
        <v>0</v>
      </c>
    </row>
    <row r="30" s="594" customFormat="true" ht="24.75" hidden="false" customHeight="true" outlineLevel="0" collapsed="false">
      <c r="A30" s="586" t="n">
        <f aca="false">'Listado CAPS'!A26</f>
        <v>0</v>
      </c>
      <c r="B30" s="586" t="n">
        <f aca="false">'Listado CAPS'!B26</f>
        <v>0</v>
      </c>
      <c r="C30" s="586" t="n">
        <f aca="false">'Listado CAPS'!C26</f>
        <v>0</v>
      </c>
      <c r="D30" s="586" t="str">
        <f aca="false">'Listado CAPS'!D26</f>
        <v>W</v>
      </c>
      <c r="E30" s="586" t="n">
        <f aca="false">IF('Conformación JD'!AA30&gt;=50%,1,0)</f>
        <v>0</v>
      </c>
      <c r="F30" s="586" t="n">
        <f aca="false">IF('Conformación JD'!Z30&gt;=1,1,0)</f>
        <v>0</v>
      </c>
      <c r="G30" s="586" t="n">
        <f aca="false">IF('A.Org_CAPS'!K338&gt;=40%,1,0)</f>
        <v>0</v>
      </c>
      <c r="H30" s="587" t="n">
        <f aca="false">SUM(E30+F30+G30)/3</f>
        <v>0</v>
      </c>
      <c r="I30" s="590"/>
      <c r="J30" s="590"/>
      <c r="K30" s="587" t="n">
        <f aca="false">SUM(I30+J30)/2</f>
        <v>0</v>
      </c>
    </row>
    <row r="31" s="594" customFormat="true" ht="24.75" hidden="false" customHeight="true" outlineLevel="0" collapsed="false">
      <c r="A31" s="586" t="n">
        <f aca="false">'Listado CAPS'!A27</f>
        <v>0</v>
      </c>
      <c r="B31" s="586" t="n">
        <f aca="false">'Listado CAPS'!B27</f>
        <v>0</v>
      </c>
      <c r="C31" s="586" t="n">
        <f aca="false">'Listado CAPS'!C27</f>
        <v>0</v>
      </c>
      <c r="D31" s="586" t="str">
        <f aca="false">'Listado CAPS'!D27</f>
        <v>X</v>
      </c>
      <c r="E31" s="586" t="n">
        <f aca="false">IF('Conformación JD'!AA31&gt;=50%,1,0)</f>
        <v>0</v>
      </c>
      <c r="F31" s="586" t="n">
        <f aca="false">IF('Conformación JD'!Z31&gt;=1,1,0)</f>
        <v>0</v>
      </c>
      <c r="G31" s="586" t="n">
        <f aca="false">IF('A.Org_CAPS'!K352&gt;=40%,1,0)</f>
        <v>0</v>
      </c>
      <c r="H31" s="587" t="n">
        <f aca="false">SUM(E31+F31+G31)/3</f>
        <v>0</v>
      </c>
      <c r="I31" s="590"/>
      <c r="J31" s="590"/>
      <c r="K31" s="587" t="n">
        <f aca="false">SUM(I31+J31)/2</f>
        <v>0</v>
      </c>
    </row>
    <row r="32" s="594" customFormat="true" ht="24.75" hidden="false" customHeight="true" outlineLevel="0" collapsed="false">
      <c r="A32" s="586" t="n">
        <f aca="false">'Listado CAPS'!A28</f>
        <v>0</v>
      </c>
      <c r="B32" s="586" t="n">
        <f aca="false">'Listado CAPS'!B28</f>
        <v>0</v>
      </c>
      <c r="C32" s="586" t="n">
        <f aca="false">'Listado CAPS'!C28</f>
        <v>0</v>
      </c>
      <c r="D32" s="586" t="str">
        <f aca="false">'Listado CAPS'!D28</f>
        <v>Y</v>
      </c>
      <c r="E32" s="586" t="n">
        <f aca="false">IF('Conformación JD'!AA32&gt;=50%,1,0)</f>
        <v>0</v>
      </c>
      <c r="F32" s="586" t="n">
        <f aca="false">IF('Conformación JD'!Z32&gt;=1,1,0)</f>
        <v>0</v>
      </c>
      <c r="G32" s="586" t="n">
        <f aca="false">IF('A.Org_CAPS'!K366&gt;=40%,1,0)</f>
        <v>0</v>
      </c>
      <c r="H32" s="587" t="n">
        <f aca="false">SUM(E32+F32+G32)/3</f>
        <v>0</v>
      </c>
      <c r="I32" s="590"/>
      <c r="J32" s="590"/>
      <c r="K32" s="587" t="n">
        <f aca="false">SUM(I32+J32)/2</f>
        <v>0</v>
      </c>
    </row>
    <row r="33" s="594" customFormat="true" ht="24.75" hidden="false" customHeight="true" outlineLevel="0" collapsed="false">
      <c r="A33" s="595"/>
      <c r="B33" s="595"/>
      <c r="C33" s="595"/>
      <c r="D33" s="595"/>
      <c r="E33" s="595"/>
      <c r="H33" s="596"/>
      <c r="K33" s="596"/>
    </row>
    <row r="34" s="603" customFormat="true" ht="13.5" hidden="false" customHeight="true" outlineLevel="0" collapsed="false">
      <c r="A34" s="597"/>
      <c r="B34" s="597"/>
      <c r="C34" s="597"/>
      <c r="D34" s="598"/>
      <c r="E34" s="598"/>
      <c r="F34" s="599"/>
      <c r="G34" s="599"/>
      <c r="H34" s="600"/>
      <c r="I34" s="601"/>
      <c r="J34" s="601"/>
      <c r="K34" s="602"/>
    </row>
    <row r="35" s="603" customFormat="true" ht="13.5" hidden="false" customHeight="true" outlineLevel="0" collapsed="false">
      <c r="A35" s="233"/>
      <c r="B35" s="233"/>
      <c r="C35" s="233"/>
      <c r="D35" s="233"/>
      <c r="E35" s="233"/>
      <c r="F35" s="604"/>
      <c r="G35" s="604"/>
      <c r="H35" s="605"/>
      <c r="I35" s="606"/>
      <c r="J35" s="605"/>
      <c r="K35" s="602"/>
    </row>
    <row r="36" s="603" customFormat="true" ht="13.5" hidden="false" customHeight="true" outlineLevel="0" collapsed="false">
      <c r="A36" s="233"/>
      <c r="B36" s="233"/>
      <c r="C36" s="233"/>
      <c r="D36" s="233"/>
      <c r="E36" s="233"/>
      <c r="F36" s="607"/>
      <c r="G36" s="607"/>
      <c r="H36" s="608"/>
      <c r="I36" s="606"/>
      <c r="J36" s="605"/>
      <c r="K36" s="602"/>
    </row>
    <row r="37" s="603" customFormat="true" ht="13.5" hidden="false" customHeight="true" outlineLevel="0" collapsed="false">
      <c r="A37" s="233"/>
      <c r="B37" s="233"/>
      <c r="C37" s="233"/>
      <c r="D37" s="233"/>
      <c r="E37" s="233"/>
      <c r="F37" s="607"/>
      <c r="G37" s="607"/>
      <c r="H37" s="609"/>
      <c r="K37" s="602"/>
    </row>
    <row r="38" s="603" customFormat="true" ht="13.5" hidden="false" customHeight="true" outlineLevel="0" collapsed="false">
      <c r="A38" s="233"/>
      <c r="B38" s="233"/>
      <c r="C38" s="233"/>
      <c r="D38" s="233"/>
      <c r="E38" s="233"/>
      <c r="F38" s="607"/>
      <c r="G38" s="607"/>
      <c r="H38" s="610"/>
      <c r="K38" s="602"/>
    </row>
    <row r="39" s="603" customFormat="true" ht="13.5" hidden="false" customHeight="true" outlineLevel="0" collapsed="false">
      <c r="A39" s="233"/>
      <c r="B39" s="233"/>
      <c r="C39" s="233"/>
      <c r="D39" s="233"/>
      <c r="E39" s="233"/>
      <c r="F39" s="607"/>
      <c r="G39" s="607"/>
      <c r="H39" s="610"/>
      <c r="K39" s="602"/>
    </row>
    <row r="40" s="603" customFormat="true" ht="13.5" hidden="false" customHeight="true" outlineLevel="0" collapsed="false">
      <c r="C40" s="611"/>
      <c r="D40" s="611"/>
      <c r="E40" s="612"/>
      <c r="F40" s="612"/>
      <c r="G40" s="612"/>
      <c r="H40" s="610"/>
      <c r="K40" s="602"/>
    </row>
    <row r="41" s="603" customFormat="true" ht="13.5" hidden="false" customHeight="true" outlineLevel="0" collapsed="false">
      <c r="A41" s="233"/>
      <c r="B41" s="233"/>
      <c r="C41" s="233"/>
      <c r="D41" s="233"/>
      <c r="E41" s="233"/>
      <c r="F41" s="607"/>
      <c r="G41" s="607"/>
      <c r="H41" s="610"/>
      <c r="K41" s="602"/>
    </row>
    <row r="42" customFormat="false" ht="12.75" hidden="false" customHeight="true" outlineLevel="0" collapsed="false">
      <c r="A42" s="613"/>
      <c r="B42" s="613"/>
      <c r="C42" s="613"/>
      <c r="D42" s="613"/>
      <c r="E42" s="613"/>
      <c r="F42" s="614"/>
      <c r="G42" s="614"/>
      <c r="H42" s="615"/>
      <c r="I42" s="594"/>
      <c r="J42" s="594"/>
    </row>
    <row r="43" customFormat="false" ht="19.5" hidden="false" customHeight="true" outlineLevel="0" collapsed="false">
      <c r="A43" s="595"/>
      <c r="B43" s="595"/>
      <c r="C43" s="595"/>
      <c r="D43" s="595"/>
      <c r="E43" s="595"/>
      <c r="F43" s="594"/>
      <c r="G43" s="594"/>
      <c r="H43" s="596"/>
    </row>
    <row r="44" s="594" customFormat="true" ht="22.5" hidden="false" customHeight="true" outlineLevel="0" collapsed="false">
      <c r="A44" s="595"/>
      <c r="B44" s="595"/>
      <c r="C44" s="595"/>
      <c r="D44" s="595"/>
      <c r="E44" s="595"/>
      <c r="H44" s="596"/>
      <c r="K44" s="596"/>
    </row>
    <row r="45" s="594" customFormat="true" ht="22.5" hidden="false" customHeight="true" outlineLevel="0" collapsed="false">
      <c r="A45" s="595"/>
      <c r="B45" s="595"/>
      <c r="C45" s="595"/>
      <c r="D45" s="595"/>
      <c r="E45" s="595"/>
      <c r="H45" s="596"/>
      <c r="K45" s="596"/>
    </row>
    <row r="46" s="594" customFormat="true" ht="22.5" hidden="false" customHeight="true" outlineLevel="0" collapsed="false">
      <c r="A46" s="595"/>
      <c r="B46" s="595"/>
      <c r="C46" s="595"/>
      <c r="D46" s="595"/>
      <c r="E46" s="595"/>
      <c r="H46" s="596"/>
      <c r="K46" s="596"/>
    </row>
    <row r="47" s="594" customFormat="true" ht="22.5" hidden="false" customHeight="true" outlineLevel="0" collapsed="false">
      <c r="A47" s="595"/>
      <c r="B47" s="595"/>
      <c r="C47" s="595"/>
      <c r="D47" s="595"/>
      <c r="E47" s="595"/>
      <c r="H47" s="596"/>
      <c r="K47" s="596"/>
    </row>
    <row r="48" s="594" customFormat="true" ht="22.5" hidden="false" customHeight="true" outlineLevel="0" collapsed="false">
      <c r="A48" s="568"/>
      <c r="B48" s="568"/>
      <c r="C48" s="568"/>
      <c r="D48" s="568"/>
      <c r="E48" s="568"/>
      <c r="F48" s="569"/>
      <c r="G48" s="569"/>
      <c r="H48" s="570"/>
      <c r="K48" s="596"/>
    </row>
    <row r="49" s="594" customFormat="true" ht="38.25" hidden="false" customHeight="true" outlineLevel="0" collapsed="false">
      <c r="A49" s="568"/>
      <c r="B49" s="568"/>
      <c r="C49" s="568"/>
      <c r="D49" s="568"/>
      <c r="E49" s="568"/>
      <c r="F49" s="569"/>
      <c r="G49" s="569"/>
      <c r="H49" s="570"/>
      <c r="K49" s="596"/>
    </row>
    <row r="50" s="594" customFormat="true" ht="22.5" hidden="false" customHeight="true" outlineLevel="0" collapsed="false">
      <c r="A50" s="595"/>
      <c r="B50" s="595"/>
      <c r="C50" s="595"/>
      <c r="D50" s="595"/>
      <c r="E50" s="595"/>
      <c r="H50" s="596"/>
      <c r="K50" s="596"/>
    </row>
    <row r="51" customFormat="false" ht="12.75" hidden="false" customHeight="true" outlineLevel="0" collapsed="false">
      <c r="A51" s="595"/>
      <c r="B51" s="595"/>
      <c r="C51" s="595"/>
      <c r="D51" s="595"/>
      <c r="E51" s="595"/>
      <c r="F51" s="594"/>
      <c r="G51" s="594"/>
      <c r="H51" s="596"/>
    </row>
    <row r="52" customFormat="false" ht="12.75" hidden="false" customHeight="true" outlineLevel="0" collapsed="false">
      <c r="A52" s="595"/>
      <c r="B52" s="595"/>
      <c r="C52" s="595"/>
      <c r="D52" s="595"/>
      <c r="E52" s="595"/>
      <c r="F52" s="594"/>
      <c r="G52" s="594"/>
      <c r="H52" s="596"/>
    </row>
    <row r="53" customFormat="false" ht="12.75" hidden="false" customHeight="true" outlineLevel="0" collapsed="false">
      <c r="A53" s="595"/>
      <c r="B53" s="595"/>
      <c r="C53" s="595"/>
      <c r="D53" s="595"/>
      <c r="E53" s="595"/>
      <c r="F53" s="594"/>
      <c r="G53" s="594"/>
      <c r="H53" s="596"/>
    </row>
    <row r="54" customFormat="false" ht="12.75" hidden="false" customHeight="true" outlineLevel="0" collapsed="false">
      <c r="A54" s="595"/>
      <c r="B54" s="595"/>
      <c r="C54" s="595"/>
      <c r="D54" s="595"/>
      <c r="E54" s="595"/>
      <c r="F54" s="594"/>
      <c r="G54" s="594"/>
      <c r="H54" s="596"/>
    </row>
    <row r="55" customFormat="false" ht="12.75" hidden="false" customHeight="true" outlineLevel="0" collapsed="false">
      <c r="A55" s="595"/>
      <c r="B55" s="595"/>
      <c r="C55" s="595"/>
      <c r="D55" s="595"/>
      <c r="E55" s="595"/>
      <c r="F55" s="594"/>
      <c r="G55" s="594"/>
      <c r="H55" s="596"/>
    </row>
    <row r="56" customFormat="false" ht="12.75" hidden="false" customHeight="true" outlineLevel="0" collapsed="false">
      <c r="A56" s="595"/>
      <c r="B56" s="595"/>
      <c r="C56" s="595"/>
      <c r="D56" s="595"/>
      <c r="E56" s="595"/>
      <c r="F56" s="594"/>
      <c r="G56" s="594"/>
      <c r="H56" s="596"/>
    </row>
  </sheetData>
  <mergeCells count="14">
    <mergeCell ref="B2:C2"/>
    <mergeCell ref="D2:J2"/>
    <mergeCell ref="C3:D3"/>
    <mergeCell ref="E3:H3"/>
    <mergeCell ref="I3:J3"/>
    <mergeCell ref="A4:A6"/>
    <mergeCell ref="B4:B6"/>
    <mergeCell ref="C4:C6"/>
    <mergeCell ref="D4:D6"/>
    <mergeCell ref="E4:G5"/>
    <mergeCell ref="H4:H6"/>
    <mergeCell ref="I4:J5"/>
    <mergeCell ref="K4:K6"/>
    <mergeCell ref="C40:D40"/>
  </mergeCells>
  <hyperlinks>
    <hyperlink ref="B2" location="'Tabla de Contenidos'!A1" display="Volver a Tabla de contenidos"/>
    <hyperlink ref="K2" location="'RESULTADO FINAL SOSTENIBILIDAD'!A1" display="Ir a Resultados Finales"/>
    <hyperlink ref="E6" location="'Conformación JD'!A1" display="¿El 50 % de la JD está conformada por mujeres?"/>
    <hyperlink ref="F6" location="'Conformación JD'!A1" display="¿Hay mujeres en los puestos de Presidenta o Tesorera?"/>
    <hyperlink ref="G6" location="A.Org_CAPS!A1" display="Al menos un 40% de asistencia de mujeres en las Asambleas "/>
  </hyperlinks>
  <printOptions headings="false" gridLines="false" gridLinesSet="true" horizontalCentered="false" verticalCentered="false"/>
  <pageMargins left="0.7" right="0.7" top="0.75" bottom="0.75" header="0.511811023622047" footer="0.511811023622047"/>
  <pageSetup paperSize="1" scale="100" fitToWidth="1" fitToHeight="3"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EEB"/>
    <pageSetUpPr fitToPage="false"/>
  </sheetPr>
  <dimension ref="A1:AI292"/>
  <sheetViews>
    <sheetView showFormulas="false" showGridLines="true" showRowColHeaders="true" showZeros="true" rightToLeft="false" tabSelected="false" showOutlineSymbols="true" defaultGridColor="true" view="normal" topLeftCell="D1" colorId="64" zoomScale="90" zoomScaleNormal="90" zoomScalePageLayoutView="100" workbookViewId="0">
      <selection pane="topLeft" activeCell="O292" activeCellId="0" sqref="O292"/>
    </sheetView>
  </sheetViews>
  <sheetFormatPr defaultColWidth="11.43359375" defaultRowHeight="15" customHeight="false" zeroHeight="false" outlineLevelRow="0" outlineLevelCol="0"/>
  <cols>
    <col collapsed="false" customWidth="false" hidden="false" outlineLevel="0" max="3" min="1" style="312" width="11.43"/>
    <col collapsed="false" customWidth="true" hidden="false" outlineLevel="0" max="4" min="4" style="312" width="27"/>
    <col collapsed="false" customWidth="true" hidden="false" outlineLevel="0" max="5" min="5" style="312" width="30.85"/>
    <col collapsed="false" customWidth="true" hidden="false" outlineLevel="0" max="6" min="6" style="233" width="45.29"/>
    <col collapsed="false" customWidth="true" hidden="false" outlineLevel="0" max="9" min="7" style="234" width="15.71"/>
    <col collapsed="false" customWidth="true" hidden="false" outlineLevel="0" max="10" min="10" style="234" width="9.57"/>
    <col collapsed="false" customWidth="true" hidden="false" outlineLevel="0" max="11" min="11" style="234" width="8.71"/>
    <col collapsed="false" customWidth="true" hidden="false" outlineLevel="0" max="15" min="12" style="234" width="7.86"/>
    <col collapsed="false" customWidth="false" hidden="false" outlineLevel="0" max="16" min="16" style="233" width="11.43"/>
    <col collapsed="false" customWidth="true" hidden="false" outlineLevel="0" max="17" min="17" style="233" width="8.42"/>
    <col collapsed="false" customWidth="false" hidden="false" outlineLevel="0" max="29" min="18" style="233" width="11.43"/>
    <col collapsed="false" customWidth="true" hidden="false" outlineLevel="0" max="30" min="30" style="233" width="25"/>
    <col collapsed="false" customWidth="false" hidden="false" outlineLevel="0" max="34" min="31" style="233" width="11.43"/>
    <col collapsed="false" customWidth="true" hidden="false" outlineLevel="0" max="35" min="35" style="233" width="19.42"/>
    <col collapsed="false" customWidth="true" hidden="false" outlineLevel="0" max="36" min="36" style="233" width="26.57"/>
    <col collapsed="false" customWidth="false" hidden="false" outlineLevel="0" max="56" min="37" style="233" width="11.43"/>
    <col collapsed="false" customWidth="true" hidden="false" outlineLevel="0" max="57" min="57" style="233" width="33.86"/>
    <col collapsed="false" customWidth="false" hidden="false" outlineLevel="0" max="16384" min="58" style="233" width="11.43"/>
  </cols>
  <sheetData>
    <row r="1" customFormat="false" ht="51.75" hidden="false" customHeight="true" outlineLevel="0" collapsed="false">
      <c r="A1" s="403"/>
      <c r="B1" s="188" t="s">
        <v>246</v>
      </c>
      <c r="C1" s="188"/>
      <c r="D1" s="283" t="s">
        <v>521</v>
      </c>
      <c r="E1" s="283"/>
      <c r="F1" s="283"/>
      <c r="G1" s="283"/>
      <c r="H1" s="283"/>
      <c r="I1" s="283"/>
      <c r="J1" s="283"/>
      <c r="K1" s="283"/>
      <c r="L1" s="405" t="s">
        <v>176</v>
      </c>
      <c r="M1" s="405"/>
      <c r="N1" s="405"/>
      <c r="O1" s="405"/>
      <c r="P1" s="616"/>
    </row>
    <row r="2" s="608" customFormat="true" ht="45" hidden="false" customHeight="true" outlineLevel="0" collapsed="false">
      <c r="A2" s="617"/>
      <c r="B2" s="617"/>
      <c r="C2" s="617" t="s">
        <v>522</v>
      </c>
      <c r="D2" s="618"/>
      <c r="E2" s="619" t="s">
        <v>523</v>
      </c>
      <c r="F2" s="619"/>
      <c r="G2" s="619"/>
      <c r="H2" s="620" t="s">
        <v>524</v>
      </c>
      <c r="I2" s="620"/>
      <c r="J2" s="620"/>
      <c r="Q2" s="621"/>
      <c r="AI2" s="233"/>
    </row>
    <row r="3" s="608" customFormat="true" ht="44.25" hidden="false" customHeight="true" outlineLevel="0" collapsed="false">
      <c r="A3" s="622" t="s">
        <v>315</v>
      </c>
      <c r="B3" s="622" t="s">
        <v>17</v>
      </c>
      <c r="C3" s="622" t="s">
        <v>317</v>
      </c>
      <c r="D3" s="623" t="s">
        <v>318</v>
      </c>
      <c r="E3" s="624" t="s">
        <v>525</v>
      </c>
      <c r="F3" s="625" t="s">
        <v>526</v>
      </c>
      <c r="G3" s="625" t="s">
        <v>527</v>
      </c>
      <c r="H3" s="625" t="s">
        <v>528</v>
      </c>
      <c r="I3" s="625" t="s">
        <v>529</v>
      </c>
      <c r="J3" s="625" t="s">
        <v>530</v>
      </c>
      <c r="K3" s="625"/>
      <c r="L3" s="625"/>
      <c r="M3" s="625"/>
      <c r="N3" s="625"/>
      <c r="O3" s="625"/>
      <c r="Q3" s="621"/>
      <c r="AI3" s="233"/>
    </row>
    <row r="4" customFormat="false" ht="80.25" hidden="false" customHeight="true" outlineLevel="0" collapsed="false">
      <c r="A4" s="622"/>
      <c r="B4" s="622"/>
      <c r="C4" s="622"/>
      <c r="D4" s="623"/>
      <c r="E4" s="624"/>
      <c r="F4" s="625"/>
      <c r="G4" s="625"/>
      <c r="H4" s="625"/>
      <c r="I4" s="625"/>
      <c r="J4" s="626" t="s">
        <v>531</v>
      </c>
      <c r="K4" s="626" t="s">
        <v>532</v>
      </c>
      <c r="L4" s="626" t="s">
        <v>533</v>
      </c>
      <c r="M4" s="626" t="s">
        <v>534</v>
      </c>
      <c r="N4" s="626" t="s">
        <v>535</v>
      </c>
      <c r="O4" s="626" t="s">
        <v>536</v>
      </c>
      <c r="P4" s="627" t="s">
        <v>537</v>
      </c>
      <c r="Q4" s="627" t="s">
        <v>538</v>
      </c>
    </row>
    <row r="5" customFormat="false" ht="21" hidden="false" customHeight="true" outlineLevel="0" collapsed="false">
      <c r="A5" s="628" t="str">
        <f aca="false">'Listado CAPS'!A3</f>
        <v>Madriz</v>
      </c>
      <c r="B5" s="628" t="str">
        <f aca="false">'Listado CAPS'!B3</f>
        <v>Yalaguina</v>
      </c>
      <c r="C5" s="628" t="str">
        <f aca="false">'Listado CAPS'!C3</f>
        <v>Los Encuentros</v>
      </c>
      <c r="D5" s="628" t="str">
        <f aca="false">'Listado CAPS'!D3</f>
        <v>Los Encuentros</v>
      </c>
      <c r="E5" s="629" t="n">
        <v>1</v>
      </c>
      <c r="F5" s="630" t="s">
        <v>539</v>
      </c>
      <c r="G5" s="631" t="n">
        <v>1</v>
      </c>
      <c r="H5" s="630" t="n">
        <v>1</v>
      </c>
      <c r="I5" s="631" t="n">
        <v>1</v>
      </c>
      <c r="J5" s="632"/>
      <c r="K5" s="632"/>
      <c r="L5" s="632"/>
      <c r="M5" s="632" t="s">
        <v>538</v>
      </c>
      <c r="N5" s="632"/>
      <c r="O5" s="632"/>
    </row>
    <row r="6" s="635" customFormat="true" ht="26.25" hidden="false" customHeight="true" outlineLevel="0" collapsed="false">
      <c r="A6" s="628"/>
      <c r="B6" s="628"/>
      <c r="C6" s="628"/>
      <c r="D6" s="628"/>
      <c r="E6" s="633"/>
      <c r="F6" s="630"/>
      <c r="G6" s="632"/>
      <c r="H6" s="634"/>
      <c r="I6" s="632"/>
      <c r="J6" s="632"/>
      <c r="K6" s="632"/>
      <c r="L6" s="632"/>
      <c r="M6" s="632"/>
      <c r="N6" s="632"/>
      <c r="O6" s="632"/>
    </row>
    <row r="7" s="635" customFormat="true" ht="26.25" hidden="false" customHeight="true" outlineLevel="0" collapsed="false">
      <c r="A7" s="628"/>
      <c r="B7" s="628"/>
      <c r="C7" s="628"/>
      <c r="D7" s="628"/>
      <c r="E7" s="633"/>
      <c r="F7" s="630"/>
      <c r="G7" s="632"/>
      <c r="H7" s="634"/>
      <c r="I7" s="632"/>
      <c r="J7" s="632"/>
      <c r="K7" s="632"/>
      <c r="L7" s="632"/>
      <c r="M7" s="632"/>
      <c r="N7" s="632"/>
      <c r="O7" s="632"/>
    </row>
    <row r="8" s="635" customFormat="true" ht="26.25" hidden="false" customHeight="true" outlineLevel="0" collapsed="false">
      <c r="A8" s="628"/>
      <c r="B8" s="628"/>
      <c r="C8" s="628"/>
      <c r="D8" s="628"/>
      <c r="E8" s="633"/>
      <c r="F8" s="630"/>
      <c r="G8" s="632"/>
      <c r="H8" s="634"/>
      <c r="I8" s="632"/>
      <c r="J8" s="632"/>
      <c r="K8" s="632"/>
      <c r="L8" s="632"/>
      <c r="M8" s="632"/>
      <c r="N8" s="632"/>
      <c r="O8" s="632"/>
    </row>
    <row r="9" s="635" customFormat="true" ht="26.25" hidden="false" customHeight="true" outlineLevel="0" collapsed="false">
      <c r="A9" s="628"/>
      <c r="B9" s="628"/>
      <c r="C9" s="628"/>
      <c r="D9" s="628"/>
      <c r="E9" s="633"/>
      <c r="F9" s="630"/>
      <c r="G9" s="632"/>
      <c r="H9" s="634"/>
      <c r="I9" s="632"/>
      <c r="J9" s="632"/>
      <c r="K9" s="632"/>
      <c r="L9" s="632"/>
      <c r="M9" s="632"/>
      <c r="N9" s="632"/>
      <c r="O9" s="632"/>
    </row>
    <row r="10" s="635" customFormat="true" ht="24" hidden="false" customHeight="true" outlineLevel="0" collapsed="false">
      <c r="A10" s="628"/>
      <c r="B10" s="628"/>
      <c r="C10" s="628"/>
      <c r="D10" s="628"/>
      <c r="E10" s="633"/>
      <c r="F10" s="630"/>
      <c r="G10" s="632"/>
      <c r="H10" s="634"/>
      <c r="I10" s="632"/>
      <c r="J10" s="632"/>
      <c r="K10" s="632"/>
      <c r="L10" s="632"/>
      <c r="M10" s="632"/>
      <c r="N10" s="632"/>
      <c r="O10" s="632"/>
    </row>
    <row r="11" s="635" customFormat="true" ht="21.75" hidden="false" customHeight="true" outlineLevel="0" collapsed="false">
      <c r="A11" s="628"/>
      <c r="B11" s="628"/>
      <c r="C11" s="628"/>
      <c r="D11" s="628"/>
      <c r="E11" s="633"/>
      <c r="F11" s="630"/>
      <c r="G11" s="632"/>
      <c r="H11" s="634"/>
      <c r="I11" s="632"/>
      <c r="J11" s="632"/>
      <c r="K11" s="632"/>
      <c r="L11" s="632"/>
      <c r="M11" s="632"/>
      <c r="N11" s="632"/>
      <c r="O11" s="632"/>
    </row>
    <row r="12" s="635" customFormat="true" ht="21.75" hidden="false" customHeight="true" outlineLevel="0" collapsed="false">
      <c r="A12" s="628"/>
      <c r="B12" s="628"/>
      <c r="C12" s="628"/>
      <c r="D12" s="628"/>
      <c r="E12" s="633"/>
      <c r="F12" s="630"/>
      <c r="G12" s="632"/>
      <c r="H12" s="634"/>
      <c r="I12" s="632"/>
      <c r="J12" s="632"/>
      <c r="K12" s="632"/>
      <c r="L12" s="632"/>
      <c r="M12" s="632"/>
      <c r="N12" s="632"/>
      <c r="O12" s="632"/>
    </row>
    <row r="13" s="635" customFormat="true" ht="21.75" hidden="false" customHeight="true" outlineLevel="0" collapsed="false">
      <c r="A13" s="628"/>
      <c r="B13" s="628"/>
      <c r="C13" s="628"/>
      <c r="D13" s="628"/>
      <c r="E13" s="633"/>
      <c r="F13" s="630"/>
      <c r="G13" s="632"/>
      <c r="H13" s="634"/>
      <c r="I13" s="632"/>
      <c r="J13" s="632"/>
      <c r="K13" s="632"/>
      <c r="L13" s="632"/>
      <c r="M13" s="632"/>
      <c r="N13" s="632"/>
      <c r="O13" s="632"/>
    </row>
    <row r="14" s="635" customFormat="true" ht="21.75" hidden="false" customHeight="true" outlineLevel="0" collapsed="false">
      <c r="A14" s="628"/>
      <c r="B14" s="628"/>
      <c r="C14" s="628"/>
      <c r="D14" s="628"/>
      <c r="E14" s="636"/>
      <c r="F14" s="630"/>
      <c r="G14" s="637"/>
      <c r="H14" s="638"/>
      <c r="I14" s="637"/>
      <c r="J14" s="632"/>
      <c r="K14" s="632"/>
      <c r="L14" s="632"/>
      <c r="M14" s="632"/>
      <c r="N14" s="632"/>
      <c r="O14" s="632"/>
    </row>
    <row r="15" s="643" customFormat="true" ht="22.5" hidden="false" customHeight="true" outlineLevel="0" collapsed="false">
      <c r="A15" s="639" t="s">
        <v>366</v>
      </c>
      <c r="B15" s="639"/>
      <c r="C15" s="639"/>
      <c r="D15" s="639"/>
      <c r="E15" s="640" t="n">
        <f aca="false">AVERAGE(E5:E14)</f>
        <v>1</v>
      </c>
      <c r="F15" s="641"/>
      <c r="G15" s="642" t="n">
        <f aca="false">IF(E15&lt;&gt;0,SUM(G5:G14)/E15,0)</f>
        <v>1</v>
      </c>
      <c r="H15" s="368"/>
      <c r="I15" s="642" t="n">
        <f aca="false">IF(E15&lt;&gt;0,SUM(I5:I14)/E15,0)</f>
        <v>1</v>
      </c>
      <c r="J15" s="640" t="n">
        <f aca="false">COUNTIF(J5:J14,$Q$4)</f>
        <v>0</v>
      </c>
      <c r="K15" s="640" t="n">
        <f aca="false">COUNTIF(K5:K14,$Q$4)</f>
        <v>0</v>
      </c>
      <c r="L15" s="640" t="n">
        <f aca="false">COUNTIF(L5:L14,$Q$4)</f>
        <v>0</v>
      </c>
      <c r="M15" s="640" t="n">
        <f aca="false">COUNTIF(M5:M14,$Q$4)</f>
        <v>1</v>
      </c>
      <c r="N15" s="640" t="n">
        <f aca="false">COUNTIF(N5:N14,$Q$4)</f>
        <v>0</v>
      </c>
      <c r="O15" s="640" t="n">
        <f aca="false">COUNTIF(O5:O14,$Q$4)</f>
        <v>0</v>
      </c>
    </row>
    <row r="16" customFormat="false" ht="15" hidden="false" customHeight="false" outlineLevel="0" collapsed="false">
      <c r="A16" s="628" t="n">
        <f aca="false">'Listado CAPS'!A4</f>
        <v>0</v>
      </c>
      <c r="B16" s="628" t="n">
        <f aca="false">'Listado CAPS'!B4</f>
        <v>0</v>
      </c>
      <c r="C16" s="628" t="n">
        <f aca="false">'Listado CAPS'!C4</f>
        <v>0</v>
      </c>
      <c r="D16" s="628" t="str">
        <f aca="false">'Listado CAPS'!D4</f>
        <v>B</v>
      </c>
      <c r="E16" s="629" t="n">
        <v>0</v>
      </c>
      <c r="F16" s="630"/>
      <c r="G16" s="631"/>
      <c r="H16" s="630"/>
      <c r="I16" s="631"/>
      <c r="J16" s="632"/>
      <c r="K16" s="632"/>
      <c r="L16" s="632"/>
      <c r="M16" s="632"/>
      <c r="N16" s="632"/>
      <c r="O16" s="632"/>
    </row>
    <row r="17" customFormat="false" ht="15" hidden="false" customHeight="false" outlineLevel="0" collapsed="false">
      <c r="A17" s="628"/>
      <c r="B17" s="628"/>
      <c r="C17" s="628"/>
      <c r="D17" s="628"/>
      <c r="E17" s="633"/>
      <c r="F17" s="630"/>
      <c r="G17" s="632"/>
      <c r="H17" s="634"/>
      <c r="I17" s="632"/>
      <c r="J17" s="632"/>
      <c r="K17" s="632"/>
      <c r="L17" s="632"/>
      <c r="M17" s="632"/>
      <c r="N17" s="632"/>
      <c r="O17" s="632"/>
    </row>
    <row r="18" customFormat="false" ht="15" hidden="false" customHeight="false" outlineLevel="0" collapsed="false">
      <c r="A18" s="628"/>
      <c r="B18" s="628"/>
      <c r="C18" s="628"/>
      <c r="D18" s="628"/>
      <c r="E18" s="633"/>
      <c r="F18" s="630"/>
      <c r="G18" s="632"/>
      <c r="H18" s="634"/>
      <c r="I18" s="632"/>
      <c r="J18" s="632"/>
      <c r="K18" s="632"/>
      <c r="L18" s="632"/>
      <c r="M18" s="632"/>
      <c r="N18" s="632"/>
      <c r="O18" s="632"/>
    </row>
    <row r="19" customFormat="false" ht="15" hidden="false" customHeight="false" outlineLevel="0" collapsed="false">
      <c r="A19" s="628"/>
      <c r="B19" s="628"/>
      <c r="C19" s="628"/>
      <c r="D19" s="628"/>
      <c r="E19" s="633"/>
      <c r="F19" s="630"/>
      <c r="G19" s="632"/>
      <c r="H19" s="634"/>
      <c r="I19" s="632"/>
      <c r="J19" s="632"/>
      <c r="K19" s="632"/>
      <c r="L19" s="632"/>
      <c r="M19" s="632"/>
      <c r="N19" s="632"/>
      <c r="O19" s="632"/>
    </row>
    <row r="20" customFormat="false" ht="15" hidden="false" customHeight="false" outlineLevel="0" collapsed="false">
      <c r="A20" s="628"/>
      <c r="B20" s="628"/>
      <c r="C20" s="628"/>
      <c r="D20" s="628"/>
      <c r="E20" s="633"/>
      <c r="F20" s="630"/>
      <c r="G20" s="632"/>
      <c r="H20" s="634"/>
      <c r="I20" s="632"/>
      <c r="J20" s="632"/>
      <c r="K20" s="632"/>
      <c r="L20" s="632"/>
      <c r="M20" s="632"/>
      <c r="N20" s="632"/>
      <c r="O20" s="632"/>
    </row>
    <row r="21" customFormat="false" ht="15" hidden="false" customHeight="false" outlineLevel="0" collapsed="false">
      <c r="A21" s="628"/>
      <c r="B21" s="628"/>
      <c r="C21" s="628"/>
      <c r="D21" s="628"/>
      <c r="E21" s="633"/>
      <c r="F21" s="630"/>
      <c r="G21" s="632"/>
      <c r="H21" s="634"/>
      <c r="I21" s="632"/>
      <c r="J21" s="632"/>
      <c r="K21" s="632"/>
      <c r="L21" s="632"/>
      <c r="M21" s="632"/>
      <c r="N21" s="632"/>
      <c r="O21" s="632"/>
    </row>
    <row r="22" customFormat="false" ht="15" hidden="false" customHeight="false" outlineLevel="0" collapsed="false">
      <c r="A22" s="628"/>
      <c r="B22" s="628"/>
      <c r="C22" s="628"/>
      <c r="D22" s="628"/>
      <c r="E22" s="633"/>
      <c r="F22" s="630"/>
      <c r="G22" s="632"/>
      <c r="H22" s="634"/>
      <c r="I22" s="632"/>
      <c r="J22" s="632"/>
      <c r="K22" s="632"/>
      <c r="L22" s="632"/>
      <c r="M22" s="632"/>
      <c r="N22" s="632"/>
      <c r="O22" s="632"/>
    </row>
    <row r="23" customFormat="false" ht="15" hidden="false" customHeight="false" outlineLevel="0" collapsed="false">
      <c r="A23" s="628"/>
      <c r="B23" s="628"/>
      <c r="C23" s="628"/>
      <c r="D23" s="628"/>
      <c r="E23" s="633"/>
      <c r="F23" s="630"/>
      <c r="G23" s="632"/>
      <c r="H23" s="634"/>
      <c r="I23" s="632"/>
      <c r="J23" s="632"/>
      <c r="K23" s="632"/>
      <c r="L23" s="632"/>
      <c r="M23" s="632"/>
      <c r="N23" s="632"/>
      <c r="O23" s="632"/>
    </row>
    <row r="24" customFormat="false" ht="15" hidden="false" customHeight="false" outlineLevel="0" collapsed="false">
      <c r="A24" s="628"/>
      <c r="B24" s="628"/>
      <c r="C24" s="628"/>
      <c r="D24" s="628"/>
      <c r="E24" s="633"/>
      <c r="F24" s="630"/>
      <c r="G24" s="632"/>
      <c r="H24" s="634"/>
      <c r="I24" s="632"/>
      <c r="J24" s="632"/>
      <c r="K24" s="632"/>
      <c r="L24" s="632"/>
      <c r="M24" s="632"/>
      <c r="N24" s="632"/>
      <c r="O24" s="632"/>
    </row>
    <row r="25" customFormat="false" ht="15" hidden="false" customHeight="false" outlineLevel="0" collapsed="false">
      <c r="A25" s="628"/>
      <c r="B25" s="628"/>
      <c r="C25" s="628"/>
      <c r="D25" s="628"/>
      <c r="E25" s="636"/>
      <c r="F25" s="630"/>
      <c r="G25" s="637"/>
      <c r="H25" s="638"/>
      <c r="I25" s="637"/>
      <c r="J25" s="632"/>
      <c r="K25" s="632"/>
      <c r="L25" s="632"/>
      <c r="M25" s="632"/>
      <c r="N25" s="632"/>
      <c r="O25" s="632"/>
    </row>
    <row r="26" customFormat="false" ht="15" hidden="false" customHeight="false" outlineLevel="0" collapsed="false">
      <c r="A26" s="639" t="s">
        <v>366</v>
      </c>
      <c r="B26" s="639"/>
      <c r="C26" s="639"/>
      <c r="D26" s="639"/>
      <c r="E26" s="640" t="n">
        <f aca="false">AVERAGE(E16:E25)</f>
        <v>0</v>
      </c>
      <c r="F26" s="641"/>
      <c r="G26" s="642" t="n">
        <f aca="false">IF(E26&lt;&gt;0,SUM(G16:G25)/E26,0)</f>
        <v>0</v>
      </c>
      <c r="H26" s="368"/>
      <c r="I26" s="642" t="n">
        <f aca="false">IF(E26&lt;&gt;0,SUM(I16:I25)/E26,0)</f>
        <v>0</v>
      </c>
      <c r="J26" s="640" t="n">
        <f aca="false">COUNTIF(J16:J25,$Q$4)</f>
        <v>0</v>
      </c>
      <c r="K26" s="640" t="n">
        <f aca="false">COUNTIF(K16:K25,$Q$4)</f>
        <v>0</v>
      </c>
      <c r="L26" s="640" t="n">
        <f aca="false">COUNTIF(L16:L25,$Q$4)</f>
        <v>0</v>
      </c>
      <c r="M26" s="640" t="n">
        <f aca="false">COUNTIF(M16:M25,$Q$4)</f>
        <v>0</v>
      </c>
      <c r="N26" s="640" t="n">
        <f aca="false">COUNTIF(N16:N25,$Q$4)</f>
        <v>0</v>
      </c>
      <c r="O26" s="640" t="n">
        <f aca="false">COUNTIF(O16:O25,$Q$4)</f>
        <v>0</v>
      </c>
    </row>
    <row r="27" customFormat="false" ht="15" hidden="false" customHeight="false" outlineLevel="0" collapsed="false">
      <c r="A27" s="628" t="n">
        <f aca="false">'Listado CAPS'!A5</f>
        <v>0</v>
      </c>
      <c r="B27" s="628" t="n">
        <f aca="false">'Listado CAPS'!B5</f>
        <v>0</v>
      </c>
      <c r="C27" s="628" t="n">
        <f aca="false">'Listado CAPS'!C5</f>
        <v>0</v>
      </c>
      <c r="D27" s="628" t="str">
        <f aca="false">'Listado CAPS'!D5</f>
        <v>C</v>
      </c>
      <c r="E27" s="629" t="n">
        <v>0</v>
      </c>
      <c r="F27" s="630"/>
      <c r="G27" s="631"/>
      <c r="H27" s="630"/>
      <c r="I27" s="631"/>
      <c r="J27" s="632"/>
      <c r="K27" s="632"/>
      <c r="L27" s="632"/>
      <c r="M27" s="632"/>
      <c r="N27" s="632"/>
      <c r="O27" s="632"/>
    </row>
    <row r="28" customFormat="false" ht="15" hidden="false" customHeight="false" outlineLevel="0" collapsed="false">
      <c r="A28" s="628"/>
      <c r="B28" s="628"/>
      <c r="C28" s="628"/>
      <c r="D28" s="628"/>
      <c r="E28" s="633"/>
      <c r="F28" s="630"/>
      <c r="G28" s="632"/>
      <c r="H28" s="634"/>
      <c r="I28" s="632"/>
      <c r="J28" s="632"/>
      <c r="K28" s="632"/>
      <c r="L28" s="632"/>
      <c r="M28" s="632"/>
      <c r="N28" s="632"/>
      <c r="O28" s="632"/>
    </row>
    <row r="29" customFormat="false" ht="15" hidden="false" customHeight="false" outlineLevel="0" collapsed="false">
      <c r="A29" s="628"/>
      <c r="B29" s="628"/>
      <c r="C29" s="628"/>
      <c r="D29" s="628"/>
      <c r="E29" s="633"/>
      <c r="F29" s="630"/>
      <c r="G29" s="632"/>
      <c r="H29" s="634"/>
      <c r="I29" s="632"/>
      <c r="J29" s="632"/>
      <c r="K29" s="632"/>
      <c r="L29" s="632"/>
      <c r="M29" s="632"/>
      <c r="N29" s="632"/>
      <c r="O29" s="632"/>
    </row>
    <row r="30" customFormat="false" ht="15" hidden="false" customHeight="false" outlineLevel="0" collapsed="false">
      <c r="A30" s="628"/>
      <c r="B30" s="628"/>
      <c r="C30" s="628"/>
      <c r="D30" s="628"/>
      <c r="E30" s="633"/>
      <c r="F30" s="630"/>
      <c r="G30" s="632"/>
      <c r="H30" s="634"/>
      <c r="I30" s="632"/>
      <c r="J30" s="632"/>
      <c r="K30" s="632"/>
      <c r="L30" s="632"/>
      <c r="M30" s="632"/>
      <c r="N30" s="632"/>
      <c r="O30" s="632"/>
    </row>
    <row r="31" customFormat="false" ht="15" hidden="false" customHeight="false" outlineLevel="0" collapsed="false">
      <c r="A31" s="628"/>
      <c r="B31" s="628"/>
      <c r="C31" s="628"/>
      <c r="D31" s="628"/>
      <c r="E31" s="633"/>
      <c r="F31" s="630"/>
      <c r="G31" s="632"/>
      <c r="H31" s="634"/>
      <c r="I31" s="632"/>
      <c r="J31" s="632"/>
      <c r="K31" s="632"/>
      <c r="L31" s="632"/>
      <c r="M31" s="632"/>
      <c r="N31" s="632"/>
      <c r="O31" s="632"/>
    </row>
    <row r="32" customFormat="false" ht="15" hidden="false" customHeight="false" outlineLevel="0" collapsed="false">
      <c r="A32" s="628"/>
      <c r="B32" s="628"/>
      <c r="C32" s="628"/>
      <c r="D32" s="628"/>
      <c r="E32" s="633"/>
      <c r="F32" s="630"/>
      <c r="G32" s="632"/>
      <c r="H32" s="634"/>
      <c r="I32" s="632"/>
      <c r="J32" s="632"/>
      <c r="K32" s="632"/>
      <c r="L32" s="632"/>
      <c r="M32" s="632"/>
      <c r="N32" s="632"/>
      <c r="O32" s="632"/>
    </row>
    <row r="33" customFormat="false" ht="15" hidden="false" customHeight="false" outlineLevel="0" collapsed="false">
      <c r="A33" s="628"/>
      <c r="B33" s="628"/>
      <c r="C33" s="628"/>
      <c r="D33" s="628"/>
      <c r="E33" s="633"/>
      <c r="F33" s="630"/>
      <c r="G33" s="632"/>
      <c r="H33" s="634"/>
      <c r="I33" s="632"/>
      <c r="J33" s="632"/>
      <c r="K33" s="632"/>
      <c r="L33" s="632"/>
      <c r="M33" s="632"/>
      <c r="N33" s="632"/>
      <c r="O33" s="632"/>
    </row>
    <row r="34" customFormat="false" ht="15" hidden="false" customHeight="false" outlineLevel="0" collapsed="false">
      <c r="A34" s="628"/>
      <c r="B34" s="628"/>
      <c r="C34" s="628"/>
      <c r="D34" s="628"/>
      <c r="E34" s="633"/>
      <c r="F34" s="630"/>
      <c r="G34" s="632"/>
      <c r="H34" s="634"/>
      <c r="I34" s="632"/>
      <c r="J34" s="632"/>
      <c r="K34" s="632"/>
      <c r="L34" s="632"/>
      <c r="M34" s="632"/>
      <c r="N34" s="632"/>
      <c r="O34" s="632"/>
    </row>
    <row r="35" customFormat="false" ht="15" hidden="false" customHeight="false" outlineLevel="0" collapsed="false">
      <c r="A35" s="628"/>
      <c r="B35" s="628"/>
      <c r="C35" s="628"/>
      <c r="D35" s="628"/>
      <c r="E35" s="633"/>
      <c r="F35" s="630"/>
      <c r="G35" s="632"/>
      <c r="H35" s="634"/>
      <c r="I35" s="632"/>
      <c r="J35" s="632"/>
      <c r="K35" s="632"/>
      <c r="L35" s="632"/>
      <c r="M35" s="632"/>
      <c r="N35" s="632"/>
      <c r="O35" s="632"/>
    </row>
    <row r="36" customFormat="false" ht="15" hidden="false" customHeight="false" outlineLevel="0" collapsed="false">
      <c r="A36" s="628"/>
      <c r="B36" s="628"/>
      <c r="C36" s="628"/>
      <c r="D36" s="628"/>
      <c r="E36" s="636"/>
      <c r="F36" s="630"/>
      <c r="G36" s="637"/>
      <c r="H36" s="638"/>
      <c r="I36" s="637"/>
      <c r="J36" s="632"/>
      <c r="K36" s="632"/>
      <c r="L36" s="632"/>
      <c r="M36" s="632"/>
      <c r="N36" s="632"/>
      <c r="O36" s="632"/>
    </row>
    <row r="37" customFormat="false" ht="15" hidden="false" customHeight="false" outlineLevel="0" collapsed="false">
      <c r="A37" s="639" t="s">
        <v>366</v>
      </c>
      <c r="B37" s="639"/>
      <c r="C37" s="639"/>
      <c r="D37" s="639"/>
      <c r="E37" s="640" t="n">
        <f aca="false">AVERAGE(E27:E36)</f>
        <v>0</v>
      </c>
      <c r="F37" s="641"/>
      <c r="G37" s="642" t="n">
        <f aca="false">IF(E37&lt;&gt;0,SUM(G27:G36)/E37,0)</f>
        <v>0</v>
      </c>
      <c r="H37" s="368"/>
      <c r="I37" s="642" t="n">
        <f aca="false">IF(E37&lt;&gt;0,SUM(I27:I36)/E37,0)</f>
        <v>0</v>
      </c>
      <c r="J37" s="640" t="n">
        <f aca="false">COUNTIF(J27:J36,$Q$4)</f>
        <v>0</v>
      </c>
      <c r="K37" s="640" t="n">
        <f aca="false">COUNTIF(K27:K36,$Q$4)</f>
        <v>0</v>
      </c>
      <c r="L37" s="640" t="n">
        <f aca="false">COUNTIF(L27:L36,$Q$4)</f>
        <v>0</v>
      </c>
      <c r="M37" s="640" t="n">
        <f aca="false">COUNTIF(M27:M36,$Q$4)</f>
        <v>0</v>
      </c>
      <c r="N37" s="640" t="n">
        <f aca="false">COUNTIF(N27:N36,$Q$4)</f>
        <v>0</v>
      </c>
      <c r="O37" s="640" t="n">
        <f aca="false">COUNTIF(O27:O36,$Q$4)</f>
        <v>0</v>
      </c>
    </row>
    <row r="38" customFormat="false" ht="15" hidden="false" customHeight="false" outlineLevel="0" collapsed="false">
      <c r="A38" s="628" t="n">
        <f aca="false">'Listado CAPS'!A6</f>
        <v>0</v>
      </c>
      <c r="B38" s="628" t="n">
        <f aca="false">'Listado CAPS'!B6</f>
        <v>0</v>
      </c>
      <c r="C38" s="628" t="n">
        <f aca="false">'Listado CAPS'!C6</f>
        <v>0</v>
      </c>
      <c r="D38" s="628" t="str">
        <f aca="false">'Listado CAPS'!D6</f>
        <v>D</v>
      </c>
      <c r="E38" s="629" t="n">
        <v>0</v>
      </c>
      <c r="F38" s="630"/>
      <c r="G38" s="631"/>
      <c r="H38" s="630"/>
      <c r="I38" s="631"/>
      <c r="J38" s="632"/>
      <c r="K38" s="632"/>
      <c r="L38" s="632"/>
      <c r="M38" s="632"/>
      <c r="N38" s="632"/>
      <c r="O38" s="632"/>
    </row>
    <row r="39" customFormat="false" ht="15" hidden="false" customHeight="false" outlineLevel="0" collapsed="false">
      <c r="A39" s="628"/>
      <c r="B39" s="628"/>
      <c r="C39" s="628"/>
      <c r="D39" s="628"/>
      <c r="E39" s="633"/>
      <c r="F39" s="630"/>
      <c r="G39" s="632"/>
      <c r="H39" s="634"/>
      <c r="I39" s="632"/>
      <c r="J39" s="632"/>
      <c r="K39" s="632"/>
      <c r="L39" s="632"/>
      <c r="M39" s="632"/>
      <c r="N39" s="632"/>
      <c r="O39" s="632"/>
    </row>
    <row r="40" customFormat="false" ht="15" hidden="false" customHeight="false" outlineLevel="0" collapsed="false">
      <c r="A40" s="628"/>
      <c r="B40" s="628"/>
      <c r="C40" s="628"/>
      <c r="D40" s="628"/>
      <c r="E40" s="633"/>
      <c r="F40" s="630"/>
      <c r="G40" s="632"/>
      <c r="H40" s="634"/>
      <c r="I40" s="632"/>
      <c r="J40" s="632"/>
      <c r="K40" s="632"/>
      <c r="L40" s="632"/>
      <c r="M40" s="632"/>
      <c r="N40" s="632"/>
      <c r="O40" s="632"/>
    </row>
    <row r="41" customFormat="false" ht="15" hidden="false" customHeight="false" outlineLevel="0" collapsed="false">
      <c r="A41" s="628"/>
      <c r="B41" s="628"/>
      <c r="C41" s="628"/>
      <c r="D41" s="628"/>
      <c r="E41" s="633"/>
      <c r="F41" s="630"/>
      <c r="G41" s="632"/>
      <c r="H41" s="634"/>
      <c r="I41" s="632"/>
      <c r="J41" s="632"/>
      <c r="K41" s="632"/>
      <c r="L41" s="632"/>
      <c r="M41" s="632"/>
      <c r="N41" s="632"/>
      <c r="O41" s="632"/>
    </row>
    <row r="42" customFormat="false" ht="15" hidden="false" customHeight="false" outlineLevel="0" collapsed="false">
      <c r="A42" s="628"/>
      <c r="B42" s="628"/>
      <c r="C42" s="628"/>
      <c r="D42" s="628"/>
      <c r="E42" s="633"/>
      <c r="F42" s="630"/>
      <c r="G42" s="632"/>
      <c r="H42" s="634"/>
      <c r="I42" s="632"/>
      <c r="J42" s="632"/>
      <c r="K42" s="632"/>
      <c r="L42" s="632"/>
      <c r="M42" s="632"/>
      <c r="N42" s="632"/>
      <c r="O42" s="632"/>
    </row>
    <row r="43" customFormat="false" ht="15" hidden="false" customHeight="false" outlineLevel="0" collapsed="false">
      <c r="A43" s="628"/>
      <c r="B43" s="628"/>
      <c r="C43" s="628"/>
      <c r="D43" s="628"/>
      <c r="E43" s="633"/>
      <c r="F43" s="630"/>
      <c r="G43" s="632"/>
      <c r="H43" s="634"/>
      <c r="I43" s="632"/>
      <c r="J43" s="632"/>
      <c r="K43" s="632"/>
      <c r="L43" s="632"/>
      <c r="M43" s="632"/>
      <c r="N43" s="632"/>
      <c r="O43" s="632"/>
    </row>
    <row r="44" customFormat="false" ht="15" hidden="false" customHeight="false" outlineLevel="0" collapsed="false">
      <c r="A44" s="628"/>
      <c r="B44" s="628"/>
      <c r="C44" s="628"/>
      <c r="D44" s="628"/>
      <c r="E44" s="633"/>
      <c r="F44" s="630"/>
      <c r="G44" s="632"/>
      <c r="H44" s="634"/>
      <c r="I44" s="632"/>
      <c r="J44" s="632"/>
      <c r="K44" s="632"/>
      <c r="L44" s="632"/>
      <c r="M44" s="632"/>
      <c r="N44" s="632"/>
      <c r="O44" s="632"/>
    </row>
    <row r="45" customFormat="false" ht="15" hidden="false" customHeight="false" outlineLevel="0" collapsed="false">
      <c r="A45" s="628"/>
      <c r="B45" s="628"/>
      <c r="C45" s="628"/>
      <c r="D45" s="628"/>
      <c r="E45" s="633"/>
      <c r="F45" s="630"/>
      <c r="G45" s="632"/>
      <c r="H45" s="634"/>
      <c r="I45" s="632"/>
      <c r="J45" s="632"/>
      <c r="K45" s="632"/>
      <c r="L45" s="632"/>
      <c r="M45" s="632"/>
      <c r="N45" s="632"/>
      <c r="O45" s="632"/>
    </row>
    <row r="46" customFormat="false" ht="15" hidden="false" customHeight="false" outlineLevel="0" collapsed="false">
      <c r="A46" s="628"/>
      <c r="B46" s="628"/>
      <c r="C46" s="628"/>
      <c r="D46" s="628"/>
      <c r="E46" s="633"/>
      <c r="F46" s="630"/>
      <c r="G46" s="632"/>
      <c r="H46" s="634"/>
      <c r="I46" s="632"/>
      <c r="J46" s="632"/>
      <c r="K46" s="632"/>
      <c r="L46" s="632"/>
      <c r="M46" s="632"/>
      <c r="N46" s="632"/>
      <c r="O46" s="632"/>
    </row>
    <row r="47" customFormat="false" ht="15" hidden="false" customHeight="false" outlineLevel="0" collapsed="false">
      <c r="A47" s="628"/>
      <c r="B47" s="628"/>
      <c r="C47" s="628"/>
      <c r="D47" s="628"/>
      <c r="E47" s="636"/>
      <c r="F47" s="630"/>
      <c r="G47" s="637"/>
      <c r="H47" s="638"/>
      <c r="I47" s="637"/>
      <c r="J47" s="632"/>
      <c r="K47" s="632"/>
      <c r="L47" s="632"/>
      <c r="M47" s="632"/>
      <c r="N47" s="632"/>
      <c r="O47" s="632"/>
    </row>
    <row r="48" customFormat="false" ht="15" hidden="false" customHeight="false" outlineLevel="0" collapsed="false">
      <c r="A48" s="639" t="s">
        <v>366</v>
      </c>
      <c r="B48" s="639"/>
      <c r="C48" s="639"/>
      <c r="D48" s="639"/>
      <c r="E48" s="640" t="n">
        <f aca="false">AVERAGE(E38:E47)</f>
        <v>0</v>
      </c>
      <c r="F48" s="641"/>
      <c r="G48" s="642" t="n">
        <f aca="false">IF(E48&lt;&gt;0,SUM(G38:G47)/E48,0)</f>
        <v>0</v>
      </c>
      <c r="H48" s="368"/>
      <c r="I48" s="642" t="n">
        <f aca="false">IF(E48&lt;&gt;0,SUM(I38:I47)/E48,0)</f>
        <v>0</v>
      </c>
      <c r="J48" s="640" t="n">
        <f aca="false">COUNTIF(J38:J47,$Q$4)</f>
        <v>0</v>
      </c>
      <c r="K48" s="640" t="n">
        <f aca="false">COUNTIF(K38:K47,$Q$4)</f>
        <v>0</v>
      </c>
      <c r="L48" s="640" t="n">
        <f aca="false">COUNTIF(L38:L47,$Q$4)</f>
        <v>0</v>
      </c>
      <c r="M48" s="640" t="n">
        <f aca="false">COUNTIF(M38:M47,$Q$4)</f>
        <v>0</v>
      </c>
      <c r="N48" s="640" t="n">
        <f aca="false">COUNTIF(N38:N47,$Q$4)</f>
        <v>0</v>
      </c>
      <c r="O48" s="640" t="n">
        <f aca="false">COUNTIF(O38:O47,$Q$4)</f>
        <v>0</v>
      </c>
    </row>
    <row r="49" customFormat="false" ht="15" hidden="false" customHeight="false" outlineLevel="0" collapsed="false">
      <c r="A49" s="628" t="n">
        <f aca="false">'Listado CAPS'!A7</f>
        <v>0</v>
      </c>
      <c r="B49" s="628" t="n">
        <f aca="false">'Listado CAPS'!B7</f>
        <v>0</v>
      </c>
      <c r="C49" s="628" t="n">
        <f aca="false">'Listado CAPS'!C7</f>
        <v>0</v>
      </c>
      <c r="D49" s="628" t="str">
        <f aca="false">'Listado CAPS'!D7</f>
        <v>E</v>
      </c>
      <c r="E49" s="629" t="n">
        <v>0</v>
      </c>
      <c r="F49" s="630"/>
      <c r="G49" s="631"/>
      <c r="H49" s="630"/>
      <c r="I49" s="631"/>
      <c r="J49" s="632"/>
      <c r="K49" s="632"/>
      <c r="L49" s="632"/>
      <c r="M49" s="632"/>
      <c r="N49" s="632"/>
      <c r="O49" s="632"/>
    </row>
    <row r="50" customFormat="false" ht="15" hidden="false" customHeight="false" outlineLevel="0" collapsed="false">
      <c r="A50" s="628"/>
      <c r="B50" s="628"/>
      <c r="C50" s="628"/>
      <c r="D50" s="628"/>
      <c r="E50" s="633"/>
      <c r="F50" s="630"/>
      <c r="G50" s="632"/>
      <c r="H50" s="634"/>
      <c r="I50" s="632"/>
      <c r="J50" s="632"/>
      <c r="K50" s="632"/>
      <c r="L50" s="632"/>
      <c r="M50" s="632"/>
      <c r="N50" s="632"/>
      <c r="O50" s="632"/>
    </row>
    <row r="51" customFormat="false" ht="15" hidden="false" customHeight="false" outlineLevel="0" collapsed="false">
      <c r="A51" s="628"/>
      <c r="B51" s="628"/>
      <c r="C51" s="628"/>
      <c r="D51" s="628"/>
      <c r="E51" s="633"/>
      <c r="F51" s="630"/>
      <c r="G51" s="632"/>
      <c r="H51" s="634"/>
      <c r="I51" s="632"/>
      <c r="J51" s="632"/>
      <c r="K51" s="632"/>
      <c r="L51" s="632"/>
      <c r="M51" s="632"/>
      <c r="N51" s="632"/>
      <c r="O51" s="632"/>
    </row>
    <row r="52" customFormat="false" ht="15" hidden="false" customHeight="false" outlineLevel="0" collapsed="false">
      <c r="A52" s="628"/>
      <c r="B52" s="628"/>
      <c r="C52" s="628"/>
      <c r="D52" s="628"/>
      <c r="E52" s="633"/>
      <c r="F52" s="630"/>
      <c r="G52" s="632"/>
      <c r="H52" s="634"/>
      <c r="I52" s="632"/>
      <c r="J52" s="632"/>
      <c r="K52" s="632"/>
      <c r="L52" s="632"/>
      <c r="M52" s="632"/>
      <c r="N52" s="632"/>
      <c r="O52" s="632"/>
    </row>
    <row r="53" customFormat="false" ht="15" hidden="false" customHeight="false" outlineLevel="0" collapsed="false">
      <c r="A53" s="628"/>
      <c r="B53" s="628"/>
      <c r="C53" s="628"/>
      <c r="D53" s="628"/>
      <c r="E53" s="633"/>
      <c r="F53" s="630"/>
      <c r="G53" s="632"/>
      <c r="H53" s="634"/>
      <c r="I53" s="632"/>
      <c r="J53" s="632"/>
      <c r="K53" s="632"/>
      <c r="L53" s="632"/>
      <c r="M53" s="632"/>
      <c r="N53" s="632"/>
      <c r="O53" s="632"/>
    </row>
    <row r="54" customFormat="false" ht="15" hidden="false" customHeight="false" outlineLevel="0" collapsed="false">
      <c r="A54" s="628"/>
      <c r="B54" s="628"/>
      <c r="C54" s="628"/>
      <c r="D54" s="628"/>
      <c r="E54" s="633"/>
      <c r="F54" s="630"/>
      <c r="G54" s="632"/>
      <c r="H54" s="634"/>
      <c r="I54" s="632"/>
      <c r="J54" s="632"/>
      <c r="K54" s="632"/>
      <c r="L54" s="632"/>
      <c r="M54" s="632"/>
      <c r="N54" s="632"/>
      <c r="O54" s="632"/>
    </row>
    <row r="55" customFormat="false" ht="15" hidden="false" customHeight="false" outlineLevel="0" collapsed="false">
      <c r="A55" s="628"/>
      <c r="B55" s="628"/>
      <c r="C55" s="628"/>
      <c r="D55" s="628"/>
      <c r="E55" s="633"/>
      <c r="F55" s="630"/>
      <c r="G55" s="632"/>
      <c r="H55" s="634"/>
      <c r="I55" s="632"/>
      <c r="J55" s="632"/>
      <c r="K55" s="632"/>
      <c r="L55" s="632"/>
      <c r="M55" s="632"/>
      <c r="N55" s="632"/>
      <c r="O55" s="632"/>
    </row>
    <row r="56" customFormat="false" ht="15" hidden="false" customHeight="false" outlineLevel="0" collapsed="false">
      <c r="A56" s="628"/>
      <c r="B56" s="628"/>
      <c r="C56" s="628"/>
      <c r="D56" s="628"/>
      <c r="E56" s="633"/>
      <c r="F56" s="630"/>
      <c r="G56" s="632"/>
      <c r="H56" s="634"/>
      <c r="I56" s="632"/>
      <c r="J56" s="632"/>
      <c r="K56" s="632"/>
      <c r="L56" s="632"/>
      <c r="M56" s="632"/>
      <c r="N56" s="632"/>
      <c r="O56" s="632"/>
    </row>
    <row r="57" customFormat="false" ht="15" hidden="false" customHeight="false" outlineLevel="0" collapsed="false">
      <c r="A57" s="628"/>
      <c r="B57" s="628"/>
      <c r="C57" s="628"/>
      <c r="D57" s="628"/>
      <c r="E57" s="633"/>
      <c r="F57" s="630"/>
      <c r="G57" s="632"/>
      <c r="H57" s="634"/>
      <c r="I57" s="632"/>
      <c r="J57" s="632"/>
      <c r="K57" s="632"/>
      <c r="L57" s="632"/>
      <c r="M57" s="632"/>
      <c r="N57" s="632"/>
      <c r="O57" s="632"/>
    </row>
    <row r="58" customFormat="false" ht="15" hidden="false" customHeight="false" outlineLevel="0" collapsed="false">
      <c r="A58" s="628"/>
      <c r="B58" s="628"/>
      <c r="C58" s="628"/>
      <c r="D58" s="628"/>
      <c r="E58" s="636"/>
      <c r="F58" s="630"/>
      <c r="G58" s="637"/>
      <c r="H58" s="638"/>
      <c r="I58" s="637"/>
      <c r="J58" s="632"/>
      <c r="K58" s="632"/>
      <c r="L58" s="632"/>
      <c r="M58" s="632"/>
      <c r="N58" s="632"/>
      <c r="O58" s="632"/>
    </row>
    <row r="59" customFormat="false" ht="15" hidden="false" customHeight="false" outlineLevel="0" collapsed="false">
      <c r="A59" s="639" t="s">
        <v>366</v>
      </c>
      <c r="B59" s="639"/>
      <c r="C59" s="639"/>
      <c r="D59" s="639"/>
      <c r="E59" s="640" t="n">
        <f aca="false">AVERAGE(E49:E58)</f>
        <v>0</v>
      </c>
      <c r="F59" s="641"/>
      <c r="G59" s="642" t="n">
        <f aca="false">IF(E59&lt;&gt;0,SUM(G49:G58)/E59,0)</f>
        <v>0</v>
      </c>
      <c r="H59" s="368"/>
      <c r="I59" s="642" t="n">
        <f aca="false">IF(E59&lt;&gt;0,SUM(I49:I58)/E59,0)</f>
        <v>0</v>
      </c>
      <c r="J59" s="640" t="n">
        <f aca="false">COUNTIF(J49:J58,$Q$4)</f>
        <v>0</v>
      </c>
      <c r="K59" s="640" t="n">
        <f aca="false">COUNTIF(K49:K58,$Q$4)</f>
        <v>0</v>
      </c>
      <c r="L59" s="640" t="n">
        <f aca="false">COUNTIF(L49:L58,$Q$4)</f>
        <v>0</v>
      </c>
      <c r="M59" s="640" t="n">
        <f aca="false">COUNTIF(M49:M58,$Q$4)</f>
        <v>0</v>
      </c>
      <c r="N59" s="640" t="n">
        <f aca="false">COUNTIF(N49:N58,$Q$4)</f>
        <v>0</v>
      </c>
      <c r="O59" s="640" t="n">
        <f aca="false">COUNTIF(O49:O58,$Q$4)</f>
        <v>0</v>
      </c>
    </row>
    <row r="60" customFormat="false" ht="15" hidden="false" customHeight="false" outlineLevel="0" collapsed="false">
      <c r="A60" s="628" t="n">
        <f aca="false">'Listado CAPS'!A8</f>
        <v>0</v>
      </c>
      <c r="B60" s="628" t="n">
        <f aca="false">'Listado CAPS'!B8</f>
        <v>0</v>
      </c>
      <c r="C60" s="628" t="n">
        <f aca="false">'Listado CAPS'!C8</f>
        <v>0</v>
      </c>
      <c r="D60" s="628" t="str">
        <f aca="false">'Listado CAPS'!D8</f>
        <v>F</v>
      </c>
      <c r="E60" s="629" t="n">
        <v>0</v>
      </c>
      <c r="F60" s="630"/>
      <c r="G60" s="631"/>
      <c r="H60" s="630"/>
      <c r="I60" s="631"/>
      <c r="J60" s="632"/>
      <c r="K60" s="632"/>
      <c r="L60" s="632"/>
      <c r="M60" s="632"/>
      <c r="N60" s="632"/>
      <c r="O60" s="632"/>
    </row>
    <row r="61" customFormat="false" ht="15" hidden="false" customHeight="false" outlineLevel="0" collapsed="false">
      <c r="A61" s="628"/>
      <c r="B61" s="628"/>
      <c r="C61" s="628"/>
      <c r="D61" s="628"/>
      <c r="E61" s="633"/>
      <c r="F61" s="630"/>
      <c r="G61" s="632"/>
      <c r="H61" s="634"/>
      <c r="I61" s="632"/>
      <c r="J61" s="632"/>
      <c r="K61" s="632"/>
      <c r="L61" s="632"/>
      <c r="M61" s="632"/>
      <c r="N61" s="632"/>
      <c r="O61" s="632"/>
    </row>
    <row r="62" customFormat="false" ht="15" hidden="false" customHeight="false" outlineLevel="0" collapsed="false">
      <c r="A62" s="628"/>
      <c r="B62" s="628"/>
      <c r="C62" s="628"/>
      <c r="D62" s="628"/>
      <c r="E62" s="633"/>
      <c r="F62" s="630"/>
      <c r="G62" s="632"/>
      <c r="H62" s="634"/>
      <c r="I62" s="632"/>
      <c r="J62" s="632"/>
      <c r="K62" s="632"/>
      <c r="L62" s="632"/>
      <c r="M62" s="632"/>
      <c r="N62" s="632"/>
      <c r="O62" s="632"/>
    </row>
    <row r="63" customFormat="false" ht="15" hidden="false" customHeight="false" outlineLevel="0" collapsed="false">
      <c r="A63" s="628"/>
      <c r="B63" s="628"/>
      <c r="C63" s="628"/>
      <c r="D63" s="628"/>
      <c r="E63" s="633"/>
      <c r="F63" s="630"/>
      <c r="G63" s="632"/>
      <c r="H63" s="634"/>
      <c r="I63" s="632"/>
      <c r="J63" s="632"/>
      <c r="K63" s="632"/>
      <c r="L63" s="632"/>
      <c r="M63" s="632"/>
      <c r="N63" s="632"/>
      <c r="O63" s="632"/>
    </row>
    <row r="64" customFormat="false" ht="15" hidden="false" customHeight="false" outlineLevel="0" collapsed="false">
      <c r="A64" s="628"/>
      <c r="B64" s="628"/>
      <c r="C64" s="628"/>
      <c r="D64" s="628"/>
      <c r="E64" s="633"/>
      <c r="F64" s="630"/>
      <c r="G64" s="632"/>
      <c r="H64" s="634"/>
      <c r="I64" s="632"/>
      <c r="J64" s="632"/>
      <c r="K64" s="632"/>
      <c r="L64" s="632"/>
      <c r="M64" s="632"/>
      <c r="N64" s="632"/>
      <c r="O64" s="632"/>
    </row>
    <row r="65" customFormat="false" ht="15" hidden="false" customHeight="false" outlineLevel="0" collapsed="false">
      <c r="A65" s="628"/>
      <c r="B65" s="628"/>
      <c r="C65" s="628"/>
      <c r="D65" s="628"/>
      <c r="E65" s="633"/>
      <c r="F65" s="630"/>
      <c r="G65" s="632"/>
      <c r="H65" s="634"/>
      <c r="I65" s="632"/>
      <c r="J65" s="632"/>
      <c r="K65" s="632"/>
      <c r="L65" s="632"/>
      <c r="M65" s="632"/>
      <c r="N65" s="632"/>
      <c r="O65" s="632"/>
    </row>
    <row r="66" customFormat="false" ht="15" hidden="false" customHeight="false" outlineLevel="0" collapsed="false">
      <c r="A66" s="628"/>
      <c r="B66" s="628"/>
      <c r="C66" s="628"/>
      <c r="D66" s="628"/>
      <c r="E66" s="633"/>
      <c r="F66" s="630"/>
      <c r="G66" s="632"/>
      <c r="H66" s="634"/>
      <c r="I66" s="632"/>
      <c r="J66" s="632"/>
      <c r="K66" s="632"/>
      <c r="L66" s="632"/>
      <c r="M66" s="632"/>
      <c r="N66" s="632"/>
      <c r="O66" s="632"/>
    </row>
    <row r="67" customFormat="false" ht="15" hidden="false" customHeight="false" outlineLevel="0" collapsed="false">
      <c r="A67" s="628"/>
      <c r="B67" s="628"/>
      <c r="C67" s="628"/>
      <c r="D67" s="628"/>
      <c r="E67" s="633"/>
      <c r="F67" s="630"/>
      <c r="G67" s="632"/>
      <c r="H67" s="634"/>
      <c r="I67" s="632"/>
      <c r="J67" s="632"/>
      <c r="K67" s="632"/>
      <c r="L67" s="632"/>
      <c r="M67" s="632"/>
      <c r="N67" s="632"/>
      <c r="O67" s="632"/>
    </row>
    <row r="68" customFormat="false" ht="15" hidden="false" customHeight="false" outlineLevel="0" collapsed="false">
      <c r="A68" s="628"/>
      <c r="B68" s="628"/>
      <c r="C68" s="628"/>
      <c r="D68" s="628"/>
      <c r="E68" s="633"/>
      <c r="F68" s="630"/>
      <c r="G68" s="632"/>
      <c r="H68" s="634"/>
      <c r="I68" s="632"/>
      <c r="J68" s="632"/>
      <c r="K68" s="632"/>
      <c r="L68" s="632"/>
      <c r="M68" s="632"/>
      <c r="N68" s="632"/>
      <c r="O68" s="632"/>
    </row>
    <row r="69" customFormat="false" ht="15" hidden="false" customHeight="false" outlineLevel="0" collapsed="false">
      <c r="A69" s="628"/>
      <c r="B69" s="628"/>
      <c r="C69" s="628"/>
      <c r="D69" s="628"/>
      <c r="E69" s="636"/>
      <c r="F69" s="630"/>
      <c r="G69" s="637"/>
      <c r="H69" s="638"/>
      <c r="I69" s="637"/>
      <c r="J69" s="632"/>
      <c r="K69" s="632"/>
      <c r="L69" s="632"/>
      <c r="M69" s="632"/>
      <c r="N69" s="632"/>
      <c r="O69" s="632"/>
    </row>
    <row r="70" customFormat="false" ht="15" hidden="false" customHeight="false" outlineLevel="0" collapsed="false">
      <c r="A70" s="639" t="s">
        <v>366</v>
      </c>
      <c r="B70" s="639"/>
      <c r="C70" s="639"/>
      <c r="D70" s="639"/>
      <c r="E70" s="640" t="n">
        <f aca="false">AVERAGE(E60:E69)</f>
        <v>0</v>
      </c>
      <c r="F70" s="641"/>
      <c r="G70" s="642" t="n">
        <f aca="false">IF(E70&lt;&gt;0,SUM(G60:G69)/E70,0)</f>
        <v>0</v>
      </c>
      <c r="H70" s="368"/>
      <c r="I70" s="642" t="n">
        <f aca="false">IF(E70&lt;&gt;0,SUM(I60:I69)/E70,0)</f>
        <v>0</v>
      </c>
      <c r="J70" s="640" t="n">
        <f aca="false">COUNTIF(J60:J69,$Q$4)</f>
        <v>0</v>
      </c>
      <c r="K70" s="640" t="n">
        <f aca="false">COUNTIF(K60:K69,$Q$4)</f>
        <v>0</v>
      </c>
      <c r="L70" s="640" t="n">
        <f aca="false">COUNTIF(L60:L69,$Q$4)</f>
        <v>0</v>
      </c>
      <c r="M70" s="640" t="n">
        <f aca="false">COUNTIF(M60:M69,$Q$4)</f>
        <v>0</v>
      </c>
      <c r="N70" s="640" t="n">
        <f aca="false">COUNTIF(N60:N69,$Q$4)</f>
        <v>0</v>
      </c>
      <c r="O70" s="640" t="n">
        <f aca="false">COUNTIF(O60:O69,$Q$4)</f>
        <v>0</v>
      </c>
    </row>
    <row r="71" customFormat="false" ht="15" hidden="false" customHeight="false" outlineLevel="0" collapsed="false">
      <c r="A71" s="628" t="n">
        <f aca="false">'Listado CAPS'!A9</f>
        <v>0</v>
      </c>
      <c r="B71" s="628" t="n">
        <f aca="false">'Listado CAPS'!B9</f>
        <v>0</v>
      </c>
      <c r="C71" s="628" t="n">
        <f aca="false">'Listado CAPS'!C9</f>
        <v>0</v>
      </c>
      <c r="D71" s="628" t="str">
        <f aca="false">'Listado CAPS'!D9</f>
        <v>G</v>
      </c>
      <c r="E71" s="629" t="n">
        <v>0</v>
      </c>
      <c r="F71" s="630"/>
      <c r="G71" s="631"/>
      <c r="H71" s="630"/>
      <c r="I71" s="631"/>
      <c r="J71" s="632"/>
      <c r="K71" s="632"/>
      <c r="L71" s="632"/>
      <c r="M71" s="632"/>
      <c r="N71" s="632"/>
      <c r="O71" s="632"/>
    </row>
    <row r="72" customFormat="false" ht="15" hidden="false" customHeight="false" outlineLevel="0" collapsed="false">
      <c r="A72" s="628"/>
      <c r="B72" s="628"/>
      <c r="C72" s="628"/>
      <c r="D72" s="628"/>
      <c r="E72" s="633"/>
      <c r="F72" s="630"/>
      <c r="G72" s="632"/>
      <c r="H72" s="634"/>
      <c r="I72" s="632"/>
      <c r="J72" s="632"/>
      <c r="K72" s="632"/>
      <c r="L72" s="632"/>
      <c r="M72" s="632"/>
      <c r="N72" s="632"/>
      <c r="O72" s="632"/>
    </row>
    <row r="73" customFormat="false" ht="15" hidden="false" customHeight="false" outlineLevel="0" collapsed="false">
      <c r="A73" s="628"/>
      <c r="B73" s="628"/>
      <c r="C73" s="628"/>
      <c r="D73" s="628"/>
      <c r="E73" s="633"/>
      <c r="F73" s="630"/>
      <c r="G73" s="632"/>
      <c r="H73" s="634"/>
      <c r="I73" s="632"/>
      <c r="J73" s="632"/>
      <c r="K73" s="632"/>
      <c r="L73" s="632"/>
      <c r="M73" s="632"/>
      <c r="N73" s="632"/>
      <c r="O73" s="632"/>
    </row>
    <row r="74" customFormat="false" ht="15" hidden="false" customHeight="false" outlineLevel="0" collapsed="false">
      <c r="A74" s="628"/>
      <c r="B74" s="628"/>
      <c r="C74" s="628"/>
      <c r="D74" s="628"/>
      <c r="E74" s="633"/>
      <c r="F74" s="630"/>
      <c r="G74" s="632"/>
      <c r="H74" s="634"/>
      <c r="I74" s="632"/>
      <c r="J74" s="632"/>
      <c r="K74" s="632"/>
      <c r="L74" s="632"/>
      <c r="M74" s="632"/>
      <c r="N74" s="632"/>
      <c r="O74" s="632"/>
    </row>
    <row r="75" customFormat="false" ht="15" hidden="false" customHeight="false" outlineLevel="0" collapsed="false">
      <c r="A75" s="628"/>
      <c r="B75" s="628"/>
      <c r="C75" s="628"/>
      <c r="D75" s="628"/>
      <c r="E75" s="633"/>
      <c r="F75" s="630"/>
      <c r="G75" s="632"/>
      <c r="H75" s="634"/>
      <c r="I75" s="632"/>
      <c r="J75" s="632"/>
      <c r="K75" s="632"/>
      <c r="L75" s="632"/>
      <c r="M75" s="632"/>
      <c r="N75" s="632"/>
      <c r="O75" s="632"/>
    </row>
    <row r="76" customFormat="false" ht="15" hidden="false" customHeight="false" outlineLevel="0" collapsed="false">
      <c r="A76" s="628"/>
      <c r="B76" s="628"/>
      <c r="C76" s="628"/>
      <c r="D76" s="628"/>
      <c r="E76" s="633"/>
      <c r="F76" s="630"/>
      <c r="G76" s="632"/>
      <c r="H76" s="634"/>
      <c r="I76" s="632"/>
      <c r="J76" s="632"/>
      <c r="K76" s="632"/>
      <c r="L76" s="632"/>
      <c r="M76" s="632"/>
      <c r="N76" s="632"/>
      <c r="O76" s="632"/>
    </row>
    <row r="77" customFormat="false" ht="15" hidden="false" customHeight="false" outlineLevel="0" collapsed="false">
      <c r="A77" s="628"/>
      <c r="B77" s="628"/>
      <c r="C77" s="628"/>
      <c r="D77" s="628"/>
      <c r="E77" s="633"/>
      <c r="F77" s="630"/>
      <c r="G77" s="632"/>
      <c r="H77" s="634"/>
      <c r="I77" s="632"/>
      <c r="J77" s="632"/>
      <c r="K77" s="632"/>
      <c r="L77" s="632"/>
      <c r="M77" s="632"/>
      <c r="N77" s="632"/>
      <c r="O77" s="632"/>
    </row>
    <row r="78" customFormat="false" ht="15" hidden="false" customHeight="false" outlineLevel="0" collapsed="false">
      <c r="A78" s="628"/>
      <c r="B78" s="628"/>
      <c r="C78" s="628"/>
      <c r="D78" s="628"/>
      <c r="E78" s="633"/>
      <c r="F78" s="630"/>
      <c r="G78" s="632"/>
      <c r="H78" s="634"/>
      <c r="I78" s="632"/>
      <c r="J78" s="632"/>
      <c r="K78" s="632"/>
      <c r="L78" s="632"/>
      <c r="M78" s="632"/>
      <c r="N78" s="632"/>
      <c r="O78" s="632"/>
    </row>
    <row r="79" customFormat="false" ht="15" hidden="false" customHeight="false" outlineLevel="0" collapsed="false">
      <c r="A79" s="628"/>
      <c r="B79" s="628"/>
      <c r="C79" s="628"/>
      <c r="D79" s="628"/>
      <c r="E79" s="633"/>
      <c r="F79" s="630"/>
      <c r="G79" s="632"/>
      <c r="H79" s="634"/>
      <c r="I79" s="632"/>
      <c r="J79" s="632"/>
      <c r="K79" s="632"/>
      <c r="L79" s="632"/>
      <c r="M79" s="632"/>
      <c r="N79" s="632"/>
      <c r="O79" s="632"/>
    </row>
    <row r="80" customFormat="false" ht="15" hidden="false" customHeight="false" outlineLevel="0" collapsed="false">
      <c r="A80" s="628"/>
      <c r="B80" s="628"/>
      <c r="C80" s="628"/>
      <c r="D80" s="628"/>
      <c r="E80" s="636"/>
      <c r="F80" s="630"/>
      <c r="G80" s="637"/>
      <c r="H80" s="638"/>
      <c r="I80" s="637"/>
      <c r="J80" s="632"/>
      <c r="K80" s="632"/>
      <c r="L80" s="632"/>
      <c r="M80" s="632"/>
      <c r="N80" s="632"/>
      <c r="O80" s="632"/>
    </row>
    <row r="81" customFormat="false" ht="15" hidden="false" customHeight="false" outlineLevel="0" collapsed="false">
      <c r="A81" s="639" t="s">
        <v>366</v>
      </c>
      <c r="B81" s="639"/>
      <c r="C81" s="639"/>
      <c r="D81" s="639"/>
      <c r="E81" s="640" t="n">
        <f aca="false">AVERAGE(E71:E80)</f>
        <v>0</v>
      </c>
      <c r="F81" s="641"/>
      <c r="G81" s="642" t="n">
        <f aca="false">IF(E81&lt;&gt;0,SUM(G71:G80)/E81,0)</f>
        <v>0</v>
      </c>
      <c r="H81" s="368"/>
      <c r="I81" s="642" t="n">
        <f aca="false">IF(E81&lt;&gt;0,SUM(I71:I80)/E81,0)</f>
        <v>0</v>
      </c>
      <c r="J81" s="640" t="n">
        <f aca="false">COUNTIF(J71:J80,$Q$4)</f>
        <v>0</v>
      </c>
      <c r="K81" s="640" t="n">
        <f aca="false">COUNTIF(K71:K80,$Q$4)</f>
        <v>0</v>
      </c>
      <c r="L81" s="640" t="n">
        <f aca="false">COUNTIF(L71:L80,$Q$4)</f>
        <v>0</v>
      </c>
      <c r="M81" s="640" t="n">
        <f aca="false">COUNTIF(M71:M80,$Q$4)</f>
        <v>0</v>
      </c>
      <c r="N81" s="640" t="n">
        <f aca="false">COUNTIF(N71:N80,$Q$4)</f>
        <v>0</v>
      </c>
      <c r="O81" s="640" t="n">
        <f aca="false">COUNTIF(O71:O80,$Q$4)</f>
        <v>0</v>
      </c>
    </row>
    <row r="82" customFormat="false" ht="15" hidden="false" customHeight="false" outlineLevel="0" collapsed="false">
      <c r="A82" s="628" t="n">
        <f aca="false">'Listado CAPS'!A10</f>
        <v>0</v>
      </c>
      <c r="B82" s="628" t="n">
        <f aca="false">'Listado CAPS'!B10</f>
        <v>0</v>
      </c>
      <c r="C82" s="628" t="n">
        <f aca="false">'Listado CAPS'!C10</f>
        <v>0</v>
      </c>
      <c r="D82" s="628" t="str">
        <f aca="false">'Listado CAPS'!D10</f>
        <v>H</v>
      </c>
      <c r="E82" s="629" t="n">
        <v>0</v>
      </c>
      <c r="F82" s="630"/>
      <c r="G82" s="631"/>
      <c r="H82" s="630"/>
      <c r="I82" s="631"/>
      <c r="J82" s="632"/>
      <c r="K82" s="632"/>
      <c r="L82" s="632"/>
      <c r="M82" s="632"/>
      <c r="N82" s="632"/>
      <c r="O82" s="632"/>
    </row>
    <row r="83" customFormat="false" ht="15" hidden="false" customHeight="false" outlineLevel="0" collapsed="false">
      <c r="A83" s="628"/>
      <c r="B83" s="628"/>
      <c r="C83" s="628"/>
      <c r="D83" s="628"/>
      <c r="E83" s="633"/>
      <c r="F83" s="630"/>
      <c r="G83" s="632"/>
      <c r="H83" s="634"/>
      <c r="I83" s="632"/>
      <c r="J83" s="632"/>
      <c r="K83" s="632"/>
      <c r="L83" s="632"/>
      <c r="M83" s="632"/>
      <c r="N83" s="632"/>
      <c r="O83" s="632"/>
    </row>
    <row r="84" customFormat="false" ht="15" hidden="false" customHeight="false" outlineLevel="0" collapsed="false">
      <c r="A84" s="628"/>
      <c r="B84" s="628"/>
      <c r="C84" s="628"/>
      <c r="D84" s="628"/>
      <c r="E84" s="633"/>
      <c r="F84" s="630"/>
      <c r="G84" s="632"/>
      <c r="H84" s="634"/>
      <c r="I84" s="632"/>
      <c r="J84" s="632"/>
      <c r="K84" s="632"/>
      <c r="L84" s="632"/>
      <c r="M84" s="632"/>
      <c r="N84" s="632"/>
      <c r="O84" s="632"/>
    </row>
    <row r="85" customFormat="false" ht="15" hidden="false" customHeight="false" outlineLevel="0" collapsed="false">
      <c r="A85" s="628"/>
      <c r="B85" s="628"/>
      <c r="C85" s="628"/>
      <c r="D85" s="628"/>
      <c r="E85" s="633"/>
      <c r="F85" s="630"/>
      <c r="G85" s="632"/>
      <c r="H85" s="634"/>
      <c r="I85" s="632"/>
      <c r="J85" s="632"/>
      <c r="K85" s="632"/>
      <c r="L85" s="632"/>
      <c r="M85" s="632"/>
      <c r="N85" s="632"/>
      <c r="O85" s="632"/>
    </row>
    <row r="86" customFormat="false" ht="15" hidden="false" customHeight="false" outlineLevel="0" collapsed="false">
      <c r="A86" s="628"/>
      <c r="B86" s="628"/>
      <c r="C86" s="628"/>
      <c r="D86" s="628"/>
      <c r="E86" s="633"/>
      <c r="F86" s="630"/>
      <c r="G86" s="632"/>
      <c r="H86" s="634"/>
      <c r="I86" s="632"/>
      <c r="J86" s="632"/>
      <c r="K86" s="632"/>
      <c r="L86" s="632"/>
      <c r="M86" s="632"/>
      <c r="N86" s="632"/>
      <c r="O86" s="632"/>
    </row>
    <row r="87" customFormat="false" ht="15" hidden="false" customHeight="false" outlineLevel="0" collapsed="false">
      <c r="A87" s="628"/>
      <c r="B87" s="628"/>
      <c r="C87" s="628"/>
      <c r="D87" s="628"/>
      <c r="E87" s="633"/>
      <c r="F87" s="630"/>
      <c r="G87" s="632"/>
      <c r="H87" s="634"/>
      <c r="I87" s="632"/>
      <c r="J87" s="632"/>
      <c r="K87" s="632"/>
      <c r="L87" s="632"/>
      <c r="M87" s="632"/>
      <c r="N87" s="632"/>
      <c r="O87" s="632"/>
    </row>
    <row r="88" customFormat="false" ht="15" hidden="false" customHeight="false" outlineLevel="0" collapsed="false">
      <c r="A88" s="628"/>
      <c r="B88" s="628"/>
      <c r="C88" s="628"/>
      <c r="D88" s="628"/>
      <c r="E88" s="633"/>
      <c r="F88" s="630"/>
      <c r="G88" s="632"/>
      <c r="H88" s="634"/>
      <c r="I88" s="632"/>
      <c r="J88" s="632"/>
      <c r="K88" s="632"/>
      <c r="L88" s="632"/>
      <c r="M88" s="632"/>
      <c r="N88" s="632"/>
      <c r="O88" s="632"/>
    </row>
    <row r="89" customFormat="false" ht="15" hidden="false" customHeight="false" outlineLevel="0" collapsed="false">
      <c r="A89" s="628"/>
      <c r="B89" s="628"/>
      <c r="C89" s="628"/>
      <c r="D89" s="628"/>
      <c r="E89" s="633"/>
      <c r="F89" s="630"/>
      <c r="G89" s="632"/>
      <c r="H89" s="634"/>
      <c r="I89" s="632"/>
      <c r="J89" s="632"/>
      <c r="K89" s="632"/>
      <c r="L89" s="632"/>
      <c r="M89" s="632"/>
      <c r="N89" s="632"/>
      <c r="O89" s="632"/>
    </row>
    <row r="90" customFormat="false" ht="15" hidden="false" customHeight="false" outlineLevel="0" collapsed="false">
      <c r="A90" s="628"/>
      <c r="B90" s="628"/>
      <c r="C90" s="628"/>
      <c r="D90" s="628"/>
      <c r="E90" s="633"/>
      <c r="F90" s="630"/>
      <c r="G90" s="632"/>
      <c r="H90" s="634"/>
      <c r="I90" s="632"/>
      <c r="J90" s="632"/>
      <c r="K90" s="632"/>
      <c r="L90" s="632"/>
      <c r="M90" s="632"/>
      <c r="N90" s="632"/>
      <c r="O90" s="632"/>
    </row>
    <row r="91" customFormat="false" ht="15" hidden="false" customHeight="false" outlineLevel="0" collapsed="false">
      <c r="A91" s="628"/>
      <c r="B91" s="628"/>
      <c r="C91" s="628"/>
      <c r="D91" s="628"/>
      <c r="E91" s="636"/>
      <c r="F91" s="630"/>
      <c r="G91" s="637"/>
      <c r="H91" s="638"/>
      <c r="I91" s="637"/>
      <c r="J91" s="632"/>
      <c r="K91" s="632"/>
      <c r="L91" s="632"/>
      <c r="M91" s="632"/>
      <c r="N91" s="632"/>
      <c r="O91" s="632"/>
    </row>
    <row r="92" customFormat="false" ht="15" hidden="false" customHeight="false" outlineLevel="0" collapsed="false">
      <c r="A92" s="639" t="s">
        <v>366</v>
      </c>
      <c r="B92" s="639"/>
      <c r="C92" s="639"/>
      <c r="D92" s="639"/>
      <c r="E92" s="640" t="n">
        <f aca="false">AVERAGE(E82:E91)</f>
        <v>0</v>
      </c>
      <c r="F92" s="641"/>
      <c r="G92" s="642" t="n">
        <f aca="false">IF(E92&lt;&gt;0,SUM(G82:G91)/E92,0)</f>
        <v>0</v>
      </c>
      <c r="H92" s="368"/>
      <c r="I92" s="642" t="n">
        <f aca="false">IF(E92&lt;&gt;0,SUM(I82:I91)/E92,0)</f>
        <v>0</v>
      </c>
      <c r="J92" s="640" t="n">
        <f aca="false">COUNTIF(J82:J91,$Q$4)</f>
        <v>0</v>
      </c>
      <c r="K92" s="640" t="n">
        <f aca="false">COUNTIF(K82:K91,$Q$4)</f>
        <v>0</v>
      </c>
      <c r="L92" s="640" t="n">
        <f aca="false">COUNTIF(L82:L91,$Q$4)</f>
        <v>0</v>
      </c>
      <c r="M92" s="640" t="n">
        <f aca="false">COUNTIF(M82:M91,$Q$4)</f>
        <v>0</v>
      </c>
      <c r="N92" s="640" t="n">
        <f aca="false">COUNTIF(N82:N91,$Q$4)</f>
        <v>0</v>
      </c>
      <c r="O92" s="640" t="n">
        <f aca="false">COUNTIF(O82:O91,$Q$4)</f>
        <v>0</v>
      </c>
    </row>
    <row r="93" customFormat="false" ht="15" hidden="false" customHeight="false" outlineLevel="0" collapsed="false">
      <c r="A93" s="628" t="n">
        <f aca="false">'Listado CAPS'!A11</f>
        <v>0</v>
      </c>
      <c r="B93" s="628" t="n">
        <f aca="false">'Listado CAPS'!B11</f>
        <v>0</v>
      </c>
      <c r="C93" s="628" t="n">
        <f aca="false">'Listado CAPS'!C11</f>
        <v>0</v>
      </c>
      <c r="D93" s="628" t="str">
        <f aca="false">'Listado CAPS'!D11</f>
        <v>I</v>
      </c>
      <c r="E93" s="629" t="n">
        <v>0</v>
      </c>
      <c r="F93" s="630"/>
      <c r="G93" s="631"/>
      <c r="H93" s="630"/>
      <c r="I93" s="631"/>
      <c r="J93" s="632"/>
      <c r="K93" s="632"/>
      <c r="L93" s="632"/>
      <c r="M93" s="632"/>
      <c r="N93" s="632"/>
      <c r="O93" s="632"/>
    </row>
    <row r="94" customFormat="false" ht="15" hidden="false" customHeight="false" outlineLevel="0" collapsed="false">
      <c r="A94" s="628"/>
      <c r="B94" s="628"/>
      <c r="C94" s="628"/>
      <c r="D94" s="628"/>
      <c r="E94" s="633"/>
      <c r="F94" s="630"/>
      <c r="G94" s="632"/>
      <c r="H94" s="634"/>
      <c r="I94" s="632"/>
      <c r="J94" s="632"/>
      <c r="K94" s="632"/>
      <c r="L94" s="632"/>
      <c r="M94" s="632"/>
      <c r="N94" s="632"/>
      <c r="O94" s="632"/>
    </row>
    <row r="95" customFormat="false" ht="15" hidden="false" customHeight="false" outlineLevel="0" collapsed="false">
      <c r="A95" s="628"/>
      <c r="B95" s="628"/>
      <c r="C95" s="628"/>
      <c r="D95" s="628"/>
      <c r="E95" s="633"/>
      <c r="F95" s="630"/>
      <c r="G95" s="632"/>
      <c r="H95" s="634"/>
      <c r="I95" s="632"/>
      <c r="J95" s="632"/>
      <c r="K95" s="632"/>
      <c r="L95" s="632"/>
      <c r="M95" s="632"/>
      <c r="N95" s="632"/>
      <c r="O95" s="632"/>
    </row>
    <row r="96" customFormat="false" ht="15" hidden="false" customHeight="false" outlineLevel="0" collapsed="false">
      <c r="A96" s="628"/>
      <c r="B96" s="628"/>
      <c r="C96" s="628"/>
      <c r="D96" s="628"/>
      <c r="E96" s="633"/>
      <c r="F96" s="630"/>
      <c r="G96" s="632"/>
      <c r="H96" s="634"/>
      <c r="I96" s="632"/>
      <c r="J96" s="632"/>
      <c r="K96" s="632"/>
      <c r="L96" s="632"/>
      <c r="M96" s="632"/>
      <c r="N96" s="632"/>
      <c r="O96" s="632"/>
    </row>
    <row r="97" customFormat="false" ht="15" hidden="false" customHeight="false" outlineLevel="0" collapsed="false">
      <c r="A97" s="628"/>
      <c r="B97" s="628"/>
      <c r="C97" s="628"/>
      <c r="D97" s="628"/>
      <c r="E97" s="633"/>
      <c r="F97" s="630"/>
      <c r="G97" s="632"/>
      <c r="H97" s="634"/>
      <c r="I97" s="632"/>
      <c r="J97" s="632"/>
      <c r="K97" s="632"/>
      <c r="L97" s="632"/>
      <c r="M97" s="632"/>
      <c r="N97" s="632"/>
      <c r="O97" s="632"/>
    </row>
    <row r="98" customFormat="false" ht="15" hidden="false" customHeight="false" outlineLevel="0" collapsed="false">
      <c r="A98" s="628"/>
      <c r="B98" s="628"/>
      <c r="C98" s="628"/>
      <c r="D98" s="628"/>
      <c r="E98" s="633"/>
      <c r="F98" s="630"/>
      <c r="G98" s="632"/>
      <c r="H98" s="634"/>
      <c r="I98" s="632"/>
      <c r="J98" s="632"/>
      <c r="K98" s="632"/>
      <c r="L98" s="632"/>
      <c r="M98" s="632"/>
      <c r="N98" s="632"/>
      <c r="O98" s="632"/>
    </row>
    <row r="99" customFormat="false" ht="15" hidden="false" customHeight="false" outlineLevel="0" collapsed="false">
      <c r="A99" s="628"/>
      <c r="B99" s="628"/>
      <c r="C99" s="628"/>
      <c r="D99" s="628"/>
      <c r="E99" s="633"/>
      <c r="F99" s="630"/>
      <c r="G99" s="632"/>
      <c r="H99" s="634"/>
      <c r="I99" s="632"/>
      <c r="J99" s="632"/>
      <c r="K99" s="632"/>
      <c r="L99" s="632"/>
      <c r="M99" s="632"/>
      <c r="N99" s="632"/>
      <c r="O99" s="632"/>
    </row>
    <row r="100" customFormat="false" ht="15" hidden="false" customHeight="false" outlineLevel="0" collapsed="false">
      <c r="A100" s="628"/>
      <c r="B100" s="628"/>
      <c r="C100" s="628"/>
      <c r="D100" s="628"/>
      <c r="E100" s="633"/>
      <c r="F100" s="630"/>
      <c r="G100" s="632"/>
      <c r="H100" s="634"/>
      <c r="I100" s="632"/>
      <c r="J100" s="632"/>
      <c r="K100" s="632"/>
      <c r="L100" s="632"/>
      <c r="M100" s="632"/>
      <c r="N100" s="632"/>
      <c r="O100" s="632"/>
    </row>
    <row r="101" customFormat="false" ht="15" hidden="false" customHeight="false" outlineLevel="0" collapsed="false">
      <c r="A101" s="628"/>
      <c r="B101" s="628"/>
      <c r="C101" s="628"/>
      <c r="D101" s="628"/>
      <c r="E101" s="633"/>
      <c r="F101" s="630"/>
      <c r="G101" s="632"/>
      <c r="H101" s="634"/>
      <c r="I101" s="632"/>
      <c r="J101" s="632"/>
      <c r="K101" s="632"/>
      <c r="L101" s="632"/>
      <c r="M101" s="632"/>
      <c r="N101" s="632"/>
      <c r="O101" s="632"/>
    </row>
    <row r="102" customFormat="false" ht="15" hidden="false" customHeight="false" outlineLevel="0" collapsed="false">
      <c r="A102" s="628"/>
      <c r="B102" s="628"/>
      <c r="C102" s="628"/>
      <c r="D102" s="628"/>
      <c r="E102" s="636"/>
      <c r="F102" s="630"/>
      <c r="G102" s="637"/>
      <c r="H102" s="638"/>
      <c r="I102" s="637"/>
      <c r="J102" s="632"/>
      <c r="K102" s="632"/>
      <c r="L102" s="632"/>
      <c r="M102" s="632"/>
      <c r="N102" s="632"/>
      <c r="O102" s="632"/>
    </row>
    <row r="103" customFormat="false" ht="15" hidden="false" customHeight="false" outlineLevel="0" collapsed="false">
      <c r="A103" s="639" t="s">
        <v>366</v>
      </c>
      <c r="B103" s="639"/>
      <c r="C103" s="639"/>
      <c r="D103" s="639"/>
      <c r="E103" s="640" t="n">
        <f aca="false">AVERAGE(E93:E102)</f>
        <v>0</v>
      </c>
      <c r="F103" s="641"/>
      <c r="G103" s="642" t="n">
        <f aca="false">IF(E103&lt;&gt;0,SUM(G93:G102)/E103,0)</f>
        <v>0</v>
      </c>
      <c r="H103" s="368"/>
      <c r="I103" s="642" t="n">
        <f aca="false">IF(E103&lt;&gt;0,SUM(I93:I102)/E103,0)</f>
        <v>0</v>
      </c>
      <c r="J103" s="640" t="n">
        <f aca="false">COUNTIF(J93:J102,$Q$4)</f>
        <v>0</v>
      </c>
      <c r="K103" s="640" t="n">
        <f aca="false">COUNTIF(K93:K102,$Q$4)</f>
        <v>0</v>
      </c>
      <c r="L103" s="640" t="n">
        <f aca="false">COUNTIF(L93:L102,$Q$4)</f>
        <v>0</v>
      </c>
      <c r="M103" s="640" t="n">
        <f aca="false">COUNTIF(M93:M102,$Q$4)</f>
        <v>0</v>
      </c>
      <c r="N103" s="640" t="n">
        <f aca="false">COUNTIF(N93:N102,$Q$4)</f>
        <v>0</v>
      </c>
      <c r="O103" s="640" t="n">
        <f aca="false">COUNTIF(O93:O102,$Q$4)</f>
        <v>0</v>
      </c>
    </row>
    <row r="104" customFormat="false" ht="15" hidden="false" customHeight="false" outlineLevel="0" collapsed="false">
      <c r="A104" s="628" t="n">
        <f aca="false">'Listado CAPS'!A12</f>
        <v>0</v>
      </c>
      <c r="B104" s="628" t="n">
        <f aca="false">'Listado CAPS'!B12</f>
        <v>0</v>
      </c>
      <c r="C104" s="628" t="n">
        <f aca="false">'Listado CAPS'!C12</f>
        <v>0</v>
      </c>
      <c r="D104" s="628" t="str">
        <f aca="false">'Listado CAPS'!D12</f>
        <v>J</v>
      </c>
      <c r="E104" s="629" t="n">
        <v>0</v>
      </c>
      <c r="F104" s="630"/>
      <c r="G104" s="631"/>
      <c r="H104" s="630"/>
      <c r="I104" s="631"/>
      <c r="J104" s="632"/>
      <c r="K104" s="632"/>
      <c r="L104" s="632"/>
      <c r="M104" s="632"/>
      <c r="N104" s="632"/>
      <c r="O104" s="632"/>
    </row>
    <row r="105" customFormat="false" ht="15" hidden="false" customHeight="false" outlineLevel="0" collapsed="false">
      <c r="A105" s="628"/>
      <c r="B105" s="628"/>
      <c r="C105" s="628"/>
      <c r="D105" s="628"/>
      <c r="E105" s="633"/>
      <c r="F105" s="630"/>
      <c r="G105" s="632"/>
      <c r="H105" s="634"/>
      <c r="I105" s="632"/>
      <c r="J105" s="632"/>
      <c r="K105" s="632"/>
      <c r="L105" s="632"/>
      <c r="M105" s="632"/>
      <c r="N105" s="632"/>
      <c r="O105" s="632"/>
    </row>
    <row r="106" customFormat="false" ht="15" hidden="false" customHeight="false" outlineLevel="0" collapsed="false">
      <c r="A106" s="628"/>
      <c r="B106" s="628"/>
      <c r="C106" s="628"/>
      <c r="D106" s="628"/>
      <c r="E106" s="633"/>
      <c r="F106" s="630"/>
      <c r="G106" s="632"/>
      <c r="H106" s="634"/>
      <c r="I106" s="632"/>
      <c r="J106" s="632"/>
      <c r="K106" s="632"/>
      <c r="L106" s="632"/>
      <c r="M106" s="632"/>
      <c r="N106" s="632"/>
      <c r="O106" s="632"/>
    </row>
    <row r="107" customFormat="false" ht="15" hidden="false" customHeight="false" outlineLevel="0" collapsed="false">
      <c r="A107" s="628"/>
      <c r="B107" s="628"/>
      <c r="C107" s="628"/>
      <c r="D107" s="628"/>
      <c r="E107" s="633"/>
      <c r="F107" s="630"/>
      <c r="G107" s="632"/>
      <c r="H107" s="634"/>
      <c r="I107" s="632"/>
      <c r="J107" s="632"/>
      <c r="K107" s="632"/>
      <c r="L107" s="632"/>
      <c r="M107" s="632"/>
      <c r="N107" s="632"/>
      <c r="O107" s="632"/>
    </row>
    <row r="108" customFormat="false" ht="15" hidden="false" customHeight="false" outlineLevel="0" collapsed="false">
      <c r="A108" s="628"/>
      <c r="B108" s="628"/>
      <c r="C108" s="628"/>
      <c r="D108" s="628"/>
      <c r="E108" s="633"/>
      <c r="F108" s="630"/>
      <c r="G108" s="632"/>
      <c r="H108" s="634"/>
      <c r="I108" s="632"/>
      <c r="J108" s="632"/>
      <c r="K108" s="632"/>
      <c r="L108" s="632"/>
      <c r="M108" s="632"/>
      <c r="N108" s="632"/>
      <c r="O108" s="632"/>
    </row>
    <row r="109" customFormat="false" ht="15" hidden="false" customHeight="false" outlineLevel="0" collapsed="false">
      <c r="A109" s="628"/>
      <c r="B109" s="628"/>
      <c r="C109" s="628"/>
      <c r="D109" s="628"/>
      <c r="E109" s="633"/>
      <c r="F109" s="630"/>
      <c r="G109" s="632"/>
      <c r="H109" s="634"/>
      <c r="I109" s="632"/>
      <c r="J109" s="632"/>
      <c r="K109" s="632"/>
      <c r="L109" s="632"/>
      <c r="M109" s="632"/>
      <c r="N109" s="632"/>
      <c r="O109" s="632"/>
    </row>
    <row r="110" customFormat="false" ht="15" hidden="false" customHeight="false" outlineLevel="0" collapsed="false">
      <c r="A110" s="628"/>
      <c r="B110" s="628"/>
      <c r="C110" s="628"/>
      <c r="D110" s="628"/>
      <c r="E110" s="633"/>
      <c r="F110" s="630"/>
      <c r="G110" s="632"/>
      <c r="H110" s="634"/>
      <c r="I110" s="632"/>
      <c r="J110" s="632"/>
      <c r="K110" s="632"/>
      <c r="L110" s="632"/>
      <c r="M110" s="632"/>
      <c r="N110" s="632"/>
      <c r="O110" s="632"/>
    </row>
    <row r="111" customFormat="false" ht="15" hidden="false" customHeight="false" outlineLevel="0" collapsed="false">
      <c r="A111" s="628"/>
      <c r="B111" s="628"/>
      <c r="C111" s="628"/>
      <c r="D111" s="628"/>
      <c r="E111" s="633"/>
      <c r="F111" s="630"/>
      <c r="G111" s="632"/>
      <c r="H111" s="634"/>
      <c r="I111" s="632"/>
      <c r="J111" s="632"/>
      <c r="K111" s="632"/>
      <c r="L111" s="632"/>
      <c r="M111" s="632"/>
      <c r="N111" s="632"/>
      <c r="O111" s="632"/>
    </row>
    <row r="112" customFormat="false" ht="15" hidden="false" customHeight="false" outlineLevel="0" collapsed="false">
      <c r="A112" s="628"/>
      <c r="B112" s="628"/>
      <c r="C112" s="628"/>
      <c r="D112" s="628"/>
      <c r="E112" s="633"/>
      <c r="F112" s="630"/>
      <c r="G112" s="632"/>
      <c r="H112" s="634"/>
      <c r="I112" s="632"/>
      <c r="J112" s="632"/>
      <c r="K112" s="632"/>
      <c r="L112" s="632"/>
      <c r="M112" s="632"/>
      <c r="N112" s="632"/>
      <c r="O112" s="632"/>
    </row>
    <row r="113" customFormat="false" ht="15" hidden="false" customHeight="false" outlineLevel="0" collapsed="false">
      <c r="A113" s="628"/>
      <c r="B113" s="628"/>
      <c r="C113" s="628"/>
      <c r="D113" s="628"/>
      <c r="E113" s="636"/>
      <c r="F113" s="630"/>
      <c r="G113" s="637"/>
      <c r="H113" s="638"/>
      <c r="I113" s="637"/>
      <c r="J113" s="632"/>
      <c r="K113" s="632"/>
      <c r="L113" s="632"/>
      <c r="M113" s="632"/>
      <c r="N113" s="632"/>
      <c r="O113" s="632"/>
    </row>
    <row r="114" customFormat="false" ht="15" hidden="false" customHeight="false" outlineLevel="0" collapsed="false">
      <c r="A114" s="639" t="s">
        <v>366</v>
      </c>
      <c r="B114" s="639"/>
      <c r="C114" s="639"/>
      <c r="D114" s="639"/>
      <c r="E114" s="640" t="n">
        <f aca="false">AVERAGE(E104:E113)</f>
        <v>0</v>
      </c>
      <c r="F114" s="641"/>
      <c r="G114" s="642" t="n">
        <f aca="false">IF(E114&lt;&gt;0,SUM(G104:G113)/E114,0)</f>
        <v>0</v>
      </c>
      <c r="H114" s="368"/>
      <c r="I114" s="642" t="n">
        <f aca="false">IF(E114&lt;&gt;0,SUM(I104:I113)/E114,0)</f>
        <v>0</v>
      </c>
      <c r="J114" s="640" t="n">
        <f aca="false">COUNTIF(J104:J113,$Q$4)</f>
        <v>0</v>
      </c>
      <c r="K114" s="640" t="n">
        <f aca="false">COUNTIF(K104:K113,$Q$4)</f>
        <v>0</v>
      </c>
      <c r="L114" s="640" t="n">
        <f aca="false">COUNTIF(L104:L113,$Q$4)</f>
        <v>0</v>
      </c>
      <c r="M114" s="640" t="n">
        <f aca="false">COUNTIF(M104:M113,$Q$4)</f>
        <v>0</v>
      </c>
      <c r="N114" s="640" t="n">
        <f aca="false">COUNTIF(N104:N113,$Q$4)</f>
        <v>0</v>
      </c>
      <c r="O114" s="640" t="n">
        <f aca="false">COUNTIF(O104:O113,$Q$4)</f>
        <v>0</v>
      </c>
    </row>
    <row r="115" customFormat="false" ht="15" hidden="false" customHeight="false" outlineLevel="0" collapsed="false">
      <c r="A115" s="628" t="n">
        <f aca="false">'Listado CAPS'!A13</f>
        <v>0</v>
      </c>
      <c r="B115" s="628" t="n">
        <f aca="false">'Listado CAPS'!B13</f>
        <v>0</v>
      </c>
      <c r="C115" s="628" t="n">
        <f aca="false">'Listado CAPS'!C13</f>
        <v>0</v>
      </c>
      <c r="D115" s="628" t="str">
        <f aca="false">'Listado CAPS'!D13</f>
        <v>K</v>
      </c>
      <c r="E115" s="629" t="n">
        <v>0</v>
      </c>
      <c r="F115" s="630"/>
      <c r="G115" s="631"/>
      <c r="H115" s="630"/>
      <c r="I115" s="631"/>
      <c r="J115" s="632"/>
      <c r="K115" s="632"/>
      <c r="L115" s="632"/>
      <c r="M115" s="632"/>
      <c r="N115" s="632"/>
      <c r="O115" s="632"/>
    </row>
    <row r="116" customFormat="false" ht="15" hidden="false" customHeight="false" outlineLevel="0" collapsed="false">
      <c r="A116" s="628"/>
      <c r="B116" s="628"/>
      <c r="C116" s="628"/>
      <c r="D116" s="628"/>
      <c r="E116" s="633"/>
      <c r="F116" s="630"/>
      <c r="G116" s="632"/>
      <c r="H116" s="634"/>
      <c r="I116" s="632"/>
      <c r="J116" s="632"/>
      <c r="K116" s="632"/>
      <c r="L116" s="632"/>
      <c r="M116" s="632"/>
      <c r="N116" s="632"/>
      <c r="O116" s="632"/>
    </row>
    <row r="117" customFormat="false" ht="15" hidden="false" customHeight="false" outlineLevel="0" collapsed="false">
      <c r="A117" s="628"/>
      <c r="B117" s="628"/>
      <c r="C117" s="628"/>
      <c r="D117" s="628"/>
      <c r="E117" s="633"/>
      <c r="F117" s="630"/>
      <c r="G117" s="632"/>
      <c r="H117" s="634"/>
      <c r="I117" s="632"/>
      <c r="J117" s="632"/>
      <c r="K117" s="632"/>
      <c r="L117" s="632"/>
      <c r="M117" s="632"/>
      <c r="N117" s="632"/>
      <c r="O117" s="632"/>
    </row>
    <row r="118" customFormat="false" ht="15" hidden="false" customHeight="false" outlineLevel="0" collapsed="false">
      <c r="A118" s="628"/>
      <c r="B118" s="628"/>
      <c r="C118" s="628"/>
      <c r="D118" s="628"/>
      <c r="E118" s="633"/>
      <c r="F118" s="630"/>
      <c r="G118" s="632"/>
      <c r="H118" s="634"/>
      <c r="I118" s="632"/>
      <c r="J118" s="632"/>
      <c r="K118" s="632"/>
      <c r="L118" s="632"/>
      <c r="M118" s="632"/>
      <c r="N118" s="632"/>
      <c r="O118" s="632"/>
    </row>
    <row r="119" customFormat="false" ht="15" hidden="false" customHeight="false" outlineLevel="0" collapsed="false">
      <c r="A119" s="628"/>
      <c r="B119" s="628"/>
      <c r="C119" s="628"/>
      <c r="D119" s="628"/>
      <c r="E119" s="633"/>
      <c r="F119" s="630"/>
      <c r="G119" s="632"/>
      <c r="H119" s="634"/>
      <c r="I119" s="632"/>
      <c r="J119" s="632"/>
      <c r="K119" s="632"/>
      <c r="L119" s="632"/>
      <c r="M119" s="632"/>
      <c r="N119" s="632"/>
      <c r="O119" s="632"/>
    </row>
    <row r="120" customFormat="false" ht="15" hidden="false" customHeight="false" outlineLevel="0" collapsed="false">
      <c r="A120" s="628"/>
      <c r="B120" s="628"/>
      <c r="C120" s="628"/>
      <c r="D120" s="628"/>
      <c r="E120" s="633"/>
      <c r="F120" s="630"/>
      <c r="G120" s="632"/>
      <c r="H120" s="634"/>
      <c r="I120" s="632"/>
      <c r="J120" s="632"/>
      <c r="K120" s="632"/>
      <c r="L120" s="632"/>
      <c r="M120" s="632"/>
      <c r="N120" s="632"/>
      <c r="O120" s="632"/>
    </row>
    <row r="121" customFormat="false" ht="15" hidden="false" customHeight="false" outlineLevel="0" collapsed="false">
      <c r="A121" s="628"/>
      <c r="B121" s="628"/>
      <c r="C121" s="628"/>
      <c r="D121" s="628"/>
      <c r="E121" s="633"/>
      <c r="F121" s="630"/>
      <c r="G121" s="632"/>
      <c r="H121" s="634"/>
      <c r="I121" s="632"/>
      <c r="J121" s="632"/>
      <c r="K121" s="632"/>
      <c r="L121" s="632"/>
      <c r="M121" s="632"/>
      <c r="N121" s="632"/>
      <c r="O121" s="632"/>
    </row>
    <row r="122" customFormat="false" ht="15" hidden="false" customHeight="false" outlineLevel="0" collapsed="false">
      <c r="A122" s="628"/>
      <c r="B122" s="628"/>
      <c r="C122" s="628"/>
      <c r="D122" s="628"/>
      <c r="E122" s="633"/>
      <c r="F122" s="630"/>
      <c r="G122" s="632"/>
      <c r="H122" s="634"/>
      <c r="I122" s="632"/>
      <c r="J122" s="632"/>
      <c r="K122" s="632"/>
      <c r="L122" s="632"/>
      <c r="M122" s="632"/>
      <c r="N122" s="632"/>
      <c r="O122" s="632"/>
    </row>
    <row r="123" customFormat="false" ht="15" hidden="false" customHeight="false" outlineLevel="0" collapsed="false">
      <c r="A123" s="628"/>
      <c r="B123" s="628"/>
      <c r="C123" s="628"/>
      <c r="D123" s="628"/>
      <c r="E123" s="633"/>
      <c r="F123" s="630"/>
      <c r="G123" s="632"/>
      <c r="H123" s="634"/>
      <c r="I123" s="632"/>
      <c r="J123" s="632"/>
      <c r="K123" s="632"/>
      <c r="L123" s="632"/>
      <c r="M123" s="632"/>
      <c r="N123" s="632"/>
      <c r="O123" s="632"/>
    </row>
    <row r="124" customFormat="false" ht="15" hidden="false" customHeight="false" outlineLevel="0" collapsed="false">
      <c r="A124" s="628"/>
      <c r="B124" s="628"/>
      <c r="C124" s="628"/>
      <c r="D124" s="628"/>
      <c r="E124" s="636"/>
      <c r="F124" s="630"/>
      <c r="G124" s="637"/>
      <c r="H124" s="638"/>
      <c r="I124" s="637"/>
      <c r="J124" s="632"/>
      <c r="K124" s="632"/>
      <c r="L124" s="632"/>
      <c r="M124" s="632"/>
      <c r="N124" s="632"/>
      <c r="O124" s="632"/>
    </row>
    <row r="125" customFormat="false" ht="15" hidden="false" customHeight="false" outlineLevel="0" collapsed="false">
      <c r="A125" s="639" t="s">
        <v>366</v>
      </c>
      <c r="B125" s="639"/>
      <c r="C125" s="639"/>
      <c r="D125" s="639"/>
      <c r="E125" s="640" t="n">
        <f aca="false">AVERAGE(E115:E124)</f>
        <v>0</v>
      </c>
      <c r="F125" s="641"/>
      <c r="G125" s="642" t="n">
        <f aca="false">IF(E125&lt;&gt;0,SUM(G115:G124)/E125,0)</f>
        <v>0</v>
      </c>
      <c r="H125" s="368"/>
      <c r="I125" s="642" t="n">
        <f aca="false">IF(E125&lt;&gt;0,SUM(I115:I124)/E125,0)</f>
        <v>0</v>
      </c>
      <c r="J125" s="640" t="n">
        <f aca="false">COUNTIF(J115:J124,$Q$4)</f>
        <v>0</v>
      </c>
      <c r="K125" s="640" t="n">
        <f aca="false">COUNTIF(K115:K124,$Q$4)</f>
        <v>0</v>
      </c>
      <c r="L125" s="640" t="n">
        <f aca="false">COUNTIF(L115:L124,$Q$4)</f>
        <v>0</v>
      </c>
      <c r="M125" s="640" t="n">
        <f aca="false">COUNTIF(M115:M124,$Q$4)</f>
        <v>0</v>
      </c>
      <c r="N125" s="640" t="n">
        <f aca="false">COUNTIF(N115:N124,$Q$4)</f>
        <v>0</v>
      </c>
      <c r="O125" s="640" t="n">
        <f aca="false">COUNTIF(O115:O124,$Q$4)</f>
        <v>0</v>
      </c>
    </row>
    <row r="126" customFormat="false" ht="15" hidden="false" customHeight="false" outlineLevel="0" collapsed="false">
      <c r="A126" s="628" t="n">
        <f aca="false">'Listado CAPS'!A14</f>
        <v>0</v>
      </c>
      <c r="B126" s="628" t="n">
        <f aca="false">'Listado CAPS'!B14</f>
        <v>0</v>
      </c>
      <c r="C126" s="628" t="n">
        <f aca="false">'Listado CAPS'!C14</f>
        <v>0</v>
      </c>
      <c r="D126" s="628" t="str">
        <f aca="false">'Listado CAPS'!D14</f>
        <v>L</v>
      </c>
      <c r="E126" s="629" t="n">
        <v>0</v>
      </c>
      <c r="F126" s="630"/>
      <c r="G126" s="631"/>
      <c r="H126" s="630"/>
      <c r="I126" s="631"/>
      <c r="J126" s="632"/>
      <c r="K126" s="632"/>
      <c r="L126" s="632"/>
      <c r="M126" s="632"/>
      <c r="N126" s="632"/>
      <c r="O126" s="632"/>
    </row>
    <row r="127" customFormat="false" ht="15" hidden="false" customHeight="false" outlineLevel="0" collapsed="false">
      <c r="A127" s="628"/>
      <c r="B127" s="628"/>
      <c r="C127" s="628"/>
      <c r="D127" s="628"/>
      <c r="E127" s="633"/>
      <c r="F127" s="630"/>
      <c r="G127" s="632"/>
      <c r="H127" s="634"/>
      <c r="I127" s="632"/>
      <c r="J127" s="632"/>
      <c r="K127" s="632"/>
      <c r="L127" s="632"/>
      <c r="M127" s="632"/>
      <c r="N127" s="632"/>
      <c r="O127" s="632"/>
    </row>
    <row r="128" customFormat="false" ht="15" hidden="false" customHeight="false" outlineLevel="0" collapsed="false">
      <c r="A128" s="628"/>
      <c r="B128" s="628"/>
      <c r="C128" s="628"/>
      <c r="D128" s="628"/>
      <c r="E128" s="633"/>
      <c r="F128" s="630"/>
      <c r="G128" s="632"/>
      <c r="H128" s="634"/>
      <c r="I128" s="632"/>
      <c r="J128" s="632"/>
      <c r="K128" s="632"/>
      <c r="L128" s="632"/>
      <c r="M128" s="632"/>
      <c r="N128" s="632"/>
      <c r="O128" s="632"/>
    </row>
    <row r="129" customFormat="false" ht="15" hidden="false" customHeight="false" outlineLevel="0" collapsed="false">
      <c r="A129" s="628"/>
      <c r="B129" s="628"/>
      <c r="C129" s="628"/>
      <c r="D129" s="628"/>
      <c r="E129" s="633"/>
      <c r="F129" s="630"/>
      <c r="G129" s="632"/>
      <c r="H129" s="634"/>
      <c r="I129" s="632"/>
      <c r="J129" s="632"/>
      <c r="K129" s="632"/>
      <c r="L129" s="632"/>
      <c r="M129" s="632"/>
      <c r="N129" s="632"/>
      <c r="O129" s="632"/>
    </row>
    <row r="130" customFormat="false" ht="15" hidden="false" customHeight="false" outlineLevel="0" collapsed="false">
      <c r="A130" s="628"/>
      <c r="B130" s="628"/>
      <c r="C130" s="628"/>
      <c r="D130" s="628"/>
      <c r="E130" s="633"/>
      <c r="F130" s="630"/>
      <c r="G130" s="632"/>
      <c r="H130" s="634"/>
      <c r="I130" s="632"/>
      <c r="J130" s="632"/>
      <c r="K130" s="632"/>
      <c r="L130" s="632"/>
      <c r="M130" s="632"/>
      <c r="N130" s="632"/>
      <c r="O130" s="632"/>
    </row>
    <row r="131" customFormat="false" ht="15" hidden="false" customHeight="false" outlineLevel="0" collapsed="false">
      <c r="A131" s="628"/>
      <c r="B131" s="628"/>
      <c r="C131" s="628"/>
      <c r="D131" s="628"/>
      <c r="E131" s="633"/>
      <c r="F131" s="630"/>
      <c r="G131" s="632"/>
      <c r="H131" s="634"/>
      <c r="I131" s="632"/>
      <c r="J131" s="632"/>
      <c r="K131" s="632"/>
      <c r="L131" s="632"/>
      <c r="M131" s="632"/>
      <c r="N131" s="632"/>
      <c r="O131" s="632"/>
    </row>
    <row r="132" customFormat="false" ht="15" hidden="false" customHeight="false" outlineLevel="0" collapsed="false">
      <c r="A132" s="628"/>
      <c r="B132" s="628"/>
      <c r="C132" s="628"/>
      <c r="D132" s="628"/>
      <c r="E132" s="633"/>
      <c r="F132" s="630"/>
      <c r="G132" s="632"/>
      <c r="H132" s="634"/>
      <c r="I132" s="632"/>
      <c r="J132" s="632"/>
      <c r="K132" s="632"/>
      <c r="L132" s="632"/>
      <c r="M132" s="632"/>
      <c r="N132" s="632"/>
      <c r="O132" s="632"/>
    </row>
    <row r="133" customFormat="false" ht="15" hidden="false" customHeight="false" outlineLevel="0" collapsed="false">
      <c r="A133" s="628"/>
      <c r="B133" s="628"/>
      <c r="C133" s="628"/>
      <c r="D133" s="628"/>
      <c r="E133" s="633"/>
      <c r="F133" s="630"/>
      <c r="G133" s="632"/>
      <c r="H133" s="634"/>
      <c r="I133" s="632"/>
      <c r="J133" s="632"/>
      <c r="K133" s="632"/>
      <c r="L133" s="632"/>
      <c r="M133" s="632"/>
      <c r="N133" s="632"/>
      <c r="O133" s="632"/>
    </row>
    <row r="134" customFormat="false" ht="15" hidden="false" customHeight="false" outlineLevel="0" collapsed="false">
      <c r="A134" s="628"/>
      <c r="B134" s="628"/>
      <c r="C134" s="628"/>
      <c r="D134" s="628"/>
      <c r="E134" s="633"/>
      <c r="F134" s="630"/>
      <c r="G134" s="632"/>
      <c r="H134" s="634"/>
      <c r="I134" s="632"/>
      <c r="J134" s="632"/>
      <c r="K134" s="632"/>
      <c r="L134" s="632"/>
      <c r="M134" s="632"/>
      <c r="N134" s="632"/>
      <c r="O134" s="632"/>
    </row>
    <row r="135" customFormat="false" ht="15" hidden="false" customHeight="false" outlineLevel="0" collapsed="false">
      <c r="A135" s="628"/>
      <c r="B135" s="628"/>
      <c r="C135" s="628"/>
      <c r="D135" s="628"/>
      <c r="E135" s="636"/>
      <c r="F135" s="630"/>
      <c r="G135" s="637"/>
      <c r="H135" s="638"/>
      <c r="I135" s="637"/>
      <c r="J135" s="632"/>
      <c r="K135" s="632"/>
      <c r="L135" s="632"/>
      <c r="M135" s="632"/>
      <c r="N135" s="632"/>
      <c r="O135" s="632"/>
    </row>
    <row r="136" customFormat="false" ht="15" hidden="false" customHeight="false" outlineLevel="0" collapsed="false">
      <c r="A136" s="639" t="s">
        <v>366</v>
      </c>
      <c r="B136" s="639"/>
      <c r="C136" s="639"/>
      <c r="D136" s="639"/>
      <c r="E136" s="640" t="n">
        <f aca="false">AVERAGE(E126:E135)</f>
        <v>0</v>
      </c>
      <c r="F136" s="641"/>
      <c r="G136" s="642" t="n">
        <f aca="false">IF(E136&lt;&gt;0,SUM(G126:G135)/E136,0)</f>
        <v>0</v>
      </c>
      <c r="H136" s="368"/>
      <c r="I136" s="642" t="n">
        <f aca="false">IF(E136&lt;&gt;0,SUM(I126:I135)/E136,0)</f>
        <v>0</v>
      </c>
      <c r="J136" s="640" t="n">
        <f aca="false">COUNTIF(J126:J135,$Q$4)</f>
        <v>0</v>
      </c>
      <c r="K136" s="640" t="n">
        <f aca="false">COUNTIF(K126:K135,$Q$4)</f>
        <v>0</v>
      </c>
      <c r="L136" s="640" t="n">
        <f aca="false">COUNTIF(L126:L135,$Q$4)</f>
        <v>0</v>
      </c>
      <c r="M136" s="640" t="n">
        <f aca="false">COUNTIF(M126:M135,$Q$4)</f>
        <v>0</v>
      </c>
      <c r="N136" s="640" t="n">
        <f aca="false">COUNTIF(N126:N135,$Q$4)</f>
        <v>0</v>
      </c>
      <c r="O136" s="640" t="n">
        <f aca="false">COUNTIF(O126:O135,$Q$4)</f>
        <v>0</v>
      </c>
    </row>
    <row r="137" customFormat="false" ht="15" hidden="false" customHeight="false" outlineLevel="0" collapsed="false">
      <c r="A137" s="628" t="n">
        <f aca="false">'Listado CAPS'!A15</f>
        <v>0</v>
      </c>
      <c r="B137" s="628" t="n">
        <f aca="false">'Listado CAPS'!B15</f>
        <v>0</v>
      </c>
      <c r="C137" s="628" t="n">
        <f aca="false">'Listado CAPS'!C15</f>
        <v>0</v>
      </c>
      <c r="D137" s="628" t="str">
        <f aca="false">'Listado CAPS'!D15</f>
        <v>M</v>
      </c>
      <c r="E137" s="629" t="n">
        <v>0</v>
      </c>
      <c r="F137" s="630"/>
      <c r="G137" s="631"/>
      <c r="H137" s="630"/>
      <c r="I137" s="631"/>
      <c r="J137" s="632"/>
      <c r="K137" s="632"/>
      <c r="L137" s="632"/>
      <c r="M137" s="632"/>
      <c r="N137" s="632"/>
      <c r="O137" s="632"/>
    </row>
    <row r="138" customFormat="false" ht="15" hidden="false" customHeight="false" outlineLevel="0" collapsed="false">
      <c r="A138" s="628"/>
      <c r="B138" s="628"/>
      <c r="C138" s="628"/>
      <c r="D138" s="628"/>
      <c r="E138" s="633"/>
      <c r="F138" s="630"/>
      <c r="G138" s="632"/>
      <c r="H138" s="634"/>
      <c r="I138" s="632"/>
      <c r="J138" s="632"/>
      <c r="K138" s="632"/>
      <c r="L138" s="632"/>
      <c r="M138" s="632"/>
      <c r="N138" s="632"/>
      <c r="O138" s="632"/>
    </row>
    <row r="139" customFormat="false" ht="15" hidden="false" customHeight="false" outlineLevel="0" collapsed="false">
      <c r="A139" s="628"/>
      <c r="B139" s="628"/>
      <c r="C139" s="628"/>
      <c r="D139" s="628"/>
      <c r="E139" s="633"/>
      <c r="F139" s="630"/>
      <c r="G139" s="632"/>
      <c r="H139" s="634"/>
      <c r="I139" s="632"/>
      <c r="J139" s="632"/>
      <c r="K139" s="632"/>
      <c r="L139" s="632"/>
      <c r="M139" s="632"/>
      <c r="N139" s="632"/>
      <c r="O139" s="632"/>
    </row>
    <row r="140" customFormat="false" ht="15" hidden="false" customHeight="false" outlineLevel="0" collapsed="false">
      <c r="A140" s="628"/>
      <c r="B140" s="628"/>
      <c r="C140" s="628"/>
      <c r="D140" s="628"/>
      <c r="E140" s="633"/>
      <c r="F140" s="630"/>
      <c r="G140" s="632"/>
      <c r="H140" s="634"/>
      <c r="I140" s="632"/>
      <c r="J140" s="632"/>
      <c r="K140" s="632"/>
      <c r="L140" s="632"/>
      <c r="M140" s="632"/>
      <c r="N140" s="632"/>
      <c r="O140" s="632"/>
    </row>
    <row r="141" customFormat="false" ht="15" hidden="false" customHeight="false" outlineLevel="0" collapsed="false">
      <c r="A141" s="628"/>
      <c r="B141" s="628"/>
      <c r="C141" s="628"/>
      <c r="D141" s="628"/>
      <c r="E141" s="633"/>
      <c r="F141" s="630"/>
      <c r="G141" s="632"/>
      <c r="H141" s="634"/>
      <c r="I141" s="632"/>
      <c r="J141" s="632"/>
      <c r="K141" s="632"/>
      <c r="L141" s="632"/>
      <c r="M141" s="632"/>
      <c r="N141" s="632"/>
      <c r="O141" s="632"/>
    </row>
    <row r="142" customFormat="false" ht="15" hidden="false" customHeight="false" outlineLevel="0" collapsed="false">
      <c r="A142" s="628"/>
      <c r="B142" s="628"/>
      <c r="C142" s="628"/>
      <c r="D142" s="628"/>
      <c r="E142" s="633"/>
      <c r="F142" s="630"/>
      <c r="G142" s="632"/>
      <c r="H142" s="634"/>
      <c r="I142" s="632"/>
      <c r="J142" s="632"/>
      <c r="K142" s="632"/>
      <c r="L142" s="632"/>
      <c r="M142" s="632"/>
      <c r="N142" s="632"/>
      <c r="O142" s="632"/>
    </row>
    <row r="143" customFormat="false" ht="15" hidden="false" customHeight="false" outlineLevel="0" collapsed="false">
      <c r="A143" s="628"/>
      <c r="B143" s="628"/>
      <c r="C143" s="628"/>
      <c r="D143" s="628"/>
      <c r="E143" s="633"/>
      <c r="F143" s="630"/>
      <c r="G143" s="632"/>
      <c r="H143" s="634"/>
      <c r="I143" s="632"/>
      <c r="J143" s="632"/>
      <c r="K143" s="632"/>
      <c r="L143" s="632"/>
      <c r="M143" s="632"/>
      <c r="N143" s="632"/>
      <c r="O143" s="632"/>
    </row>
    <row r="144" customFormat="false" ht="15" hidden="false" customHeight="false" outlineLevel="0" collapsed="false">
      <c r="A144" s="628"/>
      <c r="B144" s="628"/>
      <c r="C144" s="628"/>
      <c r="D144" s="628"/>
      <c r="E144" s="633"/>
      <c r="F144" s="630"/>
      <c r="G144" s="632"/>
      <c r="H144" s="634"/>
      <c r="I144" s="632"/>
      <c r="J144" s="632"/>
      <c r="K144" s="632"/>
      <c r="L144" s="632"/>
      <c r="M144" s="632"/>
      <c r="N144" s="632"/>
      <c r="O144" s="632"/>
    </row>
    <row r="145" customFormat="false" ht="15" hidden="false" customHeight="false" outlineLevel="0" collapsed="false">
      <c r="A145" s="628"/>
      <c r="B145" s="628"/>
      <c r="C145" s="628"/>
      <c r="D145" s="628"/>
      <c r="E145" s="633"/>
      <c r="F145" s="630"/>
      <c r="G145" s="632"/>
      <c r="H145" s="634"/>
      <c r="I145" s="632"/>
      <c r="J145" s="632"/>
      <c r="K145" s="632"/>
      <c r="L145" s="632"/>
      <c r="M145" s="632"/>
      <c r="N145" s="632"/>
      <c r="O145" s="632"/>
    </row>
    <row r="146" customFormat="false" ht="15" hidden="false" customHeight="false" outlineLevel="0" collapsed="false">
      <c r="A146" s="628"/>
      <c r="B146" s="628"/>
      <c r="C146" s="628"/>
      <c r="D146" s="628"/>
      <c r="E146" s="636"/>
      <c r="F146" s="630"/>
      <c r="G146" s="637"/>
      <c r="H146" s="638"/>
      <c r="I146" s="637"/>
      <c r="J146" s="632"/>
      <c r="K146" s="632"/>
      <c r="L146" s="632"/>
      <c r="M146" s="632"/>
      <c r="N146" s="632"/>
      <c r="O146" s="632"/>
    </row>
    <row r="147" customFormat="false" ht="15" hidden="false" customHeight="false" outlineLevel="0" collapsed="false">
      <c r="A147" s="639" t="s">
        <v>366</v>
      </c>
      <c r="B147" s="639"/>
      <c r="C147" s="639"/>
      <c r="D147" s="639"/>
      <c r="E147" s="640" t="n">
        <f aca="false">AVERAGE(E137:E146)</f>
        <v>0</v>
      </c>
      <c r="F147" s="641"/>
      <c r="G147" s="642" t="n">
        <f aca="false">IF(E147&lt;&gt;0,SUM(G137:G146)/E147,0)</f>
        <v>0</v>
      </c>
      <c r="H147" s="368"/>
      <c r="I147" s="642" t="n">
        <f aca="false">IF(E147&lt;&gt;0,SUM(I137:I146)/E147,0)</f>
        <v>0</v>
      </c>
      <c r="J147" s="640" t="n">
        <f aca="false">COUNTIF(J137:J146,$Q$4)</f>
        <v>0</v>
      </c>
      <c r="K147" s="640" t="n">
        <f aca="false">COUNTIF(K137:K146,$Q$4)</f>
        <v>0</v>
      </c>
      <c r="L147" s="640" t="n">
        <f aca="false">COUNTIF(L137:L146,$Q$4)</f>
        <v>0</v>
      </c>
      <c r="M147" s="640" t="n">
        <f aca="false">COUNTIF(M137:M146,$Q$4)</f>
        <v>0</v>
      </c>
      <c r="N147" s="640" t="n">
        <f aca="false">COUNTIF(N137:N146,$Q$4)</f>
        <v>0</v>
      </c>
      <c r="O147" s="640" t="n">
        <f aca="false">COUNTIF(O137:O146,$Q$4)</f>
        <v>0</v>
      </c>
    </row>
    <row r="148" customFormat="false" ht="15" hidden="false" customHeight="false" outlineLevel="0" collapsed="false">
      <c r="A148" s="628" t="n">
        <f aca="false">'Listado CAPS'!A16</f>
        <v>0</v>
      </c>
      <c r="B148" s="628" t="n">
        <f aca="false">'Listado CAPS'!B16</f>
        <v>0</v>
      </c>
      <c r="C148" s="628" t="n">
        <f aca="false">'Listado CAPS'!C16</f>
        <v>0</v>
      </c>
      <c r="D148" s="628" t="str">
        <f aca="false">'Listado CAPS'!D16</f>
        <v>N</v>
      </c>
      <c r="E148" s="629" t="n">
        <v>0</v>
      </c>
      <c r="F148" s="630"/>
      <c r="G148" s="631"/>
      <c r="H148" s="630"/>
      <c r="I148" s="631"/>
      <c r="J148" s="632"/>
      <c r="K148" s="632"/>
      <c r="L148" s="632"/>
      <c r="M148" s="632"/>
      <c r="N148" s="632"/>
      <c r="O148" s="632"/>
    </row>
    <row r="149" customFormat="false" ht="15" hidden="false" customHeight="false" outlineLevel="0" collapsed="false">
      <c r="A149" s="628"/>
      <c r="B149" s="628"/>
      <c r="C149" s="628"/>
      <c r="D149" s="628"/>
      <c r="E149" s="633"/>
      <c r="F149" s="630"/>
      <c r="G149" s="632"/>
      <c r="H149" s="634"/>
      <c r="I149" s="632"/>
      <c r="J149" s="632"/>
      <c r="K149" s="632"/>
      <c r="L149" s="632"/>
      <c r="M149" s="632"/>
      <c r="N149" s="632"/>
      <c r="O149" s="632"/>
    </row>
    <row r="150" customFormat="false" ht="15" hidden="false" customHeight="false" outlineLevel="0" collapsed="false">
      <c r="A150" s="628"/>
      <c r="B150" s="628"/>
      <c r="C150" s="628"/>
      <c r="D150" s="628"/>
      <c r="E150" s="633"/>
      <c r="F150" s="630"/>
      <c r="G150" s="632"/>
      <c r="H150" s="634"/>
      <c r="I150" s="632"/>
      <c r="J150" s="632"/>
      <c r="K150" s="632"/>
      <c r="L150" s="632"/>
      <c r="M150" s="632"/>
      <c r="N150" s="632"/>
      <c r="O150" s="632"/>
    </row>
    <row r="151" customFormat="false" ht="15" hidden="false" customHeight="false" outlineLevel="0" collapsed="false">
      <c r="A151" s="628"/>
      <c r="B151" s="628"/>
      <c r="C151" s="628"/>
      <c r="D151" s="628"/>
      <c r="E151" s="633"/>
      <c r="F151" s="630"/>
      <c r="G151" s="632"/>
      <c r="H151" s="634"/>
      <c r="I151" s="632"/>
      <c r="J151" s="632"/>
      <c r="K151" s="632"/>
      <c r="L151" s="632"/>
      <c r="M151" s="632"/>
      <c r="N151" s="632"/>
      <c r="O151" s="632"/>
    </row>
    <row r="152" customFormat="false" ht="15" hidden="false" customHeight="false" outlineLevel="0" collapsed="false">
      <c r="A152" s="628"/>
      <c r="B152" s="628"/>
      <c r="C152" s="628"/>
      <c r="D152" s="628"/>
      <c r="E152" s="633"/>
      <c r="F152" s="630"/>
      <c r="G152" s="632"/>
      <c r="H152" s="634"/>
      <c r="I152" s="632"/>
      <c r="J152" s="632"/>
      <c r="K152" s="632"/>
      <c r="L152" s="632"/>
      <c r="M152" s="632"/>
      <c r="N152" s="632"/>
      <c r="O152" s="632"/>
    </row>
    <row r="153" customFormat="false" ht="15" hidden="false" customHeight="false" outlineLevel="0" collapsed="false">
      <c r="A153" s="628"/>
      <c r="B153" s="628"/>
      <c r="C153" s="628"/>
      <c r="D153" s="628"/>
      <c r="E153" s="633"/>
      <c r="F153" s="630"/>
      <c r="G153" s="632"/>
      <c r="H153" s="634"/>
      <c r="I153" s="632"/>
      <c r="J153" s="632"/>
      <c r="K153" s="632"/>
      <c r="L153" s="632"/>
      <c r="M153" s="632"/>
      <c r="N153" s="632"/>
      <c r="O153" s="632"/>
    </row>
    <row r="154" customFormat="false" ht="15" hidden="false" customHeight="false" outlineLevel="0" collapsed="false">
      <c r="A154" s="628"/>
      <c r="B154" s="628"/>
      <c r="C154" s="628"/>
      <c r="D154" s="628"/>
      <c r="E154" s="633"/>
      <c r="F154" s="630"/>
      <c r="G154" s="632"/>
      <c r="H154" s="634"/>
      <c r="I154" s="632"/>
      <c r="J154" s="632"/>
      <c r="K154" s="632"/>
      <c r="L154" s="632"/>
      <c r="M154" s="632"/>
      <c r="N154" s="632"/>
      <c r="O154" s="632"/>
    </row>
    <row r="155" customFormat="false" ht="15" hidden="false" customHeight="false" outlineLevel="0" collapsed="false">
      <c r="A155" s="628"/>
      <c r="B155" s="628"/>
      <c r="C155" s="628"/>
      <c r="D155" s="628"/>
      <c r="E155" s="633"/>
      <c r="F155" s="630"/>
      <c r="G155" s="632"/>
      <c r="H155" s="634"/>
      <c r="I155" s="632"/>
      <c r="J155" s="632"/>
      <c r="K155" s="632"/>
      <c r="L155" s="632"/>
      <c r="M155" s="632"/>
      <c r="N155" s="632"/>
      <c r="O155" s="632"/>
    </row>
    <row r="156" customFormat="false" ht="15" hidden="false" customHeight="false" outlineLevel="0" collapsed="false">
      <c r="A156" s="628"/>
      <c r="B156" s="628"/>
      <c r="C156" s="628"/>
      <c r="D156" s="628"/>
      <c r="E156" s="633"/>
      <c r="F156" s="630"/>
      <c r="G156" s="632"/>
      <c r="H156" s="634"/>
      <c r="I156" s="632"/>
      <c r="J156" s="632"/>
      <c r="K156" s="632"/>
      <c r="L156" s="632"/>
      <c r="M156" s="632"/>
      <c r="N156" s="632"/>
      <c r="O156" s="632"/>
    </row>
    <row r="157" customFormat="false" ht="15" hidden="false" customHeight="false" outlineLevel="0" collapsed="false">
      <c r="A157" s="628"/>
      <c r="B157" s="628"/>
      <c r="C157" s="628"/>
      <c r="D157" s="628"/>
      <c r="E157" s="636"/>
      <c r="F157" s="630"/>
      <c r="G157" s="637"/>
      <c r="H157" s="638"/>
      <c r="I157" s="637"/>
      <c r="J157" s="632"/>
      <c r="K157" s="632"/>
      <c r="L157" s="632"/>
      <c r="M157" s="632"/>
      <c r="N157" s="632"/>
      <c r="O157" s="632"/>
    </row>
    <row r="158" customFormat="false" ht="15" hidden="false" customHeight="false" outlineLevel="0" collapsed="false">
      <c r="A158" s="639" t="s">
        <v>366</v>
      </c>
      <c r="B158" s="639"/>
      <c r="C158" s="639"/>
      <c r="D158" s="639"/>
      <c r="E158" s="640" t="n">
        <f aca="false">AVERAGE(E148:E157)</f>
        <v>0</v>
      </c>
      <c r="F158" s="641"/>
      <c r="G158" s="642" t="n">
        <f aca="false">IF(E158&lt;&gt;0,SUM(G148:G157)/E158,0)</f>
        <v>0</v>
      </c>
      <c r="H158" s="368"/>
      <c r="I158" s="642" t="n">
        <f aca="false">IF(E158&lt;&gt;0,SUM(I148:I157)/E158,0)</f>
        <v>0</v>
      </c>
      <c r="J158" s="640" t="n">
        <f aca="false">COUNTIF(J148:J157,$Q$4)</f>
        <v>0</v>
      </c>
      <c r="K158" s="640" t="n">
        <f aca="false">COUNTIF(K148:K157,$Q$4)</f>
        <v>0</v>
      </c>
      <c r="L158" s="640" t="n">
        <f aca="false">COUNTIF(L148:L157,$Q$4)</f>
        <v>0</v>
      </c>
      <c r="M158" s="640" t="n">
        <f aca="false">COUNTIF(M148:M157,$Q$4)</f>
        <v>0</v>
      </c>
      <c r="N158" s="640" t="n">
        <f aca="false">COUNTIF(N148:N157,$Q$4)</f>
        <v>0</v>
      </c>
      <c r="O158" s="640" t="n">
        <f aca="false">COUNTIF(O148:O157,$Q$4)</f>
        <v>0</v>
      </c>
    </row>
    <row r="159" customFormat="false" ht="15" hidden="false" customHeight="false" outlineLevel="0" collapsed="false">
      <c r="A159" s="628" t="n">
        <f aca="false">'Listado CAPS'!A17</f>
        <v>0</v>
      </c>
      <c r="B159" s="628" t="n">
        <f aca="false">'Listado CAPS'!B17</f>
        <v>0</v>
      </c>
      <c r="C159" s="628" t="n">
        <f aca="false">'Listado CAPS'!C17</f>
        <v>0</v>
      </c>
      <c r="D159" s="628" t="str">
        <f aca="false">'Listado CAPS'!D17</f>
        <v>Ñ</v>
      </c>
      <c r="E159" s="629" t="n">
        <v>0</v>
      </c>
      <c r="F159" s="630"/>
      <c r="G159" s="631"/>
      <c r="H159" s="630"/>
      <c r="I159" s="631"/>
      <c r="J159" s="632"/>
      <c r="K159" s="632"/>
      <c r="L159" s="632"/>
      <c r="M159" s="632"/>
      <c r="N159" s="632"/>
      <c r="O159" s="632"/>
    </row>
    <row r="160" customFormat="false" ht="15" hidden="false" customHeight="false" outlineLevel="0" collapsed="false">
      <c r="A160" s="628"/>
      <c r="B160" s="628"/>
      <c r="C160" s="628"/>
      <c r="D160" s="628"/>
      <c r="E160" s="633"/>
      <c r="F160" s="630"/>
      <c r="G160" s="632"/>
      <c r="H160" s="634"/>
      <c r="I160" s="632"/>
      <c r="J160" s="632"/>
      <c r="K160" s="632"/>
      <c r="L160" s="632"/>
      <c r="M160" s="632"/>
      <c r="N160" s="632"/>
      <c r="O160" s="632"/>
    </row>
    <row r="161" customFormat="false" ht="15" hidden="false" customHeight="false" outlineLevel="0" collapsed="false">
      <c r="A161" s="628"/>
      <c r="B161" s="628"/>
      <c r="C161" s="628"/>
      <c r="D161" s="628"/>
      <c r="E161" s="633"/>
      <c r="F161" s="630"/>
      <c r="G161" s="632"/>
      <c r="H161" s="634"/>
      <c r="I161" s="632"/>
      <c r="J161" s="632"/>
      <c r="K161" s="632"/>
      <c r="L161" s="632"/>
      <c r="M161" s="632"/>
      <c r="N161" s="632"/>
      <c r="O161" s="632"/>
    </row>
    <row r="162" customFormat="false" ht="15" hidden="false" customHeight="false" outlineLevel="0" collapsed="false">
      <c r="A162" s="628"/>
      <c r="B162" s="628"/>
      <c r="C162" s="628"/>
      <c r="D162" s="628"/>
      <c r="E162" s="633"/>
      <c r="F162" s="630"/>
      <c r="G162" s="632"/>
      <c r="H162" s="634"/>
      <c r="I162" s="632"/>
      <c r="J162" s="632"/>
      <c r="K162" s="632"/>
      <c r="L162" s="632"/>
      <c r="M162" s="632"/>
      <c r="N162" s="632"/>
      <c r="O162" s="632"/>
    </row>
    <row r="163" customFormat="false" ht="15" hidden="false" customHeight="false" outlineLevel="0" collapsed="false">
      <c r="A163" s="628"/>
      <c r="B163" s="628"/>
      <c r="C163" s="628"/>
      <c r="D163" s="628"/>
      <c r="E163" s="633"/>
      <c r="F163" s="630"/>
      <c r="G163" s="632"/>
      <c r="H163" s="634"/>
      <c r="I163" s="632"/>
      <c r="J163" s="632"/>
      <c r="K163" s="632"/>
      <c r="L163" s="632"/>
      <c r="M163" s="632"/>
      <c r="N163" s="632"/>
      <c r="O163" s="632"/>
    </row>
    <row r="164" customFormat="false" ht="15" hidden="false" customHeight="false" outlineLevel="0" collapsed="false">
      <c r="A164" s="628"/>
      <c r="B164" s="628"/>
      <c r="C164" s="628"/>
      <c r="D164" s="628"/>
      <c r="E164" s="633"/>
      <c r="F164" s="630"/>
      <c r="G164" s="632"/>
      <c r="H164" s="634"/>
      <c r="I164" s="632"/>
      <c r="J164" s="632"/>
      <c r="K164" s="632"/>
      <c r="L164" s="632"/>
      <c r="M164" s="632"/>
      <c r="N164" s="632"/>
      <c r="O164" s="632"/>
    </row>
    <row r="165" customFormat="false" ht="15" hidden="false" customHeight="false" outlineLevel="0" collapsed="false">
      <c r="A165" s="628"/>
      <c r="B165" s="628"/>
      <c r="C165" s="628"/>
      <c r="D165" s="628"/>
      <c r="E165" s="633"/>
      <c r="F165" s="630"/>
      <c r="G165" s="632"/>
      <c r="H165" s="634"/>
      <c r="I165" s="632"/>
      <c r="J165" s="632"/>
      <c r="K165" s="632"/>
      <c r="L165" s="632"/>
      <c r="M165" s="632"/>
      <c r="N165" s="632"/>
      <c r="O165" s="632"/>
    </row>
    <row r="166" customFormat="false" ht="15" hidden="false" customHeight="false" outlineLevel="0" collapsed="false">
      <c r="A166" s="628"/>
      <c r="B166" s="628"/>
      <c r="C166" s="628"/>
      <c r="D166" s="628"/>
      <c r="E166" s="633"/>
      <c r="F166" s="630"/>
      <c r="G166" s="632"/>
      <c r="H166" s="634"/>
      <c r="I166" s="632"/>
      <c r="J166" s="632"/>
      <c r="K166" s="632"/>
      <c r="L166" s="632"/>
      <c r="M166" s="632"/>
      <c r="N166" s="632"/>
      <c r="O166" s="632"/>
    </row>
    <row r="167" customFormat="false" ht="15" hidden="false" customHeight="false" outlineLevel="0" collapsed="false">
      <c r="A167" s="628"/>
      <c r="B167" s="628"/>
      <c r="C167" s="628"/>
      <c r="D167" s="628"/>
      <c r="E167" s="633"/>
      <c r="F167" s="630"/>
      <c r="G167" s="632"/>
      <c r="H167" s="634"/>
      <c r="I167" s="632"/>
      <c r="J167" s="632"/>
      <c r="K167" s="632"/>
      <c r="L167" s="632"/>
      <c r="M167" s="632"/>
      <c r="N167" s="632"/>
      <c r="O167" s="632"/>
    </row>
    <row r="168" customFormat="false" ht="15" hidden="false" customHeight="false" outlineLevel="0" collapsed="false">
      <c r="A168" s="628"/>
      <c r="B168" s="628"/>
      <c r="C168" s="628"/>
      <c r="D168" s="628"/>
      <c r="E168" s="636"/>
      <c r="F168" s="630"/>
      <c r="G168" s="637"/>
      <c r="H168" s="638"/>
      <c r="I168" s="637"/>
      <c r="J168" s="632"/>
      <c r="K168" s="632"/>
      <c r="L168" s="632"/>
      <c r="M168" s="632"/>
      <c r="N168" s="632"/>
      <c r="O168" s="632"/>
    </row>
    <row r="169" customFormat="false" ht="15" hidden="false" customHeight="false" outlineLevel="0" collapsed="false">
      <c r="A169" s="639" t="s">
        <v>366</v>
      </c>
      <c r="B169" s="639"/>
      <c r="C169" s="639"/>
      <c r="D169" s="639"/>
      <c r="E169" s="640" t="n">
        <f aca="false">AVERAGE(E159:E168)</f>
        <v>0</v>
      </c>
      <c r="F169" s="641"/>
      <c r="G169" s="642" t="n">
        <f aca="false">IF(E169&lt;&gt;0,SUM(G159:G168)/E169,0)</f>
        <v>0</v>
      </c>
      <c r="H169" s="368"/>
      <c r="I169" s="642" t="n">
        <f aca="false">IF(E169&lt;&gt;0,SUM(I159:I168)/E169,0)</f>
        <v>0</v>
      </c>
      <c r="J169" s="640" t="n">
        <f aca="false">COUNTIF(J159:J168,$Q$4)</f>
        <v>0</v>
      </c>
      <c r="K169" s="640" t="n">
        <f aca="false">COUNTIF(K159:K168,$Q$4)</f>
        <v>0</v>
      </c>
      <c r="L169" s="640" t="n">
        <f aca="false">COUNTIF(L159:L168,$Q$4)</f>
        <v>0</v>
      </c>
      <c r="M169" s="640" t="n">
        <f aca="false">COUNTIF(M159:M168,$Q$4)</f>
        <v>0</v>
      </c>
      <c r="N169" s="640" t="n">
        <f aca="false">COUNTIF(N159:N168,$Q$4)</f>
        <v>0</v>
      </c>
      <c r="O169" s="640" t="n">
        <f aca="false">COUNTIF(O159:O168,$Q$4)</f>
        <v>0</v>
      </c>
    </row>
    <row r="170" customFormat="false" ht="15" hidden="false" customHeight="false" outlineLevel="0" collapsed="false">
      <c r="A170" s="628" t="n">
        <f aca="false">'Listado CAPS'!A18</f>
        <v>0</v>
      </c>
      <c r="B170" s="628" t="n">
        <f aca="false">'Listado CAPS'!B18</f>
        <v>0</v>
      </c>
      <c r="C170" s="628" t="n">
        <f aca="false">'Listado CAPS'!C18</f>
        <v>0</v>
      </c>
      <c r="D170" s="628" t="str">
        <f aca="false">'Listado CAPS'!D18</f>
        <v>O</v>
      </c>
      <c r="E170" s="629" t="n">
        <v>0</v>
      </c>
      <c r="F170" s="630"/>
      <c r="G170" s="631"/>
      <c r="H170" s="630"/>
      <c r="I170" s="631"/>
      <c r="J170" s="632"/>
      <c r="K170" s="632"/>
      <c r="L170" s="632"/>
      <c r="M170" s="632"/>
      <c r="N170" s="632"/>
      <c r="O170" s="632"/>
    </row>
    <row r="171" customFormat="false" ht="15" hidden="false" customHeight="false" outlineLevel="0" collapsed="false">
      <c r="A171" s="628"/>
      <c r="B171" s="628"/>
      <c r="C171" s="628"/>
      <c r="D171" s="628"/>
      <c r="E171" s="633"/>
      <c r="F171" s="630"/>
      <c r="G171" s="632"/>
      <c r="H171" s="634"/>
      <c r="I171" s="632"/>
      <c r="J171" s="632"/>
      <c r="K171" s="632"/>
      <c r="L171" s="632"/>
      <c r="M171" s="632"/>
      <c r="N171" s="632"/>
      <c r="O171" s="632"/>
    </row>
    <row r="172" customFormat="false" ht="15" hidden="false" customHeight="false" outlineLevel="0" collapsed="false">
      <c r="A172" s="628"/>
      <c r="B172" s="628"/>
      <c r="C172" s="628"/>
      <c r="D172" s="628"/>
      <c r="E172" s="633"/>
      <c r="F172" s="630"/>
      <c r="G172" s="632"/>
      <c r="H172" s="634"/>
      <c r="I172" s="632"/>
      <c r="J172" s="632"/>
      <c r="K172" s="632"/>
      <c r="L172" s="632"/>
      <c r="M172" s="632"/>
      <c r="N172" s="632"/>
      <c r="O172" s="632"/>
    </row>
    <row r="173" customFormat="false" ht="15" hidden="false" customHeight="false" outlineLevel="0" collapsed="false">
      <c r="A173" s="628"/>
      <c r="B173" s="628"/>
      <c r="C173" s="628"/>
      <c r="D173" s="628"/>
      <c r="E173" s="633"/>
      <c r="F173" s="630"/>
      <c r="G173" s="632"/>
      <c r="H173" s="634"/>
      <c r="I173" s="632"/>
      <c r="J173" s="632"/>
      <c r="K173" s="632"/>
      <c r="L173" s="632"/>
      <c r="M173" s="632"/>
      <c r="N173" s="632"/>
      <c r="O173" s="632"/>
    </row>
    <row r="174" customFormat="false" ht="15" hidden="false" customHeight="false" outlineLevel="0" collapsed="false">
      <c r="A174" s="628"/>
      <c r="B174" s="628"/>
      <c r="C174" s="628"/>
      <c r="D174" s="628"/>
      <c r="E174" s="633"/>
      <c r="F174" s="630"/>
      <c r="G174" s="632"/>
      <c r="H174" s="634"/>
      <c r="I174" s="632"/>
      <c r="J174" s="632"/>
      <c r="K174" s="632"/>
      <c r="L174" s="632"/>
      <c r="M174" s="632"/>
      <c r="N174" s="632"/>
      <c r="O174" s="632"/>
    </row>
    <row r="175" customFormat="false" ht="15" hidden="false" customHeight="false" outlineLevel="0" collapsed="false">
      <c r="A175" s="628"/>
      <c r="B175" s="628"/>
      <c r="C175" s="628"/>
      <c r="D175" s="628"/>
      <c r="E175" s="633"/>
      <c r="F175" s="630"/>
      <c r="G175" s="632"/>
      <c r="H175" s="634"/>
      <c r="I175" s="632"/>
      <c r="J175" s="632"/>
      <c r="K175" s="632"/>
      <c r="L175" s="632"/>
      <c r="M175" s="632"/>
      <c r="N175" s="632"/>
      <c r="O175" s="632"/>
    </row>
    <row r="176" customFormat="false" ht="15" hidden="false" customHeight="false" outlineLevel="0" collapsed="false">
      <c r="A176" s="628"/>
      <c r="B176" s="628"/>
      <c r="C176" s="628"/>
      <c r="D176" s="628"/>
      <c r="E176" s="633"/>
      <c r="F176" s="630"/>
      <c r="G176" s="632"/>
      <c r="H176" s="634"/>
      <c r="I176" s="632"/>
      <c r="J176" s="632"/>
      <c r="K176" s="632"/>
      <c r="L176" s="632"/>
      <c r="M176" s="632"/>
      <c r="N176" s="632"/>
      <c r="O176" s="632"/>
    </row>
    <row r="177" customFormat="false" ht="15" hidden="false" customHeight="false" outlineLevel="0" collapsed="false">
      <c r="A177" s="628"/>
      <c r="B177" s="628"/>
      <c r="C177" s="628"/>
      <c r="D177" s="628"/>
      <c r="E177" s="633"/>
      <c r="F177" s="630"/>
      <c r="G177" s="632"/>
      <c r="H177" s="634"/>
      <c r="I177" s="632"/>
      <c r="J177" s="632"/>
      <c r="K177" s="632"/>
      <c r="L177" s="632"/>
      <c r="M177" s="632"/>
      <c r="N177" s="632"/>
      <c r="O177" s="632"/>
    </row>
    <row r="178" customFormat="false" ht="15" hidden="false" customHeight="false" outlineLevel="0" collapsed="false">
      <c r="A178" s="628"/>
      <c r="B178" s="628"/>
      <c r="C178" s="628"/>
      <c r="D178" s="628"/>
      <c r="E178" s="633"/>
      <c r="F178" s="630"/>
      <c r="G178" s="632"/>
      <c r="H178" s="634"/>
      <c r="I178" s="632"/>
      <c r="J178" s="632"/>
      <c r="K178" s="632"/>
      <c r="L178" s="632"/>
      <c r="M178" s="632"/>
      <c r="N178" s="632"/>
      <c r="O178" s="632"/>
    </row>
    <row r="179" customFormat="false" ht="15" hidden="false" customHeight="false" outlineLevel="0" collapsed="false">
      <c r="A179" s="628"/>
      <c r="B179" s="628"/>
      <c r="C179" s="628"/>
      <c r="D179" s="628"/>
      <c r="E179" s="636"/>
      <c r="F179" s="630"/>
      <c r="G179" s="637"/>
      <c r="H179" s="638"/>
      <c r="I179" s="637"/>
      <c r="J179" s="632"/>
      <c r="K179" s="632"/>
      <c r="L179" s="632"/>
      <c r="M179" s="632"/>
      <c r="N179" s="632"/>
      <c r="O179" s="632"/>
    </row>
    <row r="180" customFormat="false" ht="15" hidden="false" customHeight="false" outlineLevel="0" collapsed="false">
      <c r="A180" s="639" t="s">
        <v>366</v>
      </c>
      <c r="B180" s="639"/>
      <c r="C180" s="639"/>
      <c r="D180" s="639"/>
      <c r="E180" s="640" t="n">
        <f aca="false">AVERAGE(E170:E179)</f>
        <v>0</v>
      </c>
      <c r="F180" s="641"/>
      <c r="G180" s="642" t="n">
        <f aca="false">IF(E180&lt;&gt;0,SUM(G170:G179)/E180,0)</f>
        <v>0</v>
      </c>
      <c r="H180" s="368"/>
      <c r="I180" s="642" t="n">
        <f aca="false">IF(E180&lt;&gt;0,SUM(I170:I179)/E180,0)</f>
        <v>0</v>
      </c>
      <c r="J180" s="640" t="n">
        <f aca="false">COUNTIF(J170:J179,$Q$4)</f>
        <v>0</v>
      </c>
      <c r="K180" s="640" t="n">
        <f aca="false">COUNTIF(K170:K179,$Q$4)</f>
        <v>0</v>
      </c>
      <c r="L180" s="640" t="n">
        <f aca="false">COUNTIF(L170:L179,$Q$4)</f>
        <v>0</v>
      </c>
      <c r="M180" s="640" t="n">
        <f aca="false">COUNTIF(M170:M179,$Q$4)</f>
        <v>0</v>
      </c>
      <c r="N180" s="640" t="n">
        <f aca="false">COUNTIF(N170:N179,$Q$4)</f>
        <v>0</v>
      </c>
      <c r="O180" s="640" t="n">
        <f aca="false">COUNTIF(O170:O179,$Q$4)</f>
        <v>0</v>
      </c>
    </row>
    <row r="181" customFormat="false" ht="15" hidden="false" customHeight="false" outlineLevel="0" collapsed="false">
      <c r="A181" s="628" t="n">
        <f aca="false">'Listado CAPS'!A19</f>
        <v>0</v>
      </c>
      <c r="B181" s="628" t="n">
        <f aca="false">'Listado CAPS'!B19</f>
        <v>0</v>
      </c>
      <c r="C181" s="628" t="n">
        <f aca="false">'Listado CAPS'!C19</f>
        <v>0</v>
      </c>
      <c r="D181" s="628" t="str">
        <f aca="false">'Listado CAPS'!D19</f>
        <v>P</v>
      </c>
      <c r="E181" s="629" t="n">
        <v>0</v>
      </c>
      <c r="F181" s="630"/>
      <c r="G181" s="631"/>
      <c r="H181" s="630"/>
      <c r="I181" s="631"/>
      <c r="J181" s="632"/>
      <c r="K181" s="632"/>
      <c r="L181" s="632"/>
      <c r="M181" s="632"/>
      <c r="N181" s="632"/>
      <c r="O181" s="632"/>
    </row>
    <row r="182" customFormat="false" ht="15" hidden="false" customHeight="false" outlineLevel="0" collapsed="false">
      <c r="A182" s="628"/>
      <c r="B182" s="628"/>
      <c r="C182" s="628"/>
      <c r="D182" s="628"/>
      <c r="E182" s="633"/>
      <c r="F182" s="630"/>
      <c r="G182" s="632"/>
      <c r="H182" s="634"/>
      <c r="I182" s="632"/>
      <c r="J182" s="632"/>
      <c r="K182" s="632"/>
      <c r="L182" s="632"/>
      <c r="M182" s="632"/>
      <c r="N182" s="632"/>
      <c r="O182" s="632"/>
    </row>
    <row r="183" customFormat="false" ht="15" hidden="false" customHeight="false" outlineLevel="0" collapsed="false">
      <c r="A183" s="628"/>
      <c r="B183" s="628"/>
      <c r="C183" s="628"/>
      <c r="D183" s="628"/>
      <c r="E183" s="633"/>
      <c r="F183" s="630"/>
      <c r="G183" s="632"/>
      <c r="H183" s="634"/>
      <c r="I183" s="632"/>
      <c r="J183" s="632"/>
      <c r="K183" s="632"/>
      <c r="L183" s="632"/>
      <c r="M183" s="632"/>
      <c r="N183" s="632"/>
      <c r="O183" s="632"/>
    </row>
    <row r="184" customFormat="false" ht="15" hidden="false" customHeight="false" outlineLevel="0" collapsed="false">
      <c r="A184" s="628"/>
      <c r="B184" s="628"/>
      <c r="C184" s="628"/>
      <c r="D184" s="628"/>
      <c r="E184" s="633"/>
      <c r="F184" s="630"/>
      <c r="G184" s="632"/>
      <c r="H184" s="634"/>
      <c r="I184" s="632"/>
      <c r="J184" s="632"/>
      <c r="K184" s="632"/>
      <c r="L184" s="632"/>
      <c r="M184" s="632"/>
      <c r="N184" s="632"/>
      <c r="O184" s="632"/>
    </row>
    <row r="185" customFormat="false" ht="15" hidden="false" customHeight="false" outlineLevel="0" collapsed="false">
      <c r="A185" s="628"/>
      <c r="B185" s="628"/>
      <c r="C185" s="628"/>
      <c r="D185" s="628"/>
      <c r="E185" s="633"/>
      <c r="F185" s="630"/>
      <c r="G185" s="632"/>
      <c r="H185" s="634"/>
      <c r="I185" s="632"/>
      <c r="J185" s="632"/>
      <c r="K185" s="632"/>
      <c r="L185" s="632"/>
      <c r="M185" s="632"/>
      <c r="N185" s="632"/>
      <c r="O185" s="632"/>
    </row>
    <row r="186" customFormat="false" ht="15" hidden="false" customHeight="false" outlineLevel="0" collapsed="false">
      <c r="A186" s="628"/>
      <c r="B186" s="628"/>
      <c r="C186" s="628"/>
      <c r="D186" s="628"/>
      <c r="E186" s="633"/>
      <c r="F186" s="630"/>
      <c r="G186" s="632"/>
      <c r="H186" s="634"/>
      <c r="I186" s="632"/>
      <c r="J186" s="632"/>
      <c r="K186" s="632"/>
      <c r="L186" s="632"/>
      <c r="M186" s="632"/>
      <c r="N186" s="632"/>
      <c r="O186" s="632"/>
    </row>
    <row r="187" customFormat="false" ht="15" hidden="false" customHeight="false" outlineLevel="0" collapsed="false">
      <c r="A187" s="628"/>
      <c r="B187" s="628"/>
      <c r="C187" s="628"/>
      <c r="D187" s="628"/>
      <c r="E187" s="633"/>
      <c r="F187" s="630"/>
      <c r="G187" s="632"/>
      <c r="H187" s="634"/>
      <c r="I187" s="632"/>
      <c r="J187" s="632"/>
      <c r="K187" s="632"/>
      <c r="L187" s="632"/>
      <c r="M187" s="632"/>
      <c r="N187" s="632"/>
      <c r="O187" s="632"/>
    </row>
    <row r="188" customFormat="false" ht="15" hidden="false" customHeight="false" outlineLevel="0" collapsed="false">
      <c r="A188" s="628"/>
      <c r="B188" s="628"/>
      <c r="C188" s="628"/>
      <c r="D188" s="628"/>
      <c r="E188" s="633"/>
      <c r="F188" s="630"/>
      <c r="G188" s="632"/>
      <c r="H188" s="634"/>
      <c r="I188" s="632"/>
      <c r="J188" s="632"/>
      <c r="K188" s="632"/>
      <c r="L188" s="632"/>
      <c r="M188" s="632"/>
      <c r="N188" s="632"/>
      <c r="O188" s="632"/>
    </row>
    <row r="189" customFormat="false" ht="15" hidden="false" customHeight="false" outlineLevel="0" collapsed="false">
      <c r="A189" s="628"/>
      <c r="B189" s="628"/>
      <c r="C189" s="628"/>
      <c r="D189" s="628"/>
      <c r="E189" s="633"/>
      <c r="F189" s="630"/>
      <c r="G189" s="632"/>
      <c r="H189" s="634"/>
      <c r="I189" s="632"/>
      <c r="J189" s="632"/>
      <c r="K189" s="632"/>
      <c r="L189" s="632"/>
      <c r="M189" s="632"/>
      <c r="N189" s="632"/>
      <c r="O189" s="632"/>
    </row>
    <row r="190" customFormat="false" ht="15" hidden="false" customHeight="false" outlineLevel="0" collapsed="false">
      <c r="A190" s="628"/>
      <c r="B190" s="628"/>
      <c r="C190" s="628"/>
      <c r="D190" s="628"/>
      <c r="E190" s="636"/>
      <c r="F190" s="630"/>
      <c r="G190" s="637"/>
      <c r="H190" s="638"/>
      <c r="I190" s="637"/>
      <c r="J190" s="632"/>
      <c r="K190" s="632"/>
      <c r="L190" s="632"/>
      <c r="M190" s="632"/>
      <c r="N190" s="632"/>
      <c r="O190" s="632"/>
    </row>
    <row r="191" customFormat="false" ht="15" hidden="false" customHeight="false" outlineLevel="0" collapsed="false">
      <c r="A191" s="639" t="s">
        <v>366</v>
      </c>
      <c r="B191" s="639"/>
      <c r="C191" s="639"/>
      <c r="D191" s="639"/>
      <c r="E191" s="640" t="n">
        <f aca="false">AVERAGE(E181:E190)</f>
        <v>0</v>
      </c>
      <c r="F191" s="641"/>
      <c r="G191" s="642" t="n">
        <f aca="false">IF(E191&lt;&gt;0,SUM(G181:G190)/E191,0)</f>
        <v>0</v>
      </c>
      <c r="H191" s="368"/>
      <c r="I191" s="642" t="n">
        <f aca="false">IF(E191&lt;&gt;0,SUM(I181:I190)/E191,0)</f>
        <v>0</v>
      </c>
      <c r="J191" s="640" t="n">
        <f aca="false">COUNTIF(J181:J190,$Q$4)</f>
        <v>0</v>
      </c>
      <c r="K191" s="640" t="n">
        <f aca="false">COUNTIF(K181:K190,$Q$4)</f>
        <v>0</v>
      </c>
      <c r="L191" s="640" t="n">
        <f aca="false">COUNTIF(L181:L190,$Q$4)</f>
        <v>0</v>
      </c>
      <c r="M191" s="640" t="n">
        <f aca="false">COUNTIF(M181:M190,$Q$4)</f>
        <v>0</v>
      </c>
      <c r="N191" s="640" t="n">
        <f aca="false">COUNTIF(N181:N190,$Q$4)</f>
        <v>0</v>
      </c>
      <c r="O191" s="640" t="n">
        <f aca="false">COUNTIF(O181:O190,$Q$4)</f>
        <v>0</v>
      </c>
    </row>
    <row r="192" customFormat="false" ht="15" hidden="false" customHeight="false" outlineLevel="0" collapsed="false">
      <c r="A192" s="628" t="n">
        <f aca="false">'Listado CAPS'!A20</f>
        <v>0</v>
      </c>
      <c r="B192" s="628" t="n">
        <f aca="false">'Listado CAPS'!B20</f>
        <v>0</v>
      </c>
      <c r="C192" s="628" t="n">
        <f aca="false">'Listado CAPS'!C20</f>
        <v>0</v>
      </c>
      <c r="D192" s="628" t="str">
        <f aca="false">'Listado CAPS'!D20</f>
        <v>Q</v>
      </c>
      <c r="E192" s="629" t="n">
        <v>0</v>
      </c>
      <c r="F192" s="630"/>
      <c r="G192" s="631"/>
      <c r="H192" s="630"/>
      <c r="I192" s="631"/>
      <c r="J192" s="632"/>
      <c r="K192" s="632"/>
      <c r="L192" s="632"/>
      <c r="M192" s="632"/>
      <c r="N192" s="632"/>
      <c r="O192" s="632"/>
    </row>
    <row r="193" customFormat="false" ht="15" hidden="false" customHeight="false" outlineLevel="0" collapsed="false">
      <c r="A193" s="628"/>
      <c r="B193" s="628"/>
      <c r="C193" s="628"/>
      <c r="D193" s="628"/>
      <c r="E193" s="633"/>
      <c r="F193" s="630"/>
      <c r="G193" s="632"/>
      <c r="H193" s="634"/>
      <c r="I193" s="632"/>
      <c r="J193" s="632"/>
      <c r="K193" s="632"/>
      <c r="L193" s="632"/>
      <c r="M193" s="632"/>
      <c r="N193" s="632"/>
      <c r="O193" s="632"/>
    </row>
    <row r="194" customFormat="false" ht="15" hidden="false" customHeight="false" outlineLevel="0" collapsed="false">
      <c r="A194" s="628"/>
      <c r="B194" s="628"/>
      <c r="C194" s="628"/>
      <c r="D194" s="628"/>
      <c r="E194" s="633"/>
      <c r="F194" s="630"/>
      <c r="G194" s="632"/>
      <c r="H194" s="634"/>
      <c r="I194" s="632"/>
      <c r="J194" s="632"/>
      <c r="K194" s="632"/>
      <c r="L194" s="632"/>
      <c r="M194" s="632"/>
      <c r="N194" s="632"/>
      <c r="O194" s="632"/>
    </row>
    <row r="195" customFormat="false" ht="15" hidden="false" customHeight="false" outlineLevel="0" collapsed="false">
      <c r="A195" s="628"/>
      <c r="B195" s="628"/>
      <c r="C195" s="628"/>
      <c r="D195" s="628"/>
      <c r="E195" s="633"/>
      <c r="F195" s="630"/>
      <c r="G195" s="632"/>
      <c r="H195" s="634"/>
      <c r="I195" s="632"/>
      <c r="J195" s="632"/>
      <c r="K195" s="632"/>
      <c r="L195" s="632"/>
      <c r="M195" s="632"/>
      <c r="N195" s="632"/>
      <c r="O195" s="632"/>
    </row>
    <row r="196" customFormat="false" ht="15" hidden="false" customHeight="false" outlineLevel="0" collapsed="false">
      <c r="A196" s="628"/>
      <c r="B196" s="628"/>
      <c r="C196" s="628"/>
      <c r="D196" s="628"/>
      <c r="E196" s="633"/>
      <c r="F196" s="630"/>
      <c r="G196" s="632"/>
      <c r="H196" s="634"/>
      <c r="I196" s="632"/>
      <c r="J196" s="632"/>
      <c r="K196" s="632"/>
      <c r="L196" s="632"/>
      <c r="M196" s="632"/>
      <c r="N196" s="632"/>
      <c r="O196" s="632"/>
    </row>
    <row r="197" customFormat="false" ht="15" hidden="false" customHeight="false" outlineLevel="0" collapsed="false">
      <c r="A197" s="628"/>
      <c r="B197" s="628"/>
      <c r="C197" s="628"/>
      <c r="D197" s="628"/>
      <c r="E197" s="633"/>
      <c r="F197" s="630"/>
      <c r="G197" s="632"/>
      <c r="H197" s="634"/>
      <c r="I197" s="632"/>
      <c r="J197" s="632"/>
      <c r="K197" s="632"/>
      <c r="L197" s="632"/>
      <c r="M197" s="632"/>
      <c r="N197" s="632"/>
      <c r="O197" s="632"/>
    </row>
    <row r="198" customFormat="false" ht="15" hidden="false" customHeight="false" outlineLevel="0" collapsed="false">
      <c r="A198" s="628"/>
      <c r="B198" s="628"/>
      <c r="C198" s="628"/>
      <c r="D198" s="628"/>
      <c r="E198" s="633"/>
      <c r="F198" s="630"/>
      <c r="G198" s="632"/>
      <c r="H198" s="634"/>
      <c r="I198" s="632"/>
      <c r="J198" s="632"/>
      <c r="K198" s="632"/>
      <c r="L198" s="632"/>
      <c r="M198" s="632"/>
      <c r="N198" s="632"/>
      <c r="O198" s="632"/>
    </row>
    <row r="199" customFormat="false" ht="15" hidden="false" customHeight="false" outlineLevel="0" collapsed="false">
      <c r="A199" s="628"/>
      <c r="B199" s="628"/>
      <c r="C199" s="628"/>
      <c r="D199" s="628"/>
      <c r="E199" s="633"/>
      <c r="F199" s="630"/>
      <c r="G199" s="632"/>
      <c r="H199" s="634"/>
      <c r="I199" s="632"/>
      <c r="J199" s="632"/>
      <c r="K199" s="632"/>
      <c r="L199" s="632"/>
      <c r="M199" s="632"/>
      <c r="N199" s="632"/>
      <c r="O199" s="632"/>
    </row>
    <row r="200" customFormat="false" ht="15" hidden="false" customHeight="false" outlineLevel="0" collapsed="false">
      <c r="A200" s="628"/>
      <c r="B200" s="628"/>
      <c r="C200" s="628"/>
      <c r="D200" s="628"/>
      <c r="E200" s="633"/>
      <c r="F200" s="630"/>
      <c r="G200" s="632"/>
      <c r="H200" s="634"/>
      <c r="I200" s="632"/>
      <c r="J200" s="632"/>
      <c r="K200" s="632"/>
      <c r="L200" s="632"/>
      <c r="M200" s="632"/>
      <c r="N200" s="632"/>
      <c r="O200" s="632"/>
    </row>
    <row r="201" customFormat="false" ht="15" hidden="false" customHeight="false" outlineLevel="0" collapsed="false">
      <c r="A201" s="628"/>
      <c r="B201" s="628"/>
      <c r="C201" s="628"/>
      <c r="D201" s="628"/>
      <c r="E201" s="636"/>
      <c r="F201" s="630"/>
      <c r="G201" s="637"/>
      <c r="H201" s="638"/>
      <c r="I201" s="637"/>
      <c r="J201" s="632"/>
      <c r="K201" s="632"/>
      <c r="L201" s="632"/>
      <c r="M201" s="632"/>
      <c r="N201" s="632"/>
      <c r="O201" s="632"/>
    </row>
    <row r="202" customFormat="false" ht="15" hidden="false" customHeight="false" outlineLevel="0" collapsed="false">
      <c r="A202" s="639" t="s">
        <v>366</v>
      </c>
      <c r="B202" s="639"/>
      <c r="C202" s="639"/>
      <c r="D202" s="639"/>
      <c r="E202" s="640" t="n">
        <f aca="false">AVERAGE(E192:E201)</f>
        <v>0</v>
      </c>
      <c r="F202" s="641"/>
      <c r="G202" s="642" t="n">
        <f aca="false">IF(E202&lt;&gt;0,SUM(G192:G201)/E202,0)</f>
        <v>0</v>
      </c>
      <c r="H202" s="368"/>
      <c r="I202" s="642" t="n">
        <f aca="false">IF(E202&lt;&gt;0,SUM(I192:I201)/E202,0)</f>
        <v>0</v>
      </c>
      <c r="J202" s="640" t="n">
        <f aca="false">COUNTIF(J192:J201,$Q$4)</f>
        <v>0</v>
      </c>
      <c r="K202" s="640" t="n">
        <f aca="false">COUNTIF(K192:K201,$Q$4)</f>
        <v>0</v>
      </c>
      <c r="L202" s="640" t="n">
        <f aca="false">COUNTIF(L192:L201,$Q$4)</f>
        <v>0</v>
      </c>
      <c r="M202" s="640" t="n">
        <f aca="false">COUNTIF(M192:M201,$Q$4)</f>
        <v>0</v>
      </c>
      <c r="N202" s="640" t="n">
        <f aca="false">COUNTIF(N192:N201,$Q$4)</f>
        <v>0</v>
      </c>
      <c r="O202" s="640" t="n">
        <f aca="false">COUNTIF(O192:O201,$Q$4)</f>
        <v>0</v>
      </c>
    </row>
    <row r="203" customFormat="false" ht="15" hidden="false" customHeight="false" outlineLevel="0" collapsed="false">
      <c r="A203" s="628" t="n">
        <f aca="false">'Listado CAPS'!A21</f>
        <v>0</v>
      </c>
      <c r="B203" s="628" t="n">
        <f aca="false">'Listado CAPS'!B21</f>
        <v>0</v>
      </c>
      <c r="C203" s="628" t="n">
        <f aca="false">'Listado CAPS'!C21</f>
        <v>0</v>
      </c>
      <c r="D203" s="628" t="str">
        <f aca="false">'Listado CAPS'!D21</f>
        <v>R</v>
      </c>
      <c r="E203" s="629" t="n">
        <v>0</v>
      </c>
      <c r="F203" s="630"/>
      <c r="G203" s="631"/>
      <c r="H203" s="630"/>
      <c r="I203" s="631"/>
      <c r="J203" s="632"/>
      <c r="K203" s="632"/>
      <c r="L203" s="632"/>
      <c r="M203" s="632"/>
      <c r="N203" s="632"/>
      <c r="O203" s="632"/>
    </row>
    <row r="204" customFormat="false" ht="15" hidden="false" customHeight="false" outlineLevel="0" collapsed="false">
      <c r="A204" s="628"/>
      <c r="B204" s="628"/>
      <c r="C204" s="628"/>
      <c r="D204" s="628"/>
      <c r="E204" s="633"/>
      <c r="F204" s="630"/>
      <c r="G204" s="632"/>
      <c r="H204" s="634"/>
      <c r="I204" s="632"/>
      <c r="J204" s="632"/>
      <c r="K204" s="632"/>
      <c r="L204" s="632"/>
      <c r="M204" s="632"/>
      <c r="N204" s="632"/>
      <c r="O204" s="632"/>
    </row>
    <row r="205" customFormat="false" ht="15" hidden="false" customHeight="false" outlineLevel="0" collapsed="false">
      <c r="A205" s="628"/>
      <c r="B205" s="628"/>
      <c r="C205" s="628"/>
      <c r="D205" s="628"/>
      <c r="E205" s="633"/>
      <c r="F205" s="630"/>
      <c r="G205" s="632"/>
      <c r="H205" s="634"/>
      <c r="I205" s="632"/>
      <c r="J205" s="632"/>
      <c r="K205" s="632"/>
      <c r="L205" s="632"/>
      <c r="M205" s="632"/>
      <c r="N205" s="632"/>
      <c r="O205" s="632"/>
    </row>
    <row r="206" customFormat="false" ht="15" hidden="false" customHeight="false" outlineLevel="0" collapsed="false">
      <c r="A206" s="628"/>
      <c r="B206" s="628"/>
      <c r="C206" s="628"/>
      <c r="D206" s="628"/>
      <c r="E206" s="633"/>
      <c r="F206" s="630"/>
      <c r="G206" s="632"/>
      <c r="H206" s="634"/>
      <c r="I206" s="632"/>
      <c r="J206" s="632"/>
      <c r="K206" s="632"/>
      <c r="L206" s="632"/>
      <c r="M206" s="632"/>
      <c r="N206" s="632"/>
      <c r="O206" s="632"/>
    </row>
    <row r="207" customFormat="false" ht="15" hidden="false" customHeight="false" outlineLevel="0" collapsed="false">
      <c r="A207" s="628"/>
      <c r="B207" s="628"/>
      <c r="C207" s="628"/>
      <c r="D207" s="628"/>
      <c r="E207" s="633"/>
      <c r="F207" s="630"/>
      <c r="G207" s="632"/>
      <c r="H207" s="634"/>
      <c r="I207" s="632"/>
      <c r="J207" s="632"/>
      <c r="K207" s="632"/>
      <c r="L207" s="632"/>
      <c r="M207" s="632"/>
      <c r="N207" s="632"/>
      <c r="O207" s="632"/>
    </row>
    <row r="208" customFormat="false" ht="15" hidden="false" customHeight="false" outlineLevel="0" collapsed="false">
      <c r="A208" s="628"/>
      <c r="B208" s="628"/>
      <c r="C208" s="628"/>
      <c r="D208" s="628"/>
      <c r="E208" s="633"/>
      <c r="F208" s="630"/>
      <c r="G208" s="632"/>
      <c r="H208" s="634"/>
      <c r="I208" s="632"/>
      <c r="J208" s="632"/>
      <c r="K208" s="632"/>
      <c r="L208" s="632"/>
      <c r="M208" s="632"/>
      <c r="N208" s="632"/>
      <c r="O208" s="632"/>
    </row>
    <row r="209" customFormat="false" ht="15" hidden="false" customHeight="false" outlineLevel="0" collapsed="false">
      <c r="A209" s="628"/>
      <c r="B209" s="628"/>
      <c r="C209" s="628"/>
      <c r="D209" s="628"/>
      <c r="E209" s="633"/>
      <c r="F209" s="630"/>
      <c r="G209" s="632"/>
      <c r="H209" s="634"/>
      <c r="I209" s="632"/>
      <c r="J209" s="632"/>
      <c r="K209" s="632"/>
      <c r="L209" s="632"/>
      <c r="M209" s="632"/>
      <c r="N209" s="632"/>
      <c r="O209" s="632"/>
    </row>
    <row r="210" customFormat="false" ht="15" hidden="false" customHeight="false" outlineLevel="0" collapsed="false">
      <c r="A210" s="628"/>
      <c r="B210" s="628"/>
      <c r="C210" s="628"/>
      <c r="D210" s="628"/>
      <c r="E210" s="633"/>
      <c r="F210" s="630"/>
      <c r="G210" s="632"/>
      <c r="H210" s="634"/>
      <c r="I210" s="632"/>
      <c r="J210" s="632"/>
      <c r="K210" s="632"/>
      <c r="L210" s="632"/>
      <c r="M210" s="632"/>
      <c r="N210" s="632"/>
      <c r="O210" s="632"/>
    </row>
    <row r="211" customFormat="false" ht="15" hidden="false" customHeight="false" outlineLevel="0" collapsed="false">
      <c r="A211" s="628"/>
      <c r="B211" s="628"/>
      <c r="C211" s="628"/>
      <c r="D211" s="628"/>
      <c r="E211" s="633"/>
      <c r="F211" s="630"/>
      <c r="G211" s="632"/>
      <c r="H211" s="634"/>
      <c r="I211" s="632"/>
      <c r="J211" s="632"/>
      <c r="K211" s="632"/>
      <c r="L211" s="632"/>
      <c r="M211" s="632"/>
      <c r="N211" s="632"/>
      <c r="O211" s="632"/>
    </row>
    <row r="212" customFormat="false" ht="15" hidden="false" customHeight="false" outlineLevel="0" collapsed="false">
      <c r="A212" s="628"/>
      <c r="B212" s="628"/>
      <c r="C212" s="628"/>
      <c r="D212" s="628"/>
      <c r="E212" s="636"/>
      <c r="F212" s="630"/>
      <c r="G212" s="637"/>
      <c r="H212" s="638"/>
      <c r="I212" s="637"/>
      <c r="J212" s="632"/>
      <c r="K212" s="632"/>
      <c r="L212" s="632"/>
      <c r="M212" s="632"/>
      <c r="N212" s="632"/>
      <c r="O212" s="632"/>
    </row>
    <row r="213" customFormat="false" ht="15" hidden="false" customHeight="false" outlineLevel="0" collapsed="false">
      <c r="A213" s="639" t="s">
        <v>366</v>
      </c>
      <c r="B213" s="639"/>
      <c r="C213" s="639"/>
      <c r="D213" s="639"/>
      <c r="E213" s="640" t="n">
        <f aca="false">AVERAGE(E203:E212)</f>
        <v>0</v>
      </c>
      <c r="F213" s="641"/>
      <c r="G213" s="642" t="n">
        <f aca="false">IF(E213&lt;&gt;0,SUM(G203:G212)/E213,0)</f>
        <v>0</v>
      </c>
      <c r="H213" s="368"/>
      <c r="I213" s="642" t="n">
        <f aca="false">IF(E213&lt;&gt;0,SUM(I203:I212)/E213,0)</f>
        <v>0</v>
      </c>
      <c r="J213" s="640" t="n">
        <f aca="false">COUNTIF(J203:J212,$Q$4)</f>
        <v>0</v>
      </c>
      <c r="K213" s="640" t="n">
        <f aca="false">COUNTIF(K203:K212,$Q$4)</f>
        <v>0</v>
      </c>
      <c r="L213" s="640" t="n">
        <f aca="false">COUNTIF(L203:L212,$Q$4)</f>
        <v>0</v>
      </c>
      <c r="M213" s="640" t="n">
        <f aca="false">COUNTIF(M203:M212,$Q$4)</f>
        <v>0</v>
      </c>
      <c r="N213" s="640" t="n">
        <f aca="false">COUNTIF(N203:N212,$Q$4)</f>
        <v>0</v>
      </c>
      <c r="O213" s="640" t="n">
        <f aca="false">COUNTIF(O203:O212,$Q$4)</f>
        <v>0</v>
      </c>
    </row>
    <row r="214" customFormat="false" ht="15" hidden="false" customHeight="false" outlineLevel="0" collapsed="false">
      <c r="A214" s="628" t="n">
        <f aca="false">'Listado CAPS'!A22</f>
        <v>0</v>
      </c>
      <c r="B214" s="628" t="n">
        <f aca="false">'Listado CAPS'!B22</f>
        <v>0</v>
      </c>
      <c r="C214" s="628" t="n">
        <f aca="false">'Listado CAPS'!C22</f>
        <v>0</v>
      </c>
      <c r="D214" s="628" t="str">
        <f aca="false">'Listado CAPS'!D22</f>
        <v>S</v>
      </c>
      <c r="E214" s="629" t="n">
        <v>0</v>
      </c>
      <c r="F214" s="630"/>
      <c r="G214" s="631"/>
      <c r="H214" s="630"/>
      <c r="I214" s="631"/>
      <c r="J214" s="632"/>
      <c r="K214" s="632"/>
      <c r="L214" s="632"/>
      <c r="M214" s="632"/>
      <c r="N214" s="632"/>
      <c r="O214" s="632"/>
    </row>
    <row r="215" customFormat="false" ht="15" hidden="false" customHeight="false" outlineLevel="0" collapsed="false">
      <c r="A215" s="628"/>
      <c r="B215" s="628"/>
      <c r="C215" s="628"/>
      <c r="D215" s="628"/>
      <c r="E215" s="633"/>
      <c r="F215" s="630"/>
      <c r="G215" s="632"/>
      <c r="H215" s="634"/>
      <c r="I215" s="632"/>
      <c r="J215" s="632"/>
      <c r="K215" s="632"/>
      <c r="L215" s="632"/>
      <c r="M215" s="632"/>
      <c r="N215" s="632"/>
      <c r="O215" s="632"/>
    </row>
    <row r="216" customFormat="false" ht="15" hidden="false" customHeight="false" outlineLevel="0" collapsed="false">
      <c r="A216" s="628"/>
      <c r="B216" s="628"/>
      <c r="C216" s="628"/>
      <c r="D216" s="628"/>
      <c r="E216" s="633"/>
      <c r="F216" s="630"/>
      <c r="G216" s="632"/>
      <c r="H216" s="634"/>
      <c r="I216" s="632"/>
      <c r="J216" s="632"/>
      <c r="K216" s="632"/>
      <c r="L216" s="632"/>
      <c r="M216" s="632"/>
      <c r="N216" s="632"/>
      <c r="O216" s="632"/>
    </row>
    <row r="217" customFormat="false" ht="15" hidden="false" customHeight="false" outlineLevel="0" collapsed="false">
      <c r="A217" s="628"/>
      <c r="B217" s="628"/>
      <c r="C217" s="628"/>
      <c r="D217" s="628"/>
      <c r="E217" s="633"/>
      <c r="F217" s="630"/>
      <c r="G217" s="632"/>
      <c r="H217" s="634"/>
      <c r="I217" s="632"/>
      <c r="J217" s="632"/>
      <c r="K217" s="632"/>
      <c r="L217" s="632"/>
      <c r="M217" s="632"/>
      <c r="N217" s="632"/>
      <c r="O217" s="632"/>
    </row>
    <row r="218" customFormat="false" ht="15" hidden="false" customHeight="false" outlineLevel="0" collapsed="false">
      <c r="A218" s="628"/>
      <c r="B218" s="628"/>
      <c r="C218" s="628"/>
      <c r="D218" s="628"/>
      <c r="E218" s="633"/>
      <c r="F218" s="630"/>
      <c r="G218" s="632"/>
      <c r="H218" s="634"/>
      <c r="I218" s="632"/>
      <c r="J218" s="632"/>
      <c r="K218" s="632"/>
      <c r="L218" s="632"/>
      <c r="M218" s="632"/>
      <c r="N218" s="632"/>
      <c r="O218" s="632"/>
    </row>
    <row r="219" customFormat="false" ht="15" hidden="false" customHeight="false" outlineLevel="0" collapsed="false">
      <c r="A219" s="628"/>
      <c r="B219" s="628"/>
      <c r="C219" s="628"/>
      <c r="D219" s="628"/>
      <c r="E219" s="633"/>
      <c r="F219" s="630"/>
      <c r="G219" s="632"/>
      <c r="H219" s="634"/>
      <c r="I219" s="632"/>
      <c r="J219" s="632"/>
      <c r="K219" s="632"/>
      <c r="L219" s="632"/>
      <c r="M219" s="632"/>
      <c r="N219" s="632"/>
      <c r="O219" s="632"/>
    </row>
    <row r="220" customFormat="false" ht="15" hidden="false" customHeight="false" outlineLevel="0" collapsed="false">
      <c r="A220" s="628"/>
      <c r="B220" s="628"/>
      <c r="C220" s="628"/>
      <c r="D220" s="628"/>
      <c r="E220" s="633"/>
      <c r="F220" s="630"/>
      <c r="G220" s="632"/>
      <c r="H220" s="634"/>
      <c r="I220" s="632"/>
      <c r="J220" s="632"/>
      <c r="K220" s="632"/>
      <c r="L220" s="632"/>
      <c r="M220" s="632"/>
      <c r="N220" s="632"/>
      <c r="O220" s="632"/>
    </row>
    <row r="221" customFormat="false" ht="15" hidden="false" customHeight="false" outlineLevel="0" collapsed="false">
      <c r="A221" s="628"/>
      <c r="B221" s="628"/>
      <c r="C221" s="628"/>
      <c r="D221" s="628"/>
      <c r="E221" s="633"/>
      <c r="F221" s="630"/>
      <c r="G221" s="632"/>
      <c r="H221" s="634"/>
      <c r="I221" s="632"/>
      <c r="J221" s="632"/>
      <c r="K221" s="632"/>
      <c r="L221" s="632"/>
      <c r="M221" s="632"/>
      <c r="N221" s="632"/>
      <c r="O221" s="632"/>
    </row>
    <row r="222" customFormat="false" ht="15" hidden="false" customHeight="false" outlineLevel="0" collapsed="false">
      <c r="A222" s="628"/>
      <c r="B222" s="628"/>
      <c r="C222" s="628"/>
      <c r="D222" s="628"/>
      <c r="E222" s="633"/>
      <c r="F222" s="630"/>
      <c r="G222" s="632"/>
      <c r="H222" s="634"/>
      <c r="I222" s="632"/>
      <c r="J222" s="632"/>
      <c r="K222" s="632"/>
      <c r="L222" s="632"/>
      <c r="M222" s="632"/>
      <c r="N222" s="632"/>
      <c r="O222" s="632"/>
    </row>
    <row r="223" customFormat="false" ht="15" hidden="false" customHeight="false" outlineLevel="0" collapsed="false">
      <c r="A223" s="628"/>
      <c r="B223" s="628"/>
      <c r="C223" s="628"/>
      <c r="D223" s="628"/>
      <c r="E223" s="636"/>
      <c r="F223" s="630"/>
      <c r="G223" s="637"/>
      <c r="H223" s="638"/>
      <c r="I223" s="637"/>
      <c r="J223" s="632"/>
      <c r="K223" s="632"/>
      <c r="L223" s="632"/>
      <c r="M223" s="632"/>
      <c r="N223" s="632"/>
      <c r="O223" s="632"/>
    </row>
    <row r="224" customFormat="false" ht="15" hidden="false" customHeight="false" outlineLevel="0" collapsed="false">
      <c r="A224" s="639" t="s">
        <v>366</v>
      </c>
      <c r="B224" s="639"/>
      <c r="C224" s="639"/>
      <c r="D224" s="639"/>
      <c r="E224" s="640" t="n">
        <f aca="false">AVERAGE(E214:E223)</f>
        <v>0</v>
      </c>
      <c r="F224" s="641"/>
      <c r="G224" s="642" t="n">
        <f aca="false">IF(E224&lt;&gt;0,SUM(G214:G223)/E224,0)</f>
        <v>0</v>
      </c>
      <c r="H224" s="368"/>
      <c r="I224" s="642" t="n">
        <f aca="false">IF(E224&lt;&gt;0,SUM(I214:I223)/E224,0)</f>
        <v>0</v>
      </c>
      <c r="J224" s="640" t="n">
        <f aca="false">COUNTIF(J214:J223,$Q$4)</f>
        <v>0</v>
      </c>
      <c r="K224" s="640" t="n">
        <f aca="false">COUNTIF(K214:K223,$Q$4)</f>
        <v>0</v>
      </c>
      <c r="L224" s="640" t="n">
        <f aca="false">COUNTIF(L214:L223,$Q$4)</f>
        <v>0</v>
      </c>
      <c r="M224" s="640" t="n">
        <f aca="false">COUNTIF(M214:M223,$Q$4)</f>
        <v>0</v>
      </c>
      <c r="N224" s="640" t="n">
        <f aca="false">COUNTIF(N214:N223,$Q$4)</f>
        <v>0</v>
      </c>
      <c r="O224" s="640" t="n">
        <f aca="false">COUNTIF(O214:O223,$Q$4)</f>
        <v>0</v>
      </c>
    </row>
    <row r="225" customFormat="false" ht="15" hidden="false" customHeight="false" outlineLevel="0" collapsed="false">
      <c r="A225" s="628" t="n">
        <f aca="false">'Listado CAPS'!A23</f>
        <v>0</v>
      </c>
      <c r="B225" s="628" t="n">
        <f aca="false">'Listado CAPS'!B23</f>
        <v>0</v>
      </c>
      <c r="C225" s="628" t="n">
        <f aca="false">'Listado CAPS'!C23</f>
        <v>0</v>
      </c>
      <c r="D225" s="628" t="str">
        <f aca="false">'Listado CAPS'!D23</f>
        <v>T</v>
      </c>
      <c r="E225" s="629" t="n">
        <v>0</v>
      </c>
      <c r="F225" s="630"/>
      <c r="G225" s="631"/>
      <c r="H225" s="630"/>
      <c r="I225" s="631"/>
      <c r="J225" s="632"/>
      <c r="K225" s="632"/>
      <c r="L225" s="632"/>
      <c r="M225" s="632"/>
      <c r="N225" s="632"/>
      <c r="O225" s="632"/>
    </row>
    <row r="226" customFormat="false" ht="15" hidden="false" customHeight="false" outlineLevel="0" collapsed="false">
      <c r="A226" s="628"/>
      <c r="B226" s="628"/>
      <c r="C226" s="628"/>
      <c r="D226" s="628"/>
      <c r="E226" s="633"/>
      <c r="F226" s="630"/>
      <c r="G226" s="632"/>
      <c r="H226" s="634"/>
      <c r="I226" s="632"/>
      <c r="J226" s="632"/>
      <c r="K226" s="632"/>
      <c r="L226" s="632"/>
      <c r="M226" s="632"/>
      <c r="N226" s="632"/>
      <c r="O226" s="632"/>
    </row>
    <row r="227" customFormat="false" ht="15" hidden="false" customHeight="false" outlineLevel="0" collapsed="false">
      <c r="A227" s="628"/>
      <c r="B227" s="628"/>
      <c r="C227" s="628"/>
      <c r="D227" s="628"/>
      <c r="E227" s="633"/>
      <c r="F227" s="630"/>
      <c r="G227" s="632"/>
      <c r="H227" s="634"/>
      <c r="I227" s="632"/>
      <c r="J227" s="632"/>
      <c r="K227" s="632"/>
      <c r="L227" s="632"/>
      <c r="M227" s="632"/>
      <c r="N227" s="632"/>
      <c r="O227" s="632"/>
    </row>
    <row r="228" customFormat="false" ht="15" hidden="false" customHeight="false" outlineLevel="0" collapsed="false">
      <c r="A228" s="628"/>
      <c r="B228" s="628"/>
      <c r="C228" s="628"/>
      <c r="D228" s="628"/>
      <c r="E228" s="633"/>
      <c r="F228" s="630"/>
      <c r="G228" s="632"/>
      <c r="H228" s="634"/>
      <c r="I228" s="632"/>
      <c r="J228" s="632"/>
      <c r="K228" s="632"/>
      <c r="L228" s="632"/>
      <c r="M228" s="632"/>
      <c r="N228" s="632"/>
      <c r="O228" s="632"/>
    </row>
    <row r="229" customFormat="false" ht="15" hidden="false" customHeight="false" outlineLevel="0" collapsed="false">
      <c r="A229" s="628"/>
      <c r="B229" s="628"/>
      <c r="C229" s="628"/>
      <c r="D229" s="628"/>
      <c r="E229" s="633"/>
      <c r="F229" s="630"/>
      <c r="G229" s="632"/>
      <c r="H229" s="634"/>
      <c r="I229" s="632"/>
      <c r="J229" s="632"/>
      <c r="K229" s="632"/>
      <c r="L229" s="632"/>
      <c r="M229" s="632"/>
      <c r="N229" s="632"/>
      <c r="O229" s="632"/>
    </row>
    <row r="230" customFormat="false" ht="15" hidden="false" customHeight="false" outlineLevel="0" collapsed="false">
      <c r="A230" s="628"/>
      <c r="B230" s="628"/>
      <c r="C230" s="628"/>
      <c r="D230" s="628"/>
      <c r="E230" s="633"/>
      <c r="F230" s="630"/>
      <c r="G230" s="632"/>
      <c r="H230" s="634"/>
      <c r="I230" s="632"/>
      <c r="J230" s="632"/>
      <c r="K230" s="632"/>
      <c r="L230" s="632"/>
      <c r="M230" s="632"/>
      <c r="N230" s="632"/>
      <c r="O230" s="632"/>
    </row>
    <row r="231" customFormat="false" ht="15" hidden="false" customHeight="false" outlineLevel="0" collapsed="false">
      <c r="A231" s="628"/>
      <c r="B231" s="628"/>
      <c r="C231" s="628"/>
      <c r="D231" s="628"/>
      <c r="E231" s="633"/>
      <c r="F231" s="630"/>
      <c r="G231" s="632"/>
      <c r="H231" s="634"/>
      <c r="I231" s="632"/>
      <c r="J231" s="632"/>
      <c r="K231" s="632"/>
      <c r="L231" s="632"/>
      <c r="M231" s="632"/>
      <c r="N231" s="632"/>
      <c r="O231" s="632"/>
    </row>
    <row r="232" customFormat="false" ht="15" hidden="false" customHeight="false" outlineLevel="0" collapsed="false">
      <c r="A232" s="628"/>
      <c r="B232" s="628"/>
      <c r="C232" s="628"/>
      <c r="D232" s="628"/>
      <c r="E232" s="633"/>
      <c r="F232" s="630"/>
      <c r="G232" s="632"/>
      <c r="H232" s="634"/>
      <c r="I232" s="632"/>
      <c r="J232" s="632"/>
      <c r="K232" s="632"/>
      <c r="L232" s="632"/>
      <c r="M232" s="632"/>
      <c r="N232" s="632"/>
      <c r="O232" s="632"/>
    </row>
    <row r="233" customFormat="false" ht="15" hidden="false" customHeight="false" outlineLevel="0" collapsed="false">
      <c r="A233" s="628"/>
      <c r="B233" s="628"/>
      <c r="C233" s="628"/>
      <c r="D233" s="628"/>
      <c r="E233" s="633"/>
      <c r="F233" s="630"/>
      <c r="G233" s="632"/>
      <c r="H233" s="634"/>
      <c r="I233" s="632"/>
      <c r="J233" s="632"/>
      <c r="K233" s="632"/>
      <c r="L233" s="632"/>
      <c r="M233" s="632"/>
      <c r="N233" s="632"/>
      <c r="O233" s="632"/>
    </row>
    <row r="234" customFormat="false" ht="15" hidden="false" customHeight="false" outlineLevel="0" collapsed="false">
      <c r="A234" s="628"/>
      <c r="B234" s="628"/>
      <c r="C234" s="628"/>
      <c r="D234" s="628"/>
      <c r="E234" s="636"/>
      <c r="F234" s="630"/>
      <c r="G234" s="637"/>
      <c r="H234" s="638"/>
      <c r="I234" s="637"/>
      <c r="J234" s="632"/>
      <c r="K234" s="632"/>
      <c r="L234" s="632"/>
      <c r="M234" s="632"/>
      <c r="N234" s="632"/>
      <c r="O234" s="632"/>
    </row>
    <row r="235" customFormat="false" ht="15" hidden="false" customHeight="false" outlineLevel="0" collapsed="false">
      <c r="A235" s="639" t="s">
        <v>366</v>
      </c>
      <c r="B235" s="639"/>
      <c r="C235" s="639"/>
      <c r="D235" s="639"/>
      <c r="E235" s="640" t="n">
        <f aca="false">AVERAGE(E225:E234)</f>
        <v>0</v>
      </c>
      <c r="F235" s="641"/>
      <c r="G235" s="642" t="n">
        <f aca="false">IF(E235&lt;&gt;0,SUM(G225:G234)/E235,0)</f>
        <v>0</v>
      </c>
      <c r="H235" s="368"/>
      <c r="I235" s="642" t="n">
        <f aca="false">IF(E235&lt;&gt;0,SUM(I225:I234)/E235,0)</f>
        <v>0</v>
      </c>
      <c r="J235" s="640" t="n">
        <f aca="false">COUNTIF(J225:J234,$Q$4)</f>
        <v>0</v>
      </c>
      <c r="K235" s="640" t="n">
        <f aca="false">COUNTIF(K225:K234,$Q$4)</f>
        <v>0</v>
      </c>
      <c r="L235" s="640" t="n">
        <f aca="false">COUNTIF(L225:L234,$Q$4)</f>
        <v>0</v>
      </c>
      <c r="M235" s="640" t="n">
        <f aca="false">COUNTIF(M225:M234,$Q$4)</f>
        <v>0</v>
      </c>
      <c r="N235" s="640" t="n">
        <f aca="false">COUNTIF(N225:N234,$Q$4)</f>
        <v>0</v>
      </c>
      <c r="O235" s="640" t="n">
        <f aca="false">COUNTIF(O225:O234,$Q$4)</f>
        <v>0</v>
      </c>
    </row>
    <row r="236" customFormat="false" ht="15" hidden="false" customHeight="false" outlineLevel="0" collapsed="false">
      <c r="A236" s="628" t="n">
        <f aca="false">'Listado CAPS'!A24</f>
        <v>0</v>
      </c>
      <c r="B236" s="628" t="n">
        <f aca="false">'Listado CAPS'!B24</f>
        <v>0</v>
      </c>
      <c r="C236" s="628" t="n">
        <f aca="false">'Listado CAPS'!C24</f>
        <v>0</v>
      </c>
      <c r="D236" s="628" t="str">
        <f aca="false">'Listado CAPS'!D24</f>
        <v>U</v>
      </c>
      <c r="E236" s="629" t="n">
        <v>0</v>
      </c>
      <c r="F236" s="630"/>
      <c r="G236" s="631"/>
      <c r="H236" s="630"/>
      <c r="I236" s="631"/>
      <c r="J236" s="632"/>
      <c r="K236" s="632"/>
      <c r="L236" s="632"/>
      <c r="M236" s="632"/>
      <c r="N236" s="632"/>
      <c r="O236" s="632"/>
    </row>
    <row r="237" customFormat="false" ht="15" hidden="false" customHeight="false" outlineLevel="0" collapsed="false">
      <c r="A237" s="628"/>
      <c r="B237" s="628"/>
      <c r="C237" s="628"/>
      <c r="D237" s="628"/>
      <c r="E237" s="633"/>
      <c r="F237" s="630"/>
      <c r="G237" s="632"/>
      <c r="H237" s="634"/>
      <c r="I237" s="632"/>
      <c r="J237" s="632"/>
      <c r="K237" s="632"/>
      <c r="L237" s="632"/>
      <c r="M237" s="632"/>
      <c r="N237" s="632"/>
      <c r="O237" s="632"/>
    </row>
    <row r="238" customFormat="false" ht="15" hidden="false" customHeight="false" outlineLevel="0" collapsed="false">
      <c r="A238" s="628"/>
      <c r="B238" s="628"/>
      <c r="C238" s="628"/>
      <c r="D238" s="628"/>
      <c r="E238" s="633"/>
      <c r="F238" s="630"/>
      <c r="G238" s="632"/>
      <c r="H238" s="634"/>
      <c r="I238" s="632"/>
      <c r="J238" s="632"/>
      <c r="K238" s="632"/>
      <c r="L238" s="632"/>
      <c r="M238" s="632"/>
      <c r="N238" s="632"/>
      <c r="O238" s="632"/>
    </row>
    <row r="239" customFormat="false" ht="15" hidden="false" customHeight="false" outlineLevel="0" collapsed="false">
      <c r="A239" s="628"/>
      <c r="B239" s="628"/>
      <c r="C239" s="628"/>
      <c r="D239" s="628"/>
      <c r="E239" s="633"/>
      <c r="F239" s="630"/>
      <c r="G239" s="632"/>
      <c r="H239" s="634"/>
      <c r="I239" s="632"/>
      <c r="J239" s="632"/>
      <c r="K239" s="632"/>
      <c r="L239" s="632"/>
      <c r="M239" s="632"/>
      <c r="N239" s="632"/>
      <c r="O239" s="632"/>
    </row>
    <row r="240" customFormat="false" ht="15" hidden="false" customHeight="false" outlineLevel="0" collapsed="false">
      <c r="A240" s="628"/>
      <c r="B240" s="628"/>
      <c r="C240" s="628"/>
      <c r="D240" s="628"/>
      <c r="E240" s="633"/>
      <c r="F240" s="630"/>
      <c r="G240" s="632"/>
      <c r="H240" s="634"/>
      <c r="I240" s="632"/>
      <c r="J240" s="632"/>
      <c r="K240" s="632"/>
      <c r="L240" s="632"/>
      <c r="M240" s="632"/>
      <c r="N240" s="632"/>
      <c r="O240" s="632"/>
    </row>
    <row r="241" customFormat="false" ht="15" hidden="false" customHeight="false" outlineLevel="0" collapsed="false">
      <c r="A241" s="628"/>
      <c r="B241" s="628"/>
      <c r="C241" s="628"/>
      <c r="D241" s="628"/>
      <c r="E241" s="633"/>
      <c r="F241" s="630"/>
      <c r="G241" s="632"/>
      <c r="H241" s="634"/>
      <c r="I241" s="632"/>
      <c r="J241" s="632"/>
      <c r="K241" s="632"/>
      <c r="L241" s="632"/>
      <c r="M241" s="632"/>
      <c r="N241" s="632"/>
      <c r="O241" s="632"/>
    </row>
    <row r="242" customFormat="false" ht="15" hidden="false" customHeight="false" outlineLevel="0" collapsed="false">
      <c r="A242" s="628"/>
      <c r="B242" s="628"/>
      <c r="C242" s="628"/>
      <c r="D242" s="628"/>
      <c r="E242" s="633"/>
      <c r="F242" s="630"/>
      <c r="G242" s="632"/>
      <c r="H242" s="634"/>
      <c r="I242" s="632"/>
      <c r="J242" s="632"/>
      <c r="K242" s="632"/>
      <c r="L242" s="632"/>
      <c r="M242" s="632"/>
      <c r="N242" s="632"/>
      <c r="O242" s="632"/>
    </row>
    <row r="243" customFormat="false" ht="15" hidden="false" customHeight="false" outlineLevel="0" collapsed="false">
      <c r="A243" s="628"/>
      <c r="B243" s="628"/>
      <c r="C243" s="628"/>
      <c r="D243" s="628"/>
      <c r="E243" s="633"/>
      <c r="F243" s="630"/>
      <c r="G243" s="632"/>
      <c r="H243" s="634"/>
      <c r="I243" s="632"/>
      <c r="J243" s="632"/>
      <c r="K243" s="632"/>
      <c r="L243" s="632"/>
      <c r="M243" s="632"/>
      <c r="N243" s="632"/>
      <c r="O243" s="632"/>
    </row>
    <row r="244" customFormat="false" ht="15" hidden="false" customHeight="false" outlineLevel="0" collapsed="false">
      <c r="A244" s="628"/>
      <c r="B244" s="628"/>
      <c r="C244" s="628"/>
      <c r="D244" s="628"/>
      <c r="E244" s="633"/>
      <c r="F244" s="630"/>
      <c r="G244" s="632"/>
      <c r="H244" s="634"/>
      <c r="I244" s="632"/>
      <c r="J244" s="632"/>
      <c r="K244" s="632"/>
      <c r="L244" s="632"/>
      <c r="M244" s="632"/>
      <c r="N244" s="632"/>
      <c r="O244" s="632"/>
    </row>
    <row r="245" customFormat="false" ht="15" hidden="false" customHeight="false" outlineLevel="0" collapsed="false">
      <c r="A245" s="628"/>
      <c r="B245" s="628"/>
      <c r="C245" s="628"/>
      <c r="D245" s="628"/>
      <c r="E245" s="636"/>
      <c r="F245" s="630"/>
      <c r="G245" s="637"/>
      <c r="H245" s="638"/>
      <c r="I245" s="637"/>
      <c r="J245" s="632"/>
      <c r="K245" s="632"/>
      <c r="L245" s="632"/>
      <c r="M245" s="632"/>
      <c r="N245" s="632"/>
      <c r="O245" s="632"/>
    </row>
    <row r="246" customFormat="false" ht="15" hidden="false" customHeight="false" outlineLevel="0" collapsed="false">
      <c r="A246" s="639" t="s">
        <v>366</v>
      </c>
      <c r="B246" s="639"/>
      <c r="C246" s="639"/>
      <c r="D246" s="639"/>
      <c r="E246" s="640" t="n">
        <f aca="false">AVERAGE(E236:E245)</f>
        <v>0</v>
      </c>
      <c r="F246" s="641"/>
      <c r="G246" s="642" t="n">
        <f aca="false">IF(E246&lt;&gt;0,SUM(G236:G245)/E246,0)</f>
        <v>0</v>
      </c>
      <c r="H246" s="368"/>
      <c r="I246" s="642" t="n">
        <f aca="false">IF(E246&lt;&gt;0,SUM(I236:I245)/E246,0)</f>
        <v>0</v>
      </c>
      <c r="J246" s="640" t="n">
        <f aca="false">COUNTIF(J236:J245,$Q$4)</f>
        <v>0</v>
      </c>
      <c r="K246" s="640" t="n">
        <f aca="false">COUNTIF(K236:K245,$Q$4)</f>
        <v>0</v>
      </c>
      <c r="L246" s="640" t="n">
        <f aca="false">COUNTIF(L236:L245,$Q$4)</f>
        <v>0</v>
      </c>
      <c r="M246" s="640" t="n">
        <f aca="false">COUNTIF(M236:M245,$Q$4)</f>
        <v>0</v>
      </c>
      <c r="N246" s="640" t="n">
        <f aca="false">COUNTIF(N236:N245,$Q$4)</f>
        <v>0</v>
      </c>
      <c r="O246" s="640" t="n">
        <f aca="false">COUNTIF(O236:O245,$Q$4)</f>
        <v>0</v>
      </c>
    </row>
    <row r="247" customFormat="false" ht="15" hidden="false" customHeight="false" outlineLevel="0" collapsed="false">
      <c r="A247" s="628" t="n">
        <f aca="false">'Listado CAPS'!A25</f>
        <v>0</v>
      </c>
      <c r="B247" s="628" t="n">
        <f aca="false">'Listado CAPS'!B25</f>
        <v>0</v>
      </c>
      <c r="C247" s="628" t="n">
        <f aca="false">'Listado CAPS'!C25</f>
        <v>0</v>
      </c>
      <c r="D247" s="628" t="str">
        <f aca="false">'Listado CAPS'!D25</f>
        <v>V</v>
      </c>
      <c r="E247" s="629" t="n">
        <v>0</v>
      </c>
      <c r="F247" s="630"/>
      <c r="G247" s="631"/>
      <c r="H247" s="630"/>
      <c r="I247" s="631"/>
      <c r="J247" s="632"/>
      <c r="K247" s="632"/>
      <c r="L247" s="632"/>
      <c r="M247" s="632"/>
      <c r="N247" s="632"/>
      <c r="O247" s="632"/>
    </row>
    <row r="248" customFormat="false" ht="15" hidden="false" customHeight="false" outlineLevel="0" collapsed="false">
      <c r="A248" s="628"/>
      <c r="B248" s="628"/>
      <c r="C248" s="628"/>
      <c r="D248" s="628"/>
      <c r="E248" s="633"/>
      <c r="F248" s="630"/>
      <c r="G248" s="632"/>
      <c r="H248" s="634"/>
      <c r="I248" s="632"/>
      <c r="J248" s="632"/>
      <c r="K248" s="632"/>
      <c r="L248" s="632"/>
      <c r="M248" s="632"/>
      <c r="N248" s="632"/>
      <c r="O248" s="632"/>
    </row>
    <row r="249" customFormat="false" ht="15" hidden="false" customHeight="false" outlineLevel="0" collapsed="false">
      <c r="A249" s="628"/>
      <c r="B249" s="628"/>
      <c r="C249" s="628"/>
      <c r="D249" s="628"/>
      <c r="E249" s="633"/>
      <c r="F249" s="630"/>
      <c r="G249" s="632"/>
      <c r="H249" s="634"/>
      <c r="I249" s="632"/>
      <c r="J249" s="632"/>
      <c r="K249" s="632"/>
      <c r="L249" s="632"/>
      <c r="M249" s="632"/>
      <c r="N249" s="632"/>
      <c r="O249" s="632"/>
    </row>
    <row r="250" customFormat="false" ht="15" hidden="false" customHeight="false" outlineLevel="0" collapsed="false">
      <c r="A250" s="628"/>
      <c r="B250" s="628"/>
      <c r="C250" s="628"/>
      <c r="D250" s="628"/>
      <c r="E250" s="633"/>
      <c r="F250" s="630"/>
      <c r="G250" s="632"/>
      <c r="H250" s="634"/>
      <c r="I250" s="632"/>
      <c r="J250" s="632"/>
      <c r="K250" s="632"/>
      <c r="L250" s="632"/>
      <c r="M250" s="632"/>
      <c r="N250" s="632"/>
      <c r="O250" s="632"/>
    </row>
    <row r="251" customFormat="false" ht="15" hidden="false" customHeight="false" outlineLevel="0" collapsed="false">
      <c r="A251" s="628"/>
      <c r="B251" s="628"/>
      <c r="C251" s="628"/>
      <c r="D251" s="628"/>
      <c r="E251" s="633"/>
      <c r="F251" s="630"/>
      <c r="G251" s="632"/>
      <c r="H251" s="634"/>
      <c r="I251" s="632"/>
      <c r="J251" s="632"/>
      <c r="K251" s="632"/>
      <c r="L251" s="632"/>
      <c r="M251" s="632"/>
      <c r="N251" s="632"/>
      <c r="O251" s="632"/>
    </row>
    <row r="252" customFormat="false" ht="15" hidden="false" customHeight="false" outlineLevel="0" collapsed="false">
      <c r="A252" s="628"/>
      <c r="B252" s="628"/>
      <c r="C252" s="628"/>
      <c r="D252" s="628"/>
      <c r="E252" s="633"/>
      <c r="F252" s="630"/>
      <c r="G252" s="632"/>
      <c r="H252" s="634"/>
      <c r="I252" s="632"/>
      <c r="J252" s="632"/>
      <c r="K252" s="632"/>
      <c r="L252" s="632"/>
      <c r="M252" s="632"/>
      <c r="N252" s="632"/>
      <c r="O252" s="632"/>
    </row>
    <row r="253" customFormat="false" ht="15" hidden="false" customHeight="false" outlineLevel="0" collapsed="false">
      <c r="A253" s="628"/>
      <c r="B253" s="628"/>
      <c r="C253" s="628"/>
      <c r="D253" s="628"/>
      <c r="E253" s="633"/>
      <c r="F253" s="630"/>
      <c r="G253" s="632"/>
      <c r="H253" s="634"/>
      <c r="I253" s="632"/>
      <c r="J253" s="632"/>
      <c r="K253" s="632"/>
      <c r="L253" s="632"/>
      <c r="M253" s="632"/>
      <c r="N253" s="632"/>
      <c r="O253" s="632"/>
    </row>
    <row r="254" customFormat="false" ht="15" hidden="false" customHeight="false" outlineLevel="0" collapsed="false">
      <c r="A254" s="628"/>
      <c r="B254" s="628"/>
      <c r="C254" s="628"/>
      <c r="D254" s="628"/>
      <c r="E254" s="633"/>
      <c r="F254" s="630"/>
      <c r="G254" s="632"/>
      <c r="H254" s="634"/>
      <c r="I254" s="632"/>
      <c r="J254" s="632"/>
      <c r="K254" s="632"/>
      <c r="L254" s="632"/>
      <c r="M254" s="632"/>
      <c r="N254" s="632"/>
      <c r="O254" s="632"/>
    </row>
    <row r="255" customFormat="false" ht="15" hidden="false" customHeight="false" outlineLevel="0" collapsed="false">
      <c r="A255" s="628"/>
      <c r="B255" s="628"/>
      <c r="C255" s="628"/>
      <c r="D255" s="628"/>
      <c r="E255" s="633"/>
      <c r="F255" s="630"/>
      <c r="G255" s="632"/>
      <c r="H255" s="634"/>
      <c r="I255" s="632"/>
      <c r="J255" s="632"/>
      <c r="K255" s="632"/>
      <c r="L255" s="632"/>
      <c r="M255" s="632"/>
      <c r="N255" s="632"/>
      <c r="O255" s="632"/>
    </row>
    <row r="256" customFormat="false" ht="15" hidden="false" customHeight="false" outlineLevel="0" collapsed="false">
      <c r="A256" s="628"/>
      <c r="B256" s="628"/>
      <c r="C256" s="628"/>
      <c r="D256" s="628"/>
      <c r="E256" s="636"/>
      <c r="F256" s="630"/>
      <c r="G256" s="637"/>
      <c r="H256" s="638"/>
      <c r="I256" s="637"/>
      <c r="J256" s="632"/>
      <c r="K256" s="632"/>
      <c r="L256" s="632"/>
      <c r="M256" s="632"/>
      <c r="N256" s="632"/>
      <c r="O256" s="632"/>
    </row>
    <row r="257" customFormat="false" ht="15" hidden="false" customHeight="false" outlineLevel="0" collapsed="false">
      <c r="A257" s="639" t="s">
        <v>366</v>
      </c>
      <c r="B257" s="639"/>
      <c r="C257" s="639"/>
      <c r="D257" s="639"/>
      <c r="E257" s="640" t="n">
        <f aca="false">AVERAGE(E247:E256)</f>
        <v>0</v>
      </c>
      <c r="F257" s="641"/>
      <c r="G257" s="642" t="n">
        <f aca="false">IF(E257&lt;&gt;0,SUM(G247:G256)/E257,0)</f>
        <v>0</v>
      </c>
      <c r="H257" s="368"/>
      <c r="I257" s="642" t="n">
        <f aca="false">IF(E257&lt;&gt;0,SUM(I247:I256)/E257,0)</f>
        <v>0</v>
      </c>
      <c r="J257" s="640" t="n">
        <f aca="false">COUNTIF(J247:J256,$Q$4)</f>
        <v>0</v>
      </c>
      <c r="K257" s="640" t="n">
        <f aca="false">COUNTIF(K247:K256,$Q$4)</f>
        <v>0</v>
      </c>
      <c r="L257" s="640" t="n">
        <f aca="false">COUNTIF(L247:L256,$Q$4)</f>
        <v>0</v>
      </c>
      <c r="M257" s="640" t="n">
        <f aca="false">COUNTIF(M247:M256,$Q$4)</f>
        <v>0</v>
      </c>
      <c r="N257" s="640" t="n">
        <f aca="false">COUNTIF(N247:N256,$Q$4)</f>
        <v>0</v>
      </c>
      <c r="O257" s="640" t="n">
        <f aca="false">COUNTIF(O247:O256,$Q$4)</f>
        <v>0</v>
      </c>
    </row>
    <row r="258" customFormat="false" ht="15" hidden="false" customHeight="false" outlineLevel="0" collapsed="false">
      <c r="A258" s="628" t="n">
        <f aca="false">'Listado CAPS'!A26</f>
        <v>0</v>
      </c>
      <c r="B258" s="628" t="n">
        <f aca="false">'Listado CAPS'!B26</f>
        <v>0</v>
      </c>
      <c r="C258" s="628" t="n">
        <f aca="false">'Listado CAPS'!C26</f>
        <v>0</v>
      </c>
      <c r="D258" s="628" t="str">
        <f aca="false">'Listado CAPS'!D26</f>
        <v>W</v>
      </c>
      <c r="E258" s="629" t="n">
        <v>0</v>
      </c>
      <c r="F258" s="630"/>
      <c r="G258" s="631"/>
      <c r="H258" s="630"/>
      <c r="I258" s="631"/>
      <c r="J258" s="632"/>
      <c r="K258" s="632"/>
      <c r="L258" s="632"/>
      <c r="M258" s="632"/>
      <c r="N258" s="632"/>
      <c r="O258" s="632"/>
    </row>
    <row r="259" customFormat="false" ht="15" hidden="false" customHeight="false" outlineLevel="0" collapsed="false">
      <c r="A259" s="628"/>
      <c r="B259" s="628"/>
      <c r="C259" s="628"/>
      <c r="D259" s="628"/>
      <c r="E259" s="633"/>
      <c r="F259" s="630"/>
      <c r="G259" s="632"/>
      <c r="H259" s="634"/>
      <c r="I259" s="632"/>
      <c r="J259" s="632"/>
      <c r="K259" s="632"/>
      <c r="L259" s="632"/>
      <c r="M259" s="632"/>
      <c r="N259" s="632"/>
      <c r="O259" s="632"/>
    </row>
    <row r="260" customFormat="false" ht="15" hidden="false" customHeight="false" outlineLevel="0" collapsed="false">
      <c r="A260" s="628"/>
      <c r="B260" s="628"/>
      <c r="C260" s="628"/>
      <c r="D260" s="628"/>
      <c r="E260" s="633"/>
      <c r="F260" s="630"/>
      <c r="G260" s="632"/>
      <c r="H260" s="634"/>
      <c r="I260" s="632"/>
      <c r="J260" s="632"/>
      <c r="K260" s="632"/>
      <c r="L260" s="632"/>
      <c r="M260" s="632"/>
      <c r="N260" s="632"/>
      <c r="O260" s="632"/>
    </row>
    <row r="261" customFormat="false" ht="15" hidden="false" customHeight="false" outlineLevel="0" collapsed="false">
      <c r="A261" s="628"/>
      <c r="B261" s="628"/>
      <c r="C261" s="628"/>
      <c r="D261" s="628"/>
      <c r="E261" s="633"/>
      <c r="F261" s="630"/>
      <c r="G261" s="632"/>
      <c r="H261" s="634"/>
      <c r="I261" s="632"/>
      <c r="J261" s="632"/>
      <c r="K261" s="632"/>
      <c r="L261" s="632"/>
      <c r="M261" s="632"/>
      <c r="N261" s="632"/>
      <c r="O261" s="632"/>
    </row>
    <row r="262" customFormat="false" ht="15" hidden="false" customHeight="false" outlineLevel="0" collapsed="false">
      <c r="A262" s="628"/>
      <c r="B262" s="628"/>
      <c r="C262" s="628"/>
      <c r="D262" s="628"/>
      <c r="E262" s="633"/>
      <c r="F262" s="630"/>
      <c r="G262" s="632"/>
      <c r="H262" s="634"/>
      <c r="I262" s="632"/>
      <c r="J262" s="632"/>
      <c r="K262" s="632"/>
      <c r="L262" s="632"/>
      <c r="M262" s="632"/>
      <c r="N262" s="632"/>
      <c r="O262" s="632"/>
    </row>
    <row r="263" customFormat="false" ht="15" hidden="false" customHeight="false" outlineLevel="0" collapsed="false">
      <c r="A263" s="628"/>
      <c r="B263" s="628"/>
      <c r="C263" s="628"/>
      <c r="D263" s="628"/>
      <c r="E263" s="633"/>
      <c r="F263" s="630"/>
      <c r="G263" s="632"/>
      <c r="H263" s="634"/>
      <c r="I263" s="632"/>
      <c r="J263" s="632"/>
      <c r="K263" s="632"/>
      <c r="L263" s="632"/>
      <c r="M263" s="632"/>
      <c r="N263" s="632"/>
      <c r="O263" s="632"/>
    </row>
    <row r="264" customFormat="false" ht="15" hidden="false" customHeight="false" outlineLevel="0" collapsed="false">
      <c r="A264" s="628"/>
      <c r="B264" s="628"/>
      <c r="C264" s="628"/>
      <c r="D264" s="628"/>
      <c r="E264" s="633"/>
      <c r="F264" s="630"/>
      <c r="G264" s="632"/>
      <c r="H264" s="634"/>
      <c r="I264" s="632"/>
      <c r="J264" s="632"/>
      <c r="K264" s="632"/>
      <c r="L264" s="632"/>
      <c r="M264" s="632"/>
      <c r="N264" s="632"/>
      <c r="O264" s="632"/>
    </row>
    <row r="265" customFormat="false" ht="15" hidden="false" customHeight="false" outlineLevel="0" collapsed="false">
      <c r="A265" s="628"/>
      <c r="B265" s="628"/>
      <c r="C265" s="628"/>
      <c r="D265" s="628"/>
      <c r="E265" s="633"/>
      <c r="F265" s="630"/>
      <c r="G265" s="632"/>
      <c r="H265" s="634"/>
      <c r="I265" s="632"/>
      <c r="J265" s="632"/>
      <c r="K265" s="632"/>
      <c r="L265" s="632"/>
      <c r="M265" s="632"/>
      <c r="N265" s="632"/>
      <c r="O265" s="632"/>
    </row>
    <row r="266" customFormat="false" ht="15" hidden="false" customHeight="false" outlineLevel="0" collapsed="false">
      <c r="A266" s="628"/>
      <c r="B266" s="628"/>
      <c r="C266" s="628"/>
      <c r="D266" s="628"/>
      <c r="E266" s="633"/>
      <c r="F266" s="630"/>
      <c r="G266" s="632"/>
      <c r="H266" s="634"/>
      <c r="I266" s="632"/>
      <c r="J266" s="632"/>
      <c r="K266" s="632"/>
      <c r="L266" s="632"/>
      <c r="M266" s="632"/>
      <c r="N266" s="632"/>
      <c r="O266" s="632"/>
    </row>
    <row r="267" customFormat="false" ht="15" hidden="false" customHeight="false" outlineLevel="0" collapsed="false">
      <c r="A267" s="628"/>
      <c r="B267" s="628"/>
      <c r="C267" s="628"/>
      <c r="D267" s="628"/>
      <c r="E267" s="636"/>
      <c r="F267" s="630"/>
      <c r="G267" s="637"/>
      <c r="H267" s="638"/>
      <c r="I267" s="637"/>
      <c r="J267" s="632"/>
      <c r="K267" s="632"/>
      <c r="L267" s="632"/>
      <c r="M267" s="632"/>
      <c r="N267" s="632"/>
      <c r="O267" s="632"/>
    </row>
    <row r="268" customFormat="false" ht="15" hidden="false" customHeight="false" outlineLevel="0" collapsed="false">
      <c r="A268" s="639" t="s">
        <v>366</v>
      </c>
      <c r="B268" s="639"/>
      <c r="C268" s="639"/>
      <c r="D268" s="639"/>
      <c r="E268" s="640" t="n">
        <f aca="false">AVERAGE(E258:E267)</f>
        <v>0</v>
      </c>
      <c r="F268" s="641"/>
      <c r="G268" s="642" t="n">
        <f aca="false">IF(E268&lt;&gt;0,SUM(G258:G267)/E268,0)</f>
        <v>0</v>
      </c>
      <c r="H268" s="368"/>
      <c r="I268" s="642" t="n">
        <f aca="false">IF(E268&lt;&gt;0,SUM(I258:I267)/E268,0)</f>
        <v>0</v>
      </c>
      <c r="J268" s="640" t="n">
        <f aca="false">COUNTIF(J258:J267,$Q$4)</f>
        <v>0</v>
      </c>
      <c r="K268" s="640" t="n">
        <f aca="false">COUNTIF(K258:K267,$Q$4)</f>
        <v>0</v>
      </c>
      <c r="L268" s="640" t="n">
        <f aca="false">COUNTIF(L258:L267,$Q$4)</f>
        <v>0</v>
      </c>
      <c r="M268" s="640" t="n">
        <f aca="false">COUNTIF(M258:M267,$Q$4)</f>
        <v>0</v>
      </c>
      <c r="N268" s="640" t="n">
        <f aca="false">COUNTIF(N258:N267,$Q$4)</f>
        <v>0</v>
      </c>
      <c r="O268" s="640" t="n">
        <f aca="false">COUNTIF(O258:O267,$Q$4)</f>
        <v>0</v>
      </c>
    </row>
    <row r="269" customFormat="false" ht="15" hidden="false" customHeight="false" outlineLevel="0" collapsed="false">
      <c r="A269" s="628" t="n">
        <f aca="false">'Listado CAPS'!A27</f>
        <v>0</v>
      </c>
      <c r="B269" s="628" t="n">
        <f aca="false">'Listado CAPS'!B27</f>
        <v>0</v>
      </c>
      <c r="C269" s="628" t="n">
        <f aca="false">'Listado CAPS'!C27</f>
        <v>0</v>
      </c>
      <c r="D269" s="628" t="str">
        <f aca="false">'Listado CAPS'!D27</f>
        <v>X</v>
      </c>
      <c r="E269" s="629" t="n">
        <v>0</v>
      </c>
      <c r="F269" s="630"/>
      <c r="G269" s="631"/>
      <c r="H269" s="630"/>
      <c r="I269" s="631"/>
      <c r="J269" s="632"/>
      <c r="K269" s="632"/>
      <c r="L269" s="632"/>
      <c r="M269" s="632"/>
      <c r="N269" s="632"/>
      <c r="O269" s="632"/>
    </row>
    <row r="270" customFormat="false" ht="15" hidden="false" customHeight="false" outlineLevel="0" collapsed="false">
      <c r="A270" s="628"/>
      <c r="B270" s="628"/>
      <c r="C270" s="628"/>
      <c r="D270" s="628"/>
      <c r="E270" s="633"/>
      <c r="F270" s="630"/>
      <c r="G270" s="632"/>
      <c r="H270" s="634"/>
      <c r="I270" s="632"/>
      <c r="J270" s="632"/>
      <c r="K270" s="632"/>
      <c r="L270" s="632"/>
      <c r="M270" s="632"/>
      <c r="N270" s="632"/>
      <c r="O270" s="632"/>
    </row>
    <row r="271" customFormat="false" ht="15" hidden="false" customHeight="false" outlineLevel="0" collapsed="false">
      <c r="A271" s="628"/>
      <c r="B271" s="628"/>
      <c r="C271" s="628"/>
      <c r="D271" s="628"/>
      <c r="E271" s="633"/>
      <c r="F271" s="630"/>
      <c r="G271" s="632"/>
      <c r="H271" s="634"/>
      <c r="I271" s="632"/>
      <c r="J271" s="632"/>
      <c r="K271" s="632"/>
      <c r="L271" s="632"/>
      <c r="M271" s="632"/>
      <c r="N271" s="632"/>
      <c r="O271" s="632"/>
    </row>
    <row r="272" customFormat="false" ht="15" hidden="false" customHeight="false" outlineLevel="0" collapsed="false">
      <c r="A272" s="628"/>
      <c r="B272" s="628"/>
      <c r="C272" s="628"/>
      <c r="D272" s="628"/>
      <c r="E272" s="633"/>
      <c r="F272" s="630"/>
      <c r="G272" s="632"/>
      <c r="H272" s="634"/>
      <c r="I272" s="632"/>
      <c r="J272" s="632"/>
      <c r="K272" s="632"/>
      <c r="L272" s="632"/>
      <c r="M272" s="632"/>
      <c r="N272" s="632"/>
      <c r="O272" s="632"/>
    </row>
    <row r="273" customFormat="false" ht="15" hidden="false" customHeight="false" outlineLevel="0" collapsed="false">
      <c r="A273" s="628"/>
      <c r="B273" s="628"/>
      <c r="C273" s="628"/>
      <c r="D273" s="628"/>
      <c r="E273" s="633"/>
      <c r="F273" s="630"/>
      <c r="G273" s="632"/>
      <c r="H273" s="634"/>
      <c r="I273" s="632"/>
      <c r="J273" s="632"/>
      <c r="K273" s="632"/>
      <c r="L273" s="632"/>
      <c r="M273" s="632"/>
      <c r="N273" s="632"/>
      <c r="O273" s="632"/>
    </row>
    <row r="274" customFormat="false" ht="15" hidden="false" customHeight="false" outlineLevel="0" collapsed="false">
      <c r="A274" s="628"/>
      <c r="B274" s="628"/>
      <c r="C274" s="628"/>
      <c r="D274" s="628"/>
      <c r="E274" s="633"/>
      <c r="F274" s="630"/>
      <c r="G274" s="632"/>
      <c r="H274" s="634"/>
      <c r="I274" s="632"/>
      <c r="J274" s="632"/>
      <c r="K274" s="632"/>
      <c r="L274" s="632"/>
      <c r="M274" s="632"/>
      <c r="N274" s="632"/>
      <c r="O274" s="632"/>
    </row>
    <row r="275" customFormat="false" ht="15" hidden="false" customHeight="false" outlineLevel="0" collapsed="false">
      <c r="A275" s="628"/>
      <c r="B275" s="628"/>
      <c r="C275" s="628"/>
      <c r="D275" s="628"/>
      <c r="E275" s="633"/>
      <c r="F275" s="630"/>
      <c r="G275" s="632"/>
      <c r="H275" s="634"/>
      <c r="I275" s="632"/>
      <c r="J275" s="632"/>
      <c r="K275" s="632"/>
      <c r="L275" s="632"/>
      <c r="M275" s="632"/>
      <c r="N275" s="632"/>
      <c r="O275" s="632"/>
    </row>
    <row r="276" customFormat="false" ht="15" hidden="false" customHeight="false" outlineLevel="0" collapsed="false">
      <c r="A276" s="628"/>
      <c r="B276" s="628"/>
      <c r="C276" s="628"/>
      <c r="D276" s="628"/>
      <c r="E276" s="633"/>
      <c r="F276" s="630"/>
      <c r="G276" s="632"/>
      <c r="H276" s="634"/>
      <c r="I276" s="632"/>
      <c r="J276" s="632"/>
      <c r="K276" s="632"/>
      <c r="L276" s="632"/>
      <c r="M276" s="632"/>
      <c r="N276" s="632"/>
      <c r="O276" s="632"/>
    </row>
    <row r="277" customFormat="false" ht="15" hidden="false" customHeight="false" outlineLevel="0" collapsed="false">
      <c r="A277" s="628"/>
      <c r="B277" s="628"/>
      <c r="C277" s="628"/>
      <c r="D277" s="628"/>
      <c r="E277" s="633"/>
      <c r="F277" s="630"/>
      <c r="G277" s="632"/>
      <c r="H277" s="634"/>
      <c r="I277" s="632"/>
      <c r="J277" s="632"/>
      <c r="K277" s="632"/>
      <c r="L277" s="632"/>
      <c r="M277" s="632"/>
      <c r="N277" s="632"/>
      <c r="O277" s="632"/>
    </row>
    <row r="278" customFormat="false" ht="15" hidden="false" customHeight="false" outlineLevel="0" collapsed="false">
      <c r="A278" s="628"/>
      <c r="B278" s="628"/>
      <c r="C278" s="628"/>
      <c r="D278" s="628"/>
      <c r="E278" s="636"/>
      <c r="F278" s="630"/>
      <c r="G278" s="637"/>
      <c r="H278" s="638"/>
      <c r="I278" s="637"/>
      <c r="J278" s="632"/>
      <c r="K278" s="632"/>
      <c r="L278" s="632"/>
      <c r="M278" s="632"/>
      <c r="N278" s="632"/>
      <c r="O278" s="632"/>
    </row>
    <row r="279" customFormat="false" ht="15" hidden="false" customHeight="false" outlineLevel="0" collapsed="false">
      <c r="A279" s="639" t="s">
        <v>366</v>
      </c>
      <c r="B279" s="639"/>
      <c r="C279" s="639"/>
      <c r="D279" s="639"/>
      <c r="E279" s="640" t="n">
        <f aca="false">AVERAGE(E269:E278)</f>
        <v>0</v>
      </c>
      <c r="F279" s="641"/>
      <c r="G279" s="642" t="n">
        <f aca="false">IF(E279&lt;&gt;0,SUM(G269:G278)/E279,0)</f>
        <v>0</v>
      </c>
      <c r="H279" s="368"/>
      <c r="I279" s="642" t="n">
        <f aca="false">IF(E279&lt;&gt;0,SUM(I269:I278)/E279,0)</f>
        <v>0</v>
      </c>
      <c r="J279" s="640" t="n">
        <f aca="false">COUNTIF(J269:J278,$Q$4)</f>
        <v>0</v>
      </c>
      <c r="K279" s="640" t="n">
        <f aca="false">COUNTIF(K269:K278,$Q$4)</f>
        <v>0</v>
      </c>
      <c r="L279" s="640" t="n">
        <f aca="false">COUNTIF(L269:L278,$Q$4)</f>
        <v>0</v>
      </c>
      <c r="M279" s="640" t="n">
        <f aca="false">COUNTIF(M269:M278,$Q$4)</f>
        <v>0</v>
      </c>
      <c r="N279" s="640" t="n">
        <f aca="false">COUNTIF(N269:N278,$Q$4)</f>
        <v>0</v>
      </c>
      <c r="O279" s="640" t="n">
        <f aca="false">COUNTIF(O269:O278,$Q$4)</f>
        <v>0</v>
      </c>
    </row>
    <row r="280" customFormat="false" ht="15" hidden="false" customHeight="false" outlineLevel="0" collapsed="false">
      <c r="A280" s="628" t="n">
        <f aca="false">'Listado CAPS'!A28</f>
        <v>0</v>
      </c>
      <c r="B280" s="628" t="n">
        <f aca="false">'Listado CAPS'!B28</f>
        <v>0</v>
      </c>
      <c r="C280" s="628" t="n">
        <f aca="false">'Listado CAPS'!C28</f>
        <v>0</v>
      </c>
      <c r="D280" s="628" t="str">
        <f aca="false">'Listado CAPS'!D28</f>
        <v>Y</v>
      </c>
      <c r="E280" s="629" t="n">
        <v>0</v>
      </c>
      <c r="F280" s="630"/>
      <c r="G280" s="631"/>
      <c r="H280" s="630"/>
      <c r="I280" s="631"/>
      <c r="J280" s="632"/>
      <c r="K280" s="632"/>
      <c r="L280" s="632"/>
      <c r="M280" s="632"/>
      <c r="N280" s="632"/>
      <c r="O280" s="632"/>
    </row>
    <row r="281" customFormat="false" ht="15" hidden="false" customHeight="false" outlineLevel="0" collapsed="false">
      <c r="A281" s="628"/>
      <c r="B281" s="628"/>
      <c r="C281" s="628"/>
      <c r="D281" s="628"/>
      <c r="E281" s="633"/>
      <c r="F281" s="630"/>
      <c r="G281" s="632"/>
      <c r="H281" s="634"/>
      <c r="I281" s="632"/>
      <c r="J281" s="632"/>
      <c r="K281" s="632"/>
      <c r="L281" s="632"/>
      <c r="M281" s="632"/>
      <c r="N281" s="632"/>
      <c r="O281" s="632"/>
    </row>
    <row r="282" customFormat="false" ht="15" hidden="false" customHeight="false" outlineLevel="0" collapsed="false">
      <c r="A282" s="628"/>
      <c r="B282" s="628"/>
      <c r="C282" s="628"/>
      <c r="D282" s="628"/>
      <c r="E282" s="633"/>
      <c r="F282" s="630"/>
      <c r="G282" s="632"/>
      <c r="H282" s="634"/>
      <c r="I282" s="632"/>
      <c r="J282" s="632"/>
      <c r="K282" s="632"/>
      <c r="L282" s="632"/>
      <c r="M282" s="632"/>
      <c r="N282" s="632"/>
      <c r="O282" s="632"/>
    </row>
    <row r="283" customFormat="false" ht="15" hidden="false" customHeight="false" outlineLevel="0" collapsed="false">
      <c r="A283" s="628"/>
      <c r="B283" s="628"/>
      <c r="C283" s="628"/>
      <c r="D283" s="628"/>
      <c r="E283" s="633"/>
      <c r="F283" s="630"/>
      <c r="G283" s="632"/>
      <c r="H283" s="634"/>
      <c r="I283" s="632"/>
      <c r="J283" s="632"/>
      <c r="K283" s="632"/>
      <c r="L283" s="632"/>
      <c r="M283" s="632"/>
      <c r="N283" s="632"/>
      <c r="O283" s="632"/>
    </row>
    <row r="284" customFormat="false" ht="15" hidden="false" customHeight="false" outlineLevel="0" collapsed="false">
      <c r="A284" s="628"/>
      <c r="B284" s="628"/>
      <c r="C284" s="628"/>
      <c r="D284" s="628"/>
      <c r="E284" s="633"/>
      <c r="F284" s="630"/>
      <c r="G284" s="632"/>
      <c r="H284" s="634"/>
      <c r="I284" s="632"/>
      <c r="J284" s="632"/>
      <c r="K284" s="632"/>
      <c r="L284" s="632"/>
      <c r="M284" s="632"/>
      <c r="N284" s="632"/>
      <c r="O284" s="632"/>
    </row>
    <row r="285" customFormat="false" ht="15" hidden="false" customHeight="false" outlineLevel="0" collapsed="false">
      <c r="A285" s="628"/>
      <c r="B285" s="628"/>
      <c r="C285" s="628"/>
      <c r="D285" s="628"/>
      <c r="E285" s="633"/>
      <c r="F285" s="630"/>
      <c r="G285" s="632"/>
      <c r="H285" s="634"/>
      <c r="I285" s="632"/>
      <c r="J285" s="632"/>
      <c r="K285" s="632"/>
      <c r="L285" s="632"/>
      <c r="M285" s="632"/>
      <c r="N285" s="632"/>
      <c r="O285" s="632"/>
    </row>
    <row r="286" customFormat="false" ht="15" hidden="false" customHeight="false" outlineLevel="0" collapsed="false">
      <c r="A286" s="628"/>
      <c r="B286" s="628"/>
      <c r="C286" s="628"/>
      <c r="D286" s="628"/>
      <c r="E286" s="633"/>
      <c r="F286" s="630"/>
      <c r="G286" s="632"/>
      <c r="H286" s="634"/>
      <c r="I286" s="632"/>
      <c r="J286" s="632"/>
      <c r="K286" s="632"/>
      <c r="L286" s="632"/>
      <c r="M286" s="632"/>
      <c r="N286" s="632"/>
      <c r="O286" s="632"/>
    </row>
    <row r="287" customFormat="false" ht="15" hidden="false" customHeight="false" outlineLevel="0" collapsed="false">
      <c r="A287" s="628"/>
      <c r="B287" s="628"/>
      <c r="C287" s="628"/>
      <c r="D287" s="628"/>
      <c r="E287" s="633"/>
      <c r="F287" s="630"/>
      <c r="G287" s="632"/>
      <c r="H287" s="634"/>
      <c r="I287" s="632"/>
      <c r="J287" s="632"/>
      <c r="K287" s="632"/>
      <c r="L287" s="632"/>
      <c r="M287" s="632"/>
      <c r="N287" s="632"/>
      <c r="O287" s="632"/>
    </row>
    <row r="288" customFormat="false" ht="15" hidden="false" customHeight="false" outlineLevel="0" collapsed="false">
      <c r="A288" s="628"/>
      <c r="B288" s="628"/>
      <c r="C288" s="628"/>
      <c r="D288" s="628"/>
      <c r="E288" s="633"/>
      <c r="F288" s="630"/>
      <c r="G288" s="632"/>
      <c r="H288" s="634"/>
      <c r="I288" s="632"/>
      <c r="J288" s="632"/>
      <c r="K288" s="632"/>
      <c r="L288" s="632"/>
      <c r="M288" s="632"/>
      <c r="N288" s="632"/>
      <c r="O288" s="632"/>
    </row>
    <row r="289" customFormat="false" ht="15" hidden="false" customHeight="false" outlineLevel="0" collapsed="false">
      <c r="A289" s="628"/>
      <c r="B289" s="628"/>
      <c r="C289" s="628"/>
      <c r="D289" s="628"/>
      <c r="E289" s="636"/>
      <c r="F289" s="630"/>
      <c r="G289" s="637"/>
      <c r="H289" s="638"/>
      <c r="I289" s="637"/>
      <c r="J289" s="632"/>
      <c r="K289" s="632"/>
      <c r="L289" s="632"/>
      <c r="M289" s="632"/>
      <c r="N289" s="632"/>
      <c r="O289" s="632"/>
    </row>
    <row r="290" customFormat="false" ht="15" hidden="false" customHeight="false" outlineLevel="0" collapsed="false">
      <c r="A290" s="639" t="s">
        <v>366</v>
      </c>
      <c r="B290" s="639"/>
      <c r="C290" s="639"/>
      <c r="D290" s="639"/>
      <c r="E290" s="640" t="n">
        <f aca="false">AVERAGE(E280:E289)</f>
        <v>0</v>
      </c>
      <c r="F290" s="641"/>
      <c r="G290" s="642" t="n">
        <f aca="false">IF(E290&lt;&gt;0,SUM(G280:G289)/E290,0)</f>
        <v>0</v>
      </c>
      <c r="H290" s="368"/>
      <c r="I290" s="642" t="n">
        <f aca="false">IF(E290&lt;&gt;0,SUM(I280:I289)/E290,0)</f>
        <v>0</v>
      </c>
      <c r="J290" s="640" t="n">
        <f aca="false">COUNTIF(J280:J289,$Q$4)</f>
        <v>0</v>
      </c>
      <c r="K290" s="640" t="n">
        <f aca="false">COUNTIF(K280:K289,$Q$4)</f>
        <v>0</v>
      </c>
      <c r="L290" s="640" t="n">
        <f aca="false">COUNTIF(L280:L289,$Q$4)</f>
        <v>0</v>
      </c>
      <c r="M290" s="640" t="n">
        <f aca="false">COUNTIF(M280:M289,$Q$4)</f>
        <v>0</v>
      </c>
      <c r="N290" s="640" t="n">
        <f aca="false">COUNTIF(N280:N289,$Q$4)</f>
        <v>0</v>
      </c>
      <c r="O290" s="640" t="n">
        <f aca="false">COUNTIF(O280:O289,$Q$4)</f>
        <v>0</v>
      </c>
    </row>
    <row r="291" customFormat="false" ht="84" hidden="false" customHeight="true" outlineLevel="0" collapsed="false">
      <c r="J291" s="626" t="s">
        <v>531</v>
      </c>
      <c r="K291" s="626" t="s">
        <v>532</v>
      </c>
      <c r="L291" s="626" t="s">
        <v>533</v>
      </c>
      <c r="M291" s="626" t="s">
        <v>534</v>
      </c>
      <c r="N291" s="626" t="s">
        <v>535</v>
      </c>
      <c r="O291" s="626" t="s">
        <v>536</v>
      </c>
    </row>
    <row r="292" customFormat="false" ht="42.75" hidden="false" customHeight="true" outlineLevel="0" collapsed="false">
      <c r="I292" s="644" t="s">
        <v>540</v>
      </c>
      <c r="J292" s="645" t="n">
        <f aca="false">SUM(J290+J279+J268+J257+J246+J235+J224+J213+J202+J191+J180+J169+J158+J147+J136+J125+J114+J103+J92+J81+J70+J59+J48+J37+J26+J15)</f>
        <v>0</v>
      </c>
      <c r="K292" s="645" t="n">
        <f aca="false">SUM(K290+K279+K268+K257+K246+K235+K224+K213+K202+K191+K180+K169+K158+K147+K136+K125+K114+K103+K92+K81+K70+K59+K48+K37+K26+K15)</f>
        <v>0</v>
      </c>
      <c r="L292" s="645" t="n">
        <f aca="false">SUM(L290+L279+L268+L257+L246+L235+L224+L213+L202+L191+L180+L169+L158+L147+L136+L125+L114+L103+L92+L81+L70+L59+L48+L37+L26+L15)</f>
        <v>0</v>
      </c>
      <c r="M292" s="645" t="n">
        <f aca="false">SUM(M290+M279+M268+M257+M246+M235+M224+M213+M202+M191+M180+M169+M158+M147+M136+M125+M114+M103+M92+M81+M70+M59+M48+M37+M26+M15)</f>
        <v>1</v>
      </c>
      <c r="N292" s="645" t="n">
        <f aca="false">SUM(N290+N279+N268+N257+N246+N235+N224+N213+N202+N191+N180+N169+N158+N147+N136+N125+N114+N103+N92+N81+N70+N59+N48+N37+N26+N15)</f>
        <v>0</v>
      </c>
      <c r="O292" s="645" t="n">
        <f aca="false">SUM(O290+O279+O268+O257+O246+O235+O224+O213+O202+O191+O180+O169+O158+O147+O136+O125+O114+O103+O92+O81+O70+O59+O48+O37+O26+O15)</f>
        <v>0</v>
      </c>
    </row>
  </sheetData>
  <mergeCells count="145">
    <mergeCell ref="B1:C1"/>
    <mergeCell ref="D1:K1"/>
    <mergeCell ref="L1:O1"/>
    <mergeCell ref="E2:G2"/>
    <mergeCell ref="H2:J2"/>
    <mergeCell ref="A3:A4"/>
    <mergeCell ref="B3:B4"/>
    <mergeCell ref="C3:C4"/>
    <mergeCell ref="D3:D4"/>
    <mergeCell ref="E3:E4"/>
    <mergeCell ref="F3:F4"/>
    <mergeCell ref="G3:G4"/>
    <mergeCell ref="H3:H4"/>
    <mergeCell ref="I3:I4"/>
    <mergeCell ref="J3:O3"/>
    <mergeCell ref="A5:A14"/>
    <mergeCell ref="B5:B14"/>
    <mergeCell ref="C5:C14"/>
    <mergeCell ref="D5:D14"/>
    <mergeCell ref="A15:D15"/>
    <mergeCell ref="A16:A25"/>
    <mergeCell ref="B16:B25"/>
    <mergeCell ref="C16:C25"/>
    <mergeCell ref="D16:D25"/>
    <mergeCell ref="A26:D26"/>
    <mergeCell ref="A27:A36"/>
    <mergeCell ref="B27:B36"/>
    <mergeCell ref="C27:C36"/>
    <mergeCell ref="D27:D36"/>
    <mergeCell ref="A37:D37"/>
    <mergeCell ref="A38:A47"/>
    <mergeCell ref="B38:B47"/>
    <mergeCell ref="C38:C47"/>
    <mergeCell ref="D38:D47"/>
    <mergeCell ref="A48:D48"/>
    <mergeCell ref="A49:A58"/>
    <mergeCell ref="B49:B58"/>
    <mergeCell ref="C49:C58"/>
    <mergeCell ref="D49:D58"/>
    <mergeCell ref="A59:D59"/>
    <mergeCell ref="A60:A69"/>
    <mergeCell ref="B60:B69"/>
    <mergeCell ref="C60:C69"/>
    <mergeCell ref="D60:D69"/>
    <mergeCell ref="A70:D70"/>
    <mergeCell ref="A71:A80"/>
    <mergeCell ref="B71:B80"/>
    <mergeCell ref="C71:C80"/>
    <mergeCell ref="D71:D80"/>
    <mergeCell ref="A81:D81"/>
    <mergeCell ref="A82:A91"/>
    <mergeCell ref="B82:B91"/>
    <mergeCell ref="C82:C91"/>
    <mergeCell ref="D82:D91"/>
    <mergeCell ref="A92:D92"/>
    <mergeCell ref="A93:A102"/>
    <mergeCell ref="B93:B102"/>
    <mergeCell ref="C93:C102"/>
    <mergeCell ref="D93:D102"/>
    <mergeCell ref="A103:D103"/>
    <mergeCell ref="A104:A113"/>
    <mergeCell ref="B104:B113"/>
    <mergeCell ref="C104:C113"/>
    <mergeCell ref="D104:D113"/>
    <mergeCell ref="A114:D114"/>
    <mergeCell ref="A115:A124"/>
    <mergeCell ref="B115:B124"/>
    <mergeCell ref="C115:C124"/>
    <mergeCell ref="D115:D124"/>
    <mergeCell ref="A125:D125"/>
    <mergeCell ref="A126:A135"/>
    <mergeCell ref="B126:B135"/>
    <mergeCell ref="C126:C135"/>
    <mergeCell ref="D126:D135"/>
    <mergeCell ref="A136:D136"/>
    <mergeCell ref="A137:A146"/>
    <mergeCell ref="B137:B146"/>
    <mergeCell ref="C137:C146"/>
    <mergeCell ref="D137:D146"/>
    <mergeCell ref="A147:D147"/>
    <mergeCell ref="A148:A157"/>
    <mergeCell ref="B148:B157"/>
    <mergeCell ref="C148:C157"/>
    <mergeCell ref="D148:D157"/>
    <mergeCell ref="A158:D158"/>
    <mergeCell ref="A159:A168"/>
    <mergeCell ref="B159:B168"/>
    <mergeCell ref="C159:C168"/>
    <mergeCell ref="D159:D168"/>
    <mergeCell ref="A169:D169"/>
    <mergeCell ref="A170:A179"/>
    <mergeCell ref="B170:B179"/>
    <mergeCell ref="C170:C179"/>
    <mergeCell ref="D170:D179"/>
    <mergeCell ref="A180:D180"/>
    <mergeCell ref="A181:A190"/>
    <mergeCell ref="B181:B190"/>
    <mergeCell ref="C181:C190"/>
    <mergeCell ref="D181:D190"/>
    <mergeCell ref="A191:D191"/>
    <mergeCell ref="A192:A201"/>
    <mergeCell ref="B192:B201"/>
    <mergeCell ref="C192:C201"/>
    <mergeCell ref="D192:D201"/>
    <mergeCell ref="A202:D202"/>
    <mergeCell ref="A203:A212"/>
    <mergeCell ref="B203:B212"/>
    <mergeCell ref="C203:C212"/>
    <mergeCell ref="D203:D212"/>
    <mergeCell ref="A213:D213"/>
    <mergeCell ref="A214:A223"/>
    <mergeCell ref="B214:B223"/>
    <mergeCell ref="C214:C223"/>
    <mergeCell ref="D214:D223"/>
    <mergeCell ref="A224:D224"/>
    <mergeCell ref="A225:A234"/>
    <mergeCell ref="B225:B234"/>
    <mergeCell ref="C225:C234"/>
    <mergeCell ref="D225:D234"/>
    <mergeCell ref="A235:D235"/>
    <mergeCell ref="A236:A245"/>
    <mergeCell ref="B236:B245"/>
    <mergeCell ref="C236:C245"/>
    <mergeCell ref="D236:D245"/>
    <mergeCell ref="A246:D246"/>
    <mergeCell ref="A247:A256"/>
    <mergeCell ref="B247:B256"/>
    <mergeCell ref="C247:C256"/>
    <mergeCell ref="D247:D256"/>
    <mergeCell ref="A257:D257"/>
    <mergeCell ref="A258:A267"/>
    <mergeCell ref="B258:B267"/>
    <mergeCell ref="C258:C267"/>
    <mergeCell ref="D258:D267"/>
    <mergeCell ref="A268:D268"/>
    <mergeCell ref="A269:A278"/>
    <mergeCell ref="B269:B278"/>
    <mergeCell ref="C269:C278"/>
    <mergeCell ref="D269:D278"/>
    <mergeCell ref="A279:D279"/>
    <mergeCell ref="A280:A289"/>
    <mergeCell ref="B280:B289"/>
    <mergeCell ref="C280:C289"/>
    <mergeCell ref="D280:D289"/>
    <mergeCell ref="A290:D290"/>
  </mergeCells>
  <hyperlinks>
    <hyperlink ref="B1" location="'Tabla de Contenidos'!A1" display="Volver a Tabla de contenidos"/>
    <hyperlink ref="L1" location="'RESULTADO FINAL SOSTENIBILIDAD'!A1" display="Ir a Resultados Finales"/>
  </hyperlinks>
  <printOptions headings="false" gridLines="false" gridLinesSet="true" horizontalCentered="false" verticalCentered="false"/>
  <pageMargins left="0.315277777777778" right="0.118055555555556" top="0.354166666666667" bottom="0.551388888888889" header="0.511811023622047" footer="0.511811023622047"/>
  <pageSetup paperSize="5"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3F75"/>
    <pageSetUpPr fitToPage="false"/>
  </sheetPr>
  <dimension ref="A1:CN298"/>
  <sheetViews>
    <sheetView showFormulas="false" showGridLines="false" showRowColHeaders="true" showZeros="true" rightToLeft="false" tabSelected="false" showOutlineSymbols="true" defaultGridColor="true" view="normal" topLeftCell="AE1" colorId="64" zoomScale="90" zoomScaleNormal="90" zoomScalePageLayoutView="100" workbookViewId="0">
      <selection pane="topLeft" activeCell="BM5" activeCellId="0" sqref="BM5"/>
    </sheetView>
  </sheetViews>
  <sheetFormatPr defaultColWidth="11.43359375" defaultRowHeight="16.5" customHeight="false" zeroHeight="false" outlineLevelRow="0" outlineLevelCol="0"/>
  <cols>
    <col collapsed="false" customWidth="true" hidden="false" outlineLevel="0" max="1" min="1" style="646" width="9.14"/>
    <col collapsed="false" customWidth="true" hidden="false" outlineLevel="0" max="2" min="2" style="646" width="9.57"/>
    <col collapsed="false" customWidth="true" hidden="false" outlineLevel="0" max="4" min="3" style="646" width="5"/>
    <col collapsed="false" customWidth="true" hidden="false" outlineLevel="0" max="5" min="5" style="647" width="5"/>
    <col collapsed="false" customWidth="true" hidden="false" outlineLevel="0" max="6" min="6" style="647" width="11.57"/>
    <col collapsed="false" customWidth="true" hidden="false" outlineLevel="0" max="7" min="7" style="648" width="12.42"/>
    <col collapsed="false" customWidth="true" hidden="false" outlineLevel="0" max="8" min="8" style="647" width="10.85"/>
    <col collapsed="false" customWidth="true" hidden="false" outlineLevel="0" max="9" min="9" style="647" width="7.42"/>
    <col collapsed="false" customWidth="true" hidden="false" outlineLevel="0" max="10" min="10" style="647" width="8.57"/>
    <col collapsed="false" customWidth="true" hidden="false" outlineLevel="0" max="11" min="11" style="647" width="8.29"/>
    <col collapsed="false" customWidth="true" hidden="false" outlineLevel="0" max="12" min="12" style="647" width="7.16"/>
    <col collapsed="false" customWidth="true" hidden="false" outlineLevel="0" max="13" min="13" style="647" width="10"/>
    <col collapsed="false" customWidth="true" hidden="false" outlineLevel="0" max="14" min="14" style="647" width="10.14"/>
    <col collapsed="false" customWidth="true" hidden="false" outlineLevel="0" max="15" min="15" style="647" width="6"/>
    <col collapsed="false" customWidth="true" hidden="false" outlineLevel="0" max="22" min="16" style="647" width="5.57"/>
    <col collapsed="false" customWidth="true" hidden="false" outlineLevel="0" max="27" min="23" style="647" width="5.86"/>
    <col collapsed="false" customWidth="true" hidden="false" outlineLevel="0" max="30" min="28" style="647" width="5.14"/>
    <col collapsed="false" customWidth="true" hidden="false" outlineLevel="0" max="40" min="31" style="647" width="5.71"/>
    <col collapsed="false" customWidth="true" hidden="false" outlineLevel="0" max="41" min="41" style="647" width="7.29"/>
    <col collapsed="false" customWidth="true" hidden="false" outlineLevel="0" max="47" min="42" style="647" width="5.71"/>
    <col collapsed="false" customWidth="true" hidden="false" outlineLevel="0" max="48" min="48" style="647" width="9.71"/>
    <col collapsed="false" customWidth="true" hidden="false" outlineLevel="0" max="49" min="49" style="647" width="17"/>
    <col collapsed="false" customWidth="true" hidden="false" outlineLevel="0" max="55" min="50" style="647" width="5.71"/>
    <col collapsed="false" customWidth="true" hidden="false" outlineLevel="0" max="56" min="56" style="647" width="7.29"/>
    <col collapsed="false" customWidth="true" hidden="false" outlineLevel="0" max="57" min="57" style="647" width="13.71"/>
    <col collapsed="false" customWidth="true" hidden="false" outlineLevel="0" max="59" min="58" style="647" width="5.71"/>
    <col collapsed="false" customWidth="true" hidden="false" outlineLevel="0" max="60" min="60" style="647" width="9.71"/>
    <col collapsed="false" customWidth="true" hidden="false" outlineLevel="0" max="61" min="61" style="647" width="19"/>
    <col collapsed="false" customWidth="true" hidden="false" outlineLevel="0" max="62" min="62" style="647" width="10.85"/>
    <col collapsed="false" customWidth="true" hidden="false" outlineLevel="0" max="63" min="63" style="143" width="11"/>
    <col collapsed="false" customWidth="true" hidden="false" outlineLevel="0" max="64" min="64" style="143" width="13.71"/>
    <col collapsed="false" customWidth="false" hidden="false" outlineLevel="0" max="65" min="65" style="143" width="11.43"/>
    <col collapsed="false" customWidth="true" hidden="false" outlineLevel="0" max="66" min="66" style="143" width="11.71"/>
    <col collapsed="false" customWidth="true" hidden="false" outlineLevel="0" max="67" min="67" style="143" width="11.29"/>
    <col collapsed="false" customWidth="true" hidden="true" outlineLevel="0" max="68" min="68" style="143" width="46.15"/>
    <col collapsed="false" customWidth="true" hidden="false" outlineLevel="0" max="69" min="69" style="143" width="11.57"/>
    <col collapsed="false" customWidth="false" hidden="false" outlineLevel="0" max="70" min="70" style="143" width="11.43"/>
    <col collapsed="false" customWidth="true" hidden="false" outlineLevel="0" max="71" min="71" style="143" width="11.29"/>
    <col collapsed="false" customWidth="true" hidden="false" outlineLevel="0" max="72" min="72" style="524" width="29.86"/>
    <col collapsed="false" customWidth="true" hidden="false" outlineLevel="0" max="73" min="73" style="524" width="19.86"/>
    <col collapsed="false" customWidth="true" hidden="false" outlineLevel="0" max="74" min="74" style="524" width="19.29"/>
    <col collapsed="false" customWidth="true" hidden="false" outlineLevel="0" max="75" min="75" style="524" width="17.86"/>
    <col collapsed="false" customWidth="false" hidden="false" outlineLevel="0" max="92" min="76" style="143" width="11.43"/>
    <col collapsed="false" customWidth="false" hidden="false" outlineLevel="0" max="16384" min="93" style="94" width="11.43"/>
  </cols>
  <sheetData>
    <row r="1" s="96" customFormat="true" ht="51" hidden="false" customHeight="true" outlineLevel="0" collapsed="false">
      <c r="C1" s="649" t="s">
        <v>246</v>
      </c>
      <c r="D1" s="649"/>
      <c r="E1" s="650"/>
      <c r="F1" s="651"/>
      <c r="G1" s="652"/>
      <c r="H1" s="653"/>
      <c r="I1" s="653"/>
      <c r="J1" s="654" t="s">
        <v>541</v>
      </c>
      <c r="K1" s="654"/>
      <c r="L1" s="654"/>
      <c r="M1" s="654"/>
      <c r="N1" s="654"/>
      <c r="O1" s="654"/>
      <c r="P1" s="654"/>
      <c r="Q1" s="654"/>
      <c r="R1" s="654"/>
      <c r="S1" s="654"/>
      <c r="T1" s="654"/>
      <c r="U1" s="654"/>
      <c r="V1" s="654"/>
      <c r="W1" s="654"/>
      <c r="X1" s="654"/>
      <c r="Y1" s="654"/>
      <c r="Z1" s="654"/>
      <c r="AA1" s="654"/>
      <c r="AB1" s="654"/>
      <c r="AC1" s="654"/>
      <c r="AD1" s="654"/>
      <c r="AE1" s="654"/>
      <c r="AF1" s="654"/>
      <c r="AG1" s="654"/>
      <c r="AH1" s="654"/>
      <c r="AI1" s="654"/>
      <c r="AJ1" s="654"/>
      <c r="AK1" s="654"/>
      <c r="AL1" s="654"/>
      <c r="AM1" s="654"/>
      <c r="AN1" s="654"/>
      <c r="AO1" s="654"/>
      <c r="AP1" s="654"/>
      <c r="AQ1" s="654"/>
      <c r="AR1" s="654"/>
      <c r="AS1" s="654"/>
      <c r="AT1" s="654"/>
      <c r="AU1" s="654"/>
      <c r="AV1" s="654"/>
      <c r="AW1" s="654"/>
      <c r="AX1" s="654"/>
      <c r="AY1" s="654"/>
      <c r="AZ1" s="654"/>
      <c r="BA1" s="654"/>
      <c r="BB1" s="654"/>
      <c r="BC1" s="654"/>
      <c r="BD1" s="654"/>
      <c r="BE1" s="654"/>
      <c r="BF1" s="654"/>
      <c r="BG1" s="654"/>
      <c r="BH1" s="654"/>
      <c r="BI1" s="654"/>
      <c r="BJ1" s="654"/>
      <c r="BK1" s="654"/>
      <c r="BL1" s="654"/>
      <c r="BM1" s="654"/>
      <c r="BN1" s="654"/>
      <c r="BO1" s="654"/>
      <c r="BP1" s="655"/>
      <c r="BQ1" s="656"/>
      <c r="BR1" s="656"/>
      <c r="BS1" s="656"/>
      <c r="BT1" s="657"/>
      <c r="BU1" s="657"/>
      <c r="BV1" s="657"/>
      <c r="BW1" s="657"/>
      <c r="BX1" s="99"/>
      <c r="BY1" s="99"/>
      <c r="BZ1" s="99"/>
      <c r="CA1" s="99"/>
      <c r="CB1" s="99"/>
      <c r="CC1" s="99"/>
      <c r="CD1" s="99"/>
      <c r="CE1" s="99"/>
      <c r="CF1" s="99"/>
      <c r="CG1" s="99"/>
      <c r="CH1" s="99"/>
      <c r="CI1" s="99"/>
      <c r="CJ1" s="99"/>
      <c r="CK1" s="99"/>
      <c r="CL1" s="99"/>
      <c r="CM1" s="99"/>
      <c r="CN1" s="99"/>
    </row>
    <row r="2" s="658" customFormat="true" ht="50.25" hidden="false" customHeight="true" outlineLevel="0" collapsed="false">
      <c r="D2" s="659" t="s">
        <v>542</v>
      </c>
      <c r="E2" s="659"/>
      <c r="F2" s="659"/>
      <c r="G2" s="659"/>
      <c r="H2" s="660" t="s">
        <v>543</v>
      </c>
      <c r="I2" s="660"/>
      <c r="J2" s="660"/>
      <c r="K2" s="660"/>
      <c r="L2" s="660"/>
      <c r="M2" s="660"/>
      <c r="N2" s="660"/>
      <c r="O2" s="660"/>
      <c r="P2" s="661"/>
      <c r="Q2" s="661"/>
      <c r="R2" s="661"/>
      <c r="S2" s="661"/>
      <c r="T2" s="661"/>
      <c r="U2" s="661"/>
      <c r="V2" s="661"/>
      <c r="W2" s="661"/>
      <c r="X2" s="661"/>
      <c r="Y2" s="661"/>
      <c r="Z2" s="661"/>
      <c r="AA2" s="661"/>
      <c r="AB2" s="661"/>
      <c r="AC2" s="661"/>
      <c r="AD2" s="661"/>
      <c r="AE2" s="661"/>
      <c r="AF2" s="661"/>
      <c r="AG2" s="661"/>
      <c r="AH2" s="661"/>
      <c r="AI2" s="661"/>
      <c r="AJ2" s="661"/>
      <c r="AK2" s="661"/>
      <c r="AL2" s="661"/>
      <c r="AM2" s="661"/>
      <c r="AN2" s="661"/>
      <c r="AO2" s="661"/>
      <c r="AP2" s="661"/>
      <c r="AQ2" s="661"/>
      <c r="AR2" s="661"/>
      <c r="AS2" s="661"/>
      <c r="AT2" s="661"/>
      <c r="AU2" s="661"/>
      <c r="AV2" s="661"/>
      <c r="AW2" s="661"/>
      <c r="AX2" s="661"/>
      <c r="AY2" s="661"/>
      <c r="AZ2" s="661"/>
      <c r="BA2" s="661"/>
      <c r="BB2" s="661"/>
      <c r="BC2" s="661"/>
      <c r="BD2" s="661"/>
      <c r="BE2" s="661"/>
      <c r="BF2" s="661"/>
      <c r="BG2" s="661"/>
      <c r="BH2" s="661"/>
      <c r="BI2" s="661"/>
      <c r="BJ2" s="662"/>
      <c r="BK2" s="662"/>
      <c r="BL2" s="662"/>
      <c r="BM2" s="662"/>
      <c r="BN2" s="662"/>
      <c r="BO2" s="663"/>
      <c r="BP2" s="664"/>
      <c r="BQ2" s="665"/>
      <c r="BR2" s="665"/>
      <c r="BS2" s="665"/>
      <c r="BT2" s="666"/>
      <c r="BU2" s="666"/>
      <c r="BV2" s="666"/>
      <c r="BW2" s="666"/>
      <c r="BX2" s="667"/>
      <c r="BY2" s="667"/>
      <c r="BZ2" s="667"/>
      <c r="CA2" s="667"/>
      <c r="CB2" s="667"/>
      <c r="CC2" s="667"/>
      <c r="CD2" s="667"/>
      <c r="CE2" s="667"/>
      <c r="CF2" s="667"/>
      <c r="CG2" s="667"/>
      <c r="CH2" s="667"/>
      <c r="CI2" s="667"/>
      <c r="CJ2" s="667"/>
      <c r="CK2" s="667"/>
      <c r="CL2" s="667"/>
      <c r="CM2" s="667"/>
      <c r="CN2" s="667"/>
    </row>
    <row r="3" s="97" customFormat="true" ht="76.5" hidden="false" customHeight="true" outlineLevel="0" collapsed="false">
      <c r="A3" s="668" t="s">
        <v>315</v>
      </c>
      <c r="B3" s="668" t="s">
        <v>17</v>
      </c>
      <c r="C3" s="668" t="s">
        <v>317</v>
      </c>
      <c r="D3" s="669" t="s">
        <v>18</v>
      </c>
      <c r="E3" s="668" t="s">
        <v>318</v>
      </c>
      <c r="F3" s="668" t="s">
        <v>20</v>
      </c>
      <c r="G3" s="668" t="s">
        <v>21</v>
      </c>
      <c r="H3" s="670" t="s">
        <v>22</v>
      </c>
      <c r="I3" s="670"/>
      <c r="J3" s="670"/>
      <c r="K3" s="670"/>
      <c r="L3" s="670"/>
      <c r="M3" s="670"/>
      <c r="N3" s="670"/>
      <c r="O3" s="670"/>
      <c r="P3" s="671" t="s">
        <v>544</v>
      </c>
      <c r="Q3" s="671"/>
      <c r="R3" s="671"/>
      <c r="S3" s="671"/>
      <c r="T3" s="671"/>
      <c r="U3" s="671"/>
      <c r="V3" s="671"/>
      <c r="W3" s="672" t="s">
        <v>25</v>
      </c>
      <c r="X3" s="672"/>
      <c r="Y3" s="672"/>
      <c r="Z3" s="672"/>
      <c r="AA3" s="672"/>
      <c r="AB3" s="672" t="s">
        <v>26</v>
      </c>
      <c r="AC3" s="672"/>
      <c r="AD3" s="672"/>
      <c r="AE3" s="672" t="s">
        <v>545</v>
      </c>
      <c r="AF3" s="672"/>
      <c r="AG3" s="672"/>
      <c r="AH3" s="672"/>
      <c r="AI3" s="672"/>
      <c r="AJ3" s="672"/>
      <c r="AK3" s="672"/>
      <c r="AL3" s="672"/>
      <c r="AM3" s="672"/>
      <c r="AN3" s="672"/>
      <c r="AO3" s="672"/>
      <c r="AP3" s="672" t="s">
        <v>28</v>
      </c>
      <c r="AQ3" s="672"/>
      <c r="AR3" s="672"/>
      <c r="AS3" s="672"/>
      <c r="AT3" s="672"/>
      <c r="AU3" s="672"/>
      <c r="AV3" s="672"/>
      <c r="AW3" s="673" t="s">
        <v>546</v>
      </c>
      <c r="AX3" s="674" t="s">
        <v>547</v>
      </c>
      <c r="AY3" s="674"/>
      <c r="AZ3" s="674"/>
      <c r="BA3" s="674"/>
      <c r="BB3" s="674"/>
      <c r="BC3" s="674"/>
      <c r="BD3" s="674"/>
      <c r="BE3" s="675" t="s">
        <v>548</v>
      </c>
      <c r="BF3" s="676" t="s">
        <v>549</v>
      </c>
      <c r="BG3" s="676"/>
      <c r="BH3" s="676"/>
      <c r="BI3" s="677" t="s">
        <v>550</v>
      </c>
      <c r="BJ3" s="678" t="s">
        <v>31</v>
      </c>
      <c r="BK3" s="678"/>
      <c r="BL3" s="678"/>
      <c r="BM3" s="678" t="s">
        <v>551</v>
      </c>
      <c r="BN3" s="678"/>
      <c r="BO3" s="678"/>
      <c r="BP3" s="679"/>
      <c r="BQ3" s="680" t="s">
        <v>552</v>
      </c>
      <c r="BR3" s="680"/>
      <c r="BS3" s="680"/>
      <c r="BT3" s="681"/>
      <c r="BU3" s="681"/>
      <c r="BV3" s="682"/>
      <c r="BW3" s="682"/>
    </row>
    <row r="4" s="99" customFormat="true" ht="96" hidden="false" customHeight="true" outlineLevel="0" collapsed="false">
      <c r="A4" s="668"/>
      <c r="B4" s="668"/>
      <c r="C4" s="668"/>
      <c r="D4" s="669"/>
      <c r="E4" s="668"/>
      <c r="F4" s="668"/>
      <c r="G4" s="668"/>
      <c r="H4" s="683" t="s">
        <v>553</v>
      </c>
      <c r="I4" s="683" t="s">
        <v>34</v>
      </c>
      <c r="J4" s="684" t="s">
        <v>35</v>
      </c>
      <c r="K4" s="683" t="s">
        <v>554</v>
      </c>
      <c r="L4" s="683" t="s">
        <v>34</v>
      </c>
      <c r="M4" s="683" t="s">
        <v>202</v>
      </c>
      <c r="N4" s="683" t="s">
        <v>34</v>
      </c>
      <c r="O4" s="685" t="s">
        <v>38</v>
      </c>
      <c r="P4" s="686" t="s">
        <v>46</v>
      </c>
      <c r="Q4" s="686" t="s">
        <v>555</v>
      </c>
      <c r="R4" s="686" t="s">
        <v>556</v>
      </c>
      <c r="S4" s="686" t="s">
        <v>557</v>
      </c>
      <c r="T4" s="686" t="s">
        <v>558</v>
      </c>
      <c r="U4" s="686" t="s">
        <v>559</v>
      </c>
      <c r="V4" s="687" t="s">
        <v>287</v>
      </c>
      <c r="W4" s="688" t="s">
        <v>47</v>
      </c>
      <c r="X4" s="688" t="s">
        <v>560</v>
      </c>
      <c r="Y4" s="688" t="s">
        <v>561</v>
      </c>
      <c r="Z4" s="688" t="s">
        <v>562</v>
      </c>
      <c r="AA4" s="687" t="s">
        <v>49</v>
      </c>
      <c r="AB4" s="688" t="s">
        <v>50</v>
      </c>
      <c r="AC4" s="688" t="s">
        <v>51</v>
      </c>
      <c r="AD4" s="687" t="s">
        <v>52</v>
      </c>
      <c r="AE4" s="688" t="s">
        <v>53</v>
      </c>
      <c r="AF4" s="688" t="s">
        <v>54</v>
      </c>
      <c r="AG4" s="688" t="s">
        <v>55</v>
      </c>
      <c r="AH4" s="688" t="s">
        <v>56</v>
      </c>
      <c r="AI4" s="688" t="s">
        <v>57</v>
      </c>
      <c r="AJ4" s="688" t="s">
        <v>58</v>
      </c>
      <c r="AK4" s="688" t="s">
        <v>563</v>
      </c>
      <c r="AL4" s="688" t="s">
        <v>564</v>
      </c>
      <c r="AM4" s="688" t="s">
        <v>565</v>
      </c>
      <c r="AN4" s="688" t="s">
        <v>566</v>
      </c>
      <c r="AO4" s="687" t="s">
        <v>59</v>
      </c>
      <c r="AP4" s="688" t="s">
        <v>60</v>
      </c>
      <c r="AQ4" s="688" t="s">
        <v>61</v>
      </c>
      <c r="AR4" s="688" t="s">
        <v>62</v>
      </c>
      <c r="AS4" s="688" t="s">
        <v>567</v>
      </c>
      <c r="AT4" s="688" t="s">
        <v>568</v>
      </c>
      <c r="AU4" s="688" t="s">
        <v>569</v>
      </c>
      <c r="AV4" s="687" t="s">
        <v>63</v>
      </c>
      <c r="AW4" s="689" t="s">
        <v>68</v>
      </c>
      <c r="AX4" s="690" t="s">
        <v>64</v>
      </c>
      <c r="AY4" s="690" t="s">
        <v>34</v>
      </c>
      <c r="AZ4" s="690" t="s">
        <v>65</v>
      </c>
      <c r="BA4" s="690" t="s">
        <v>34</v>
      </c>
      <c r="BB4" s="690" t="s">
        <v>66</v>
      </c>
      <c r="BC4" s="690" t="s">
        <v>67</v>
      </c>
      <c r="BD4" s="691" t="s">
        <v>68</v>
      </c>
      <c r="BE4" s="692" t="s">
        <v>68</v>
      </c>
      <c r="BF4" s="693" t="s">
        <v>38</v>
      </c>
      <c r="BG4" s="694" t="s">
        <v>45</v>
      </c>
      <c r="BH4" s="695" t="s">
        <v>69</v>
      </c>
      <c r="BI4" s="696" t="s">
        <v>34</v>
      </c>
      <c r="BJ4" s="697" t="n">
        <v>1</v>
      </c>
      <c r="BK4" s="698" t="n">
        <v>2</v>
      </c>
      <c r="BL4" s="698" t="n">
        <v>3</v>
      </c>
      <c r="BM4" s="697" t="n">
        <v>1</v>
      </c>
      <c r="BN4" s="698" t="n">
        <v>2</v>
      </c>
      <c r="BO4" s="698" t="n">
        <v>3</v>
      </c>
      <c r="BP4" s="699" t="s">
        <v>16</v>
      </c>
      <c r="BQ4" s="114" t="n">
        <v>1</v>
      </c>
      <c r="BR4" s="114" t="n">
        <v>2</v>
      </c>
      <c r="BS4" s="114" t="n">
        <v>3</v>
      </c>
      <c r="BT4" s="657"/>
      <c r="BU4" s="700" t="s">
        <v>570</v>
      </c>
      <c r="BV4" s="700" t="s">
        <v>571</v>
      </c>
      <c r="BW4" s="700" t="s">
        <v>572</v>
      </c>
    </row>
    <row r="5" s="99" customFormat="true" ht="22.5" hidden="false" customHeight="true" outlineLevel="0" collapsed="false">
      <c r="A5" s="701" t="str">
        <f aca="false">'Listado CAPS'!A3</f>
        <v>Madriz</v>
      </c>
      <c r="B5" s="701" t="str">
        <f aca="false">'Listado CAPS'!B3</f>
        <v>Yalaguina</v>
      </c>
      <c r="C5" s="701" t="str">
        <f aca="false">'Listado CAPS'!C3</f>
        <v>Los Encuentros</v>
      </c>
      <c r="D5" s="701" t="str">
        <f aca="false">'Listado CAPS'!C3</f>
        <v>Los Encuentros</v>
      </c>
      <c r="E5" s="701" t="str">
        <f aca="false">'Listado CAPS'!D3</f>
        <v>Los Encuentros</v>
      </c>
      <c r="F5" s="701" t="str">
        <f aca="false">'Listado CAPS'!E3</f>
        <v>MAG</v>
      </c>
      <c r="G5" s="702" t="n">
        <f aca="false">'Listado CAPS'!F3</f>
        <v>1</v>
      </c>
      <c r="H5" s="703" t="n">
        <f aca="false">'A.Org_CAPS'!AD16</f>
        <v>0.8</v>
      </c>
      <c r="I5" s="683" t="n">
        <f aca="false">IF(H5&gt;=60%,1,IF(H5&lt;4,0))</f>
        <v>1</v>
      </c>
      <c r="J5" s="683" t="n">
        <f aca="false">+' A.Legalización '!K6</f>
        <v>1</v>
      </c>
      <c r="K5" s="703" t="n">
        <f aca="false">'A.Org_CAPS'!AG16</f>
        <v>0.75</v>
      </c>
      <c r="L5" s="683" t="n">
        <f aca="false">IF(K5&gt;=0.5,1,0)</f>
        <v>1</v>
      </c>
      <c r="M5" s="704" t="n">
        <f aca="false">'A.Org_CAPS'!J16</f>
        <v>1</v>
      </c>
      <c r="N5" s="683" t="n">
        <f aca="false">IF(M5&gt;=0.5,1,0)</f>
        <v>1</v>
      </c>
      <c r="O5" s="685" t="n">
        <f aca="false">SUM(I5*0.25+J5*0.25+L5*0.25+N5*0.25)</f>
        <v>1</v>
      </c>
      <c r="P5" s="686" t="n">
        <f aca="false">IF('C.Nivel de Servicio'!F6="Mejorada",1,0)</f>
        <v>1</v>
      </c>
      <c r="Q5" s="686" t="n">
        <f aca="false">IF('C.Nivel de Servicio'!G6="Dentro de la vivienda",1,0)</f>
        <v>1</v>
      </c>
      <c r="R5" s="686" t="n">
        <f aca="false">IF('C.Nivel de Servicio'!H6="Menos de 30 min.",1,0)</f>
        <v>1</v>
      </c>
      <c r="S5" s="686" t="n">
        <f aca="false">IF('C.Nivel de Servicio'!I6="Todo el tiempo tenemos agua",1,0)</f>
        <v>0</v>
      </c>
      <c r="T5" s="686" t="n">
        <f aca="false">IF('C.Nivel de Servicio'!N6="Sí",1,0)</f>
        <v>1</v>
      </c>
      <c r="U5" s="686" t="n">
        <f aca="false">IF('C.Nivel de Servicio'!O6="Negativo en E. coli",1,0)</f>
        <v>1</v>
      </c>
      <c r="V5" s="687" t="n">
        <f aca="false">IF('C.Nivel de Servicio'!T6="SEGURA",1,IF('C.Nivel de Servicio'!T6="BÁSICO",0.5,0))</f>
        <v>0.5</v>
      </c>
      <c r="W5" s="688" t="n">
        <f aca="false">'D.RecuperacióndeCostes'!E5</f>
        <v>1</v>
      </c>
      <c r="X5" s="688" t="n">
        <f aca="false">'D.RecuperacióndeCostes'!H5</f>
        <v>1</v>
      </c>
      <c r="Y5" s="688" t="n">
        <f aca="false">'D.RecuperacióndeCostes'!H5</f>
        <v>1</v>
      </c>
      <c r="Z5" s="688" t="n">
        <f aca="false">IF('D.RecuperacióndeCostes'!I5="&lt;5%",1,0)</f>
        <v>0</v>
      </c>
      <c r="AA5" s="687" t="n">
        <f aca="false">0.25*W5+0.25*X5+0.25*Y5+0.25*Z5</f>
        <v>0.75</v>
      </c>
      <c r="AB5" s="688" t="n">
        <f aca="false">'E.OperaciónyMantenimiento'!E5</f>
        <v>1</v>
      </c>
      <c r="AC5" s="688" t="n">
        <f aca="false">'E.OperaciónyMantenimiento'!F5</f>
        <v>1</v>
      </c>
      <c r="AD5" s="687" t="n">
        <f aca="false">AB5*AC5</f>
        <v>1</v>
      </c>
      <c r="AE5" s="688" t="n">
        <f aca="false">'F.Gestión de riesgos hídricos'!E5</f>
        <v>0</v>
      </c>
      <c r="AF5" s="688" t="n">
        <f aca="false">'F.Gestión de riesgos hídricos'!F5</f>
        <v>1</v>
      </c>
      <c r="AG5" s="688" t="n">
        <f aca="false">'F.Gestión de riesgos hídricos'!G5</f>
        <v>0</v>
      </c>
      <c r="AH5" s="688" t="n">
        <f aca="false">'F.Gestión de riesgos hídricos'!H5</f>
        <v>1</v>
      </c>
      <c r="AI5" s="688" t="n">
        <f aca="false">'F.Gestión de riesgos hídricos'!I5</f>
        <v>1</v>
      </c>
      <c r="AJ5" s="688" t="n">
        <f aca="false">'F.Gestión de riesgos hídricos'!J5</f>
        <v>1</v>
      </c>
      <c r="AK5" s="688" t="n">
        <f aca="false">'F.Gestión de riesgos hídricos'!K5</f>
        <v>0</v>
      </c>
      <c r="AL5" s="688" t="n">
        <f aca="false">'F.Gestión de riesgos hídricos'!L5</f>
        <v>0</v>
      </c>
      <c r="AM5" s="688" t="n">
        <f aca="false">'F.Gestión de riesgos hídricos'!M5</f>
        <v>0</v>
      </c>
      <c r="AN5" s="688" t="n">
        <f aca="false">'F.Gestión de riesgos hídricos'!N5</f>
        <v>0</v>
      </c>
      <c r="AO5" s="705" t="n">
        <f aca="false">SUM(AE5:AN5)/10</f>
        <v>0.4</v>
      </c>
      <c r="AP5" s="688" t="n">
        <f aca="false">'G.Rendición de cuentas'!E5</f>
        <v>1</v>
      </c>
      <c r="AQ5" s="688" t="n">
        <f aca="false">'G.Rendición de cuentas'!F5</f>
        <v>1</v>
      </c>
      <c r="AR5" s="688" t="n">
        <f aca="false">'G.Rendición de cuentas'!G5</f>
        <v>1</v>
      </c>
      <c r="AS5" s="688" t="n">
        <f aca="false">'G.Rendición de cuentas'!H5</f>
        <v>1</v>
      </c>
      <c r="AT5" s="688" t="n">
        <f aca="false">'G.Rendición de cuentas'!I5</f>
        <v>1</v>
      </c>
      <c r="AU5" s="688" t="n">
        <f aca="false">'G.Rendición de cuentas'!J5</f>
        <v>1</v>
      </c>
      <c r="AV5" s="706" t="n">
        <f aca="false">(AP5*0.25)+(AQ5*0.25)+(AR5*0.125)+(AS5*0.125)+(AT5*0.125)+(AU5*0.125)</f>
        <v>1</v>
      </c>
      <c r="AW5" s="707" t="n">
        <f aca="false">'H.2.Estado_Conserv.MAG'!AC5</f>
        <v>0</v>
      </c>
      <c r="AX5" s="690" t="n">
        <f aca="false">'H.1.Estado_Conserv MABE'!K5</f>
        <v>4</v>
      </c>
      <c r="AY5" s="690" t="n">
        <f aca="false">IF(AX5&gt;=3,1,0)</f>
        <v>1</v>
      </c>
      <c r="AZ5" s="690" t="n">
        <f aca="false">'H.1.Estado_Conserv MABE'!R5</f>
        <v>6</v>
      </c>
      <c r="BA5" s="690" t="n">
        <f aca="false">IF(AZ5&gt;=4,1,0)</f>
        <v>1</v>
      </c>
      <c r="BB5" s="690" t="n">
        <f aca="false">'H.1.Estado_Conserv MABE'!T5</f>
        <v>0</v>
      </c>
      <c r="BC5" s="690" t="n">
        <f aca="false">'H.1.Estado_Conserv MABE'!V5</f>
        <v>0</v>
      </c>
      <c r="BD5" s="708" t="n">
        <f aca="false">(AY5*0.25)+(BA5*0.25)+(BB5*0.25)+(BC5*0.25)</f>
        <v>0.5</v>
      </c>
      <c r="BE5" s="709" t="n">
        <f aca="false">'H.3.Estado_Conserv.Pozos'!AB5</f>
        <v>0</v>
      </c>
      <c r="BF5" s="710" t="n">
        <f aca="false">+'I.Genero '!H7</f>
        <v>1</v>
      </c>
      <c r="BG5" s="711" t="n">
        <f aca="false">+'I.Genero '!K7</f>
        <v>1</v>
      </c>
      <c r="BH5" s="712" t="n">
        <f aca="false">+(BF5*0.5)+(BG5*0.5)</f>
        <v>1</v>
      </c>
      <c r="BI5" s="713" t="n">
        <f aca="false">IF(+'J.AutoGestionCAPS'!G15&gt;=0.5,1,0)</f>
        <v>1</v>
      </c>
      <c r="BJ5" s="714" t="str">
        <f aca="false">IF(AND($G5=$BJ$4,$F5="MABE"),((O5*'Ind.Sostenib.'!$B$5)+(V5*'Ind.Sostenib.'!$C$5)+(AA5*'Ind.Sostenib.'!$D$5)+(AD5*'Ind.Sostenib.'!$E$5)+(AO5*'Ind.Sostenib.'!$F$5)+(AV5*'Ind.Sostenib.'!$G$5)+(BD5*'Ind.Sostenib.'!$H$5)+(BH5*'Ind.Sostenib.'!$I$5)+(BI5*'Ind.Sostenib.'!$J$5))*100,"")</f>
        <v/>
      </c>
      <c r="BK5" s="714" t="str">
        <f aca="false">IF(AND($G5=$BK$4,$F5="MABE"),((O5*'Ind.Sostenib.'!$B$6)+(V5*'Ind.Sostenib.'!$C$5)+(AA5*'Ind.Sostenib.'!$D$5)+(AD5*'Ind.Sostenib.'!$E$5)+(AO5*'Ind.Sostenib.'!$F$5)+(AV5*'Ind.Sostenib.'!$G$5)+(BD5*'Ind.Sostenib.'!$H$5)+(BH5*'Ind.Sostenib.'!$I$5)+(BI5*'Ind.Sostenib.'!$J$5))*100,"")</f>
        <v/>
      </c>
      <c r="BL5" s="714" t="str">
        <f aca="false">IF(AND(G5=$BL$4,F5="MABE"),((O5*'Ind.Sostenib.'!$B$7)+(V5*'Ind.Sostenib.'!$C$7)+(AA5*'Ind.Sostenib.'!$D$7)+(AD5*'Ind.Sostenib.'!$E$7)+(AO5*'Ind.Sostenib.'!$F$7)+(AV5*'Ind.Sostenib.'!$G$7)+(BD5*'Ind.Sostenib.'!$H$7)+(BH5*'Ind.Sostenib.'!$I$7)+(BI5*'Ind.Sostenib.'!$J$7))*100,"")</f>
        <v/>
      </c>
      <c r="BM5" s="714" t="n">
        <f aca="false">IF(AND(G5=$BM$4,F5="MAG"),((O5*'Ind.Sostenib.'!$B$12)+(V5*'Ind.Sostenib.'!$C$12)+(AA5*'Ind.Sostenib.'!$D$12)+(AD5*'Ind.Sostenib.'!$E$12)+(AO5*'Ind.Sostenib.'!$F$12)+(AV5*'Ind.Sostenib.'!$G$12)+(AW5*'Ind.Sostenib.'!$H$12)+(BH5*'Ind.Sostenib.'!$I$12)+(BI5*'Ind.Sostenib.'!$J$12))*100,"")</f>
        <v>80.75</v>
      </c>
      <c r="BN5" s="714" t="str">
        <f aca="false">IF(AND(G5=$BN$4,F5="MAG"),((O5*'Ind.Sostenib.'!$B$13)+(V5*'Ind.Sostenib.'!$C$13)+(AA5*'Ind.Sostenib.'!$D$13)+(AD5*'Ind.Sostenib.'!$E$13)+(AO5*'Ind.Sostenib.'!$F$13)+(AV5*'Ind.Sostenib.'!$G$13)+(AW5*'Ind.Sostenib.'!$H$13)+(BH5*'Ind.Sostenib.'!$I$13)+(BI5*'Ind.Sostenib.'!$J$13))*100,"")</f>
        <v/>
      </c>
      <c r="BO5" s="714" t="str">
        <f aca="false">IF(AND(G5=$BO$4,F5="MAG"),((O5*'Ind.Sostenib.'!$B$14)+(V5*'Ind.Sostenib.'!$C$14)+(AA5*'Ind.Sostenib.'!$D$14)+(AD5*'Ind.Sostenib.'!$E$14)+(AO5*'Ind.Sostenib.'!$F$14)+(AV5*'Ind.Sostenib.'!$G$14)+(AW5*'Ind.Sostenib.'!$H$14)+(BH5*'Ind.Sostenib.'!$I$14)+(BI5*'Ind.Sostenib.'!$J$14))*100,"")</f>
        <v/>
      </c>
      <c r="BP5" s="715" t="s">
        <v>77</v>
      </c>
      <c r="BQ5" s="714" t="str">
        <f aca="false">IF(AND(G5=$BQ$4,F5&lt;&gt;"MAG",F5&lt;&gt;"MABE"),((O5*'Ind.Sostenib.'!$B$12)+(V5*'Ind.Sostenib.'!$C$12)+(AA5*'Ind.Sostenib.'!$D$12)+(AD5*'Ind.Sostenib.'!$E$12)+(AO5*'Ind.Sostenib.'!$F$12)+(AV5*'Ind.Sostenib.'!$G$12)+(BE5*'Ind.Sostenib.'!$H$12)+(BH5*'Ind.Sostenib.'!$I$12)+(BI5*'Ind.Sostenib.'!$J$12))*100,"")</f>
        <v/>
      </c>
      <c r="BR5" s="714" t="str">
        <f aca="false">IF(AND(G5=$BR$4,F5&lt;&gt;"MABE",F5&lt;&gt;"MAG"),((O5*'Ind.Sostenib.'!$B$13)+(V5*'Ind.Sostenib.'!$C$13)+(AA5*'Ind.Sostenib.'!$D$13)+(AD5*'Ind.Sostenib.'!$E$13)+(AO5*'Ind.Sostenib.'!$F$13)+(AV5*'Ind.Sostenib.'!$G$13)+(BE5*'Ind.Sostenib.'!$H$13)+(BH5*'Ind.Sostenib.'!$I$13)+(BI5*'Ind.Sostenib.'!$J$13))*100,"")</f>
        <v/>
      </c>
      <c r="BS5" s="714" t="str">
        <f aca="false">IF(AND(G5=$BS$4,F5&lt;&gt;"MAG",F5&lt;&gt;"MABE"),((O5*'Ind.Sostenib.'!$B$14)+(V5*'Ind.Sostenib.'!$C$14)+(AA5*'Ind.Sostenib.'!$D$14)+(AD5*'Ind.Sostenib.'!$E$14)+(AO5*'Ind.Sostenib.'!$F$14)+(AV5*'Ind.Sostenib.'!$G$14)+(BE5*'Ind.Sostenib.'!$H$14)+(BH5*'Ind.Sostenib.'!$I$14)+(BI5*'Ind.Sostenib.'!$J$14))*100,"")</f>
        <v/>
      </c>
      <c r="BT5" s="716" t="s">
        <v>573</v>
      </c>
      <c r="BU5" s="717" t="e">
        <f aca="false">AVERAGEIF(BJ5:BL30,"&gt;=80")</f>
        <v>#DIV/0!</v>
      </c>
      <c r="BV5" s="717" t="n">
        <f aca="false">AVERAGEIF(BM5:BO30,"&gt;=80")</f>
        <v>80.75</v>
      </c>
      <c r="BW5" s="718" t="e">
        <f aca="false">AVERAGEIF((BQ5:BS30),"&gt;=80")</f>
        <v>#DIV/0!</v>
      </c>
    </row>
    <row r="6" s="99" customFormat="true" ht="29.25" hidden="false" customHeight="true" outlineLevel="0" collapsed="false">
      <c r="A6" s="701" t="n">
        <f aca="false">'Listado CAPS'!A4</f>
        <v>0</v>
      </c>
      <c r="B6" s="701" t="n">
        <f aca="false">'Listado CAPS'!B4</f>
        <v>0</v>
      </c>
      <c r="C6" s="701" t="n">
        <f aca="false">'Listado CAPS'!C4</f>
        <v>0</v>
      </c>
      <c r="D6" s="719"/>
      <c r="E6" s="701" t="str">
        <f aca="false">'Listado CAPS'!D4</f>
        <v>B</v>
      </c>
      <c r="F6" s="701" t="n">
        <f aca="false">'Listado CAPS'!E4</f>
        <v>0</v>
      </c>
      <c r="G6" s="702" t="n">
        <f aca="false">'Listado CAPS'!F4</f>
        <v>0</v>
      </c>
      <c r="H6" s="703" t="n">
        <f aca="false">'A.Org_CAPS'!AD30</f>
        <v>0</v>
      </c>
      <c r="I6" s="683" t="n">
        <f aca="false">IF(H6&gt;=60%,1,IF(H6&lt;4,0))</f>
        <v>0</v>
      </c>
      <c r="J6" s="683" t="n">
        <f aca="false">+' A.Legalización '!K7</f>
        <v>0</v>
      </c>
      <c r="K6" s="703" t="n">
        <f aca="false">'A.Org_CAPS'!AG30</f>
        <v>0</v>
      </c>
      <c r="L6" s="683" t="n">
        <f aca="false">IF(K6&gt;=0.5,1,0)</f>
        <v>0</v>
      </c>
      <c r="M6" s="704" t="n">
        <f aca="false">'A.Org_CAPS'!J30</f>
        <v>0</v>
      </c>
      <c r="N6" s="683" t="n">
        <f aca="false">IF(M6&gt;=0.5,1,0)</f>
        <v>0</v>
      </c>
      <c r="O6" s="685" t="n">
        <f aca="false">SUM(I6*0.25+J6*0.25+L6*0.25+N6*0.25)</f>
        <v>0</v>
      </c>
      <c r="P6" s="686" t="n">
        <f aca="false">IF('C.Nivel de Servicio'!F7="Mejorada",1,0)</f>
        <v>0</v>
      </c>
      <c r="Q6" s="686" t="n">
        <f aca="false">IF('C.Nivel de Servicio'!G7="Dentro de la vivienda",1,0)</f>
        <v>0</v>
      </c>
      <c r="R6" s="686" t="n">
        <f aca="false">IF('C.Nivel de Servicio'!H7="Menos de 30 min.",1,0)</f>
        <v>0</v>
      </c>
      <c r="S6" s="686" t="n">
        <f aca="false">IF('C.Nivel de Servicio'!I7="Todo el tiempo tenemos agua",1,0)</f>
        <v>0</v>
      </c>
      <c r="T6" s="686" t="n">
        <f aca="false">IF('C.Nivel de Servicio'!N7="Todo el tiempo tenemos agua",1,0)</f>
        <v>0</v>
      </c>
      <c r="U6" s="686" t="n">
        <f aca="false">IF('C.Nivel de Servicio'!O7="Negativo en E. coli",1,0)</f>
        <v>0</v>
      </c>
      <c r="V6" s="687" t="n">
        <f aca="false">IF('C.Nivel de Servicio'!T7="SEGURA",1,IF('C.Nivel de Servicio'!T7="BÁSICO",0.5,0))</f>
        <v>0.5</v>
      </c>
      <c r="W6" s="688" t="n">
        <f aca="false">'D.RecuperacióndeCostes'!E6</f>
        <v>0</v>
      </c>
      <c r="X6" s="688" t="n">
        <f aca="false">'D.RecuperacióndeCostes'!H6</f>
        <v>0</v>
      </c>
      <c r="Y6" s="688" t="n">
        <f aca="false">'D.RecuperacióndeCostes'!H6</f>
        <v>0</v>
      </c>
      <c r="Z6" s="688" t="n">
        <f aca="false">IF('D.RecuperacióndeCostes'!I6="&lt;5%",1,0)</f>
        <v>0</v>
      </c>
      <c r="AA6" s="687" t="n">
        <f aca="false">0.25*W6+0.25*X6+0.25*Y6+0.25*Z6</f>
        <v>0</v>
      </c>
      <c r="AB6" s="688" t="n">
        <f aca="false">'E.OperaciónyMantenimiento'!E6</f>
        <v>0</v>
      </c>
      <c r="AC6" s="688" t="n">
        <f aca="false">'E.OperaciónyMantenimiento'!F6</f>
        <v>0</v>
      </c>
      <c r="AD6" s="687" t="n">
        <f aca="false">AB6*AC6</f>
        <v>0</v>
      </c>
      <c r="AE6" s="688" t="n">
        <f aca="false">'F.Gestión de riesgos hídricos'!E6</f>
        <v>0</v>
      </c>
      <c r="AF6" s="688" t="n">
        <f aca="false">'F.Gestión de riesgos hídricos'!F6</f>
        <v>0</v>
      </c>
      <c r="AG6" s="688" t="n">
        <f aca="false">'F.Gestión de riesgos hídricos'!G6</f>
        <v>0</v>
      </c>
      <c r="AH6" s="688" t="n">
        <f aca="false">'F.Gestión de riesgos hídricos'!H6</f>
        <v>0</v>
      </c>
      <c r="AI6" s="688" t="n">
        <f aca="false">'F.Gestión de riesgos hídricos'!I6</f>
        <v>0</v>
      </c>
      <c r="AJ6" s="688" t="n">
        <f aca="false">'F.Gestión de riesgos hídricos'!J6</f>
        <v>0</v>
      </c>
      <c r="AK6" s="688" t="n">
        <f aca="false">'F.Gestión de riesgos hídricos'!K6</f>
        <v>0</v>
      </c>
      <c r="AL6" s="688" t="n">
        <f aca="false">'F.Gestión de riesgos hídricos'!L6</f>
        <v>0</v>
      </c>
      <c r="AM6" s="688" t="n">
        <f aca="false">'F.Gestión de riesgos hídricos'!M6</f>
        <v>0</v>
      </c>
      <c r="AN6" s="688" t="n">
        <f aca="false">'F.Gestión de riesgos hídricos'!N6</f>
        <v>0</v>
      </c>
      <c r="AO6" s="705" t="n">
        <f aca="false">SUM(AE6:AN6)/10</f>
        <v>0</v>
      </c>
      <c r="AP6" s="688" t="n">
        <f aca="false">'G.Rendición de cuentas'!E6</f>
        <v>0</v>
      </c>
      <c r="AQ6" s="688" t="n">
        <f aca="false">'G.Rendición de cuentas'!F6</f>
        <v>0</v>
      </c>
      <c r="AR6" s="688" t="n">
        <f aca="false">'G.Rendición de cuentas'!G6</f>
        <v>0</v>
      </c>
      <c r="AS6" s="688" t="n">
        <f aca="false">'G.Rendición de cuentas'!H6</f>
        <v>0</v>
      </c>
      <c r="AT6" s="688" t="n">
        <f aca="false">'G.Rendición de cuentas'!I6</f>
        <v>0</v>
      </c>
      <c r="AU6" s="688" t="n">
        <f aca="false">'G.Rendición de cuentas'!J6</f>
        <v>0</v>
      </c>
      <c r="AV6" s="706" t="n">
        <f aca="false">(AP6*0.25)+(AQ6*0.25)+(AR6*0.125)+(AS6*0.125)+(AT6*0.125)+(AU6*0.125)</f>
        <v>0</v>
      </c>
      <c r="AW6" s="707" t="n">
        <f aca="false">'H.2.Estado_Conserv.MAG'!AC6</f>
        <v>0</v>
      </c>
      <c r="AX6" s="690" t="n">
        <f aca="false">'H.1.Estado_Conserv MABE'!K6</f>
        <v>0</v>
      </c>
      <c r="AY6" s="690" t="n">
        <f aca="false">IF(AX6&gt;=3,1,0)</f>
        <v>0</v>
      </c>
      <c r="AZ6" s="690" t="n">
        <f aca="false">'H.1.Estado_Conserv MABE'!R6</f>
        <v>0</v>
      </c>
      <c r="BA6" s="690" t="n">
        <f aca="false">IF(AZ6&gt;=4,1,0)</f>
        <v>0</v>
      </c>
      <c r="BB6" s="690" t="n">
        <f aca="false">'H.1.Estado_Conserv MABE'!T6</f>
        <v>0</v>
      </c>
      <c r="BC6" s="690" t="n">
        <f aca="false">'H.1.Estado_Conserv MABE'!V6</f>
        <v>0</v>
      </c>
      <c r="BD6" s="708" t="n">
        <f aca="false">(AY6*0.25)+(BA6*0.25)+(BB6*0.25)+(BC6*0.25)</f>
        <v>0</v>
      </c>
      <c r="BE6" s="709" t="n">
        <f aca="false">'H.3.Estado_Conserv.Pozos'!AB6</f>
        <v>0</v>
      </c>
      <c r="BF6" s="710" t="n">
        <f aca="false">+'I.Genero '!H8</f>
        <v>0</v>
      </c>
      <c r="BG6" s="711" t="n">
        <f aca="false">+'I.Genero '!K8</f>
        <v>0</v>
      </c>
      <c r="BH6" s="712" t="n">
        <f aca="false">+(BF6*0.5)+(BG6*0.5)</f>
        <v>0</v>
      </c>
      <c r="BI6" s="713" t="n">
        <f aca="false">IF(+'J.AutoGestionCAPS'!G16&gt;=0.5,1,0)</f>
        <v>0</v>
      </c>
      <c r="BJ6" s="714" t="str">
        <f aca="false">IF(AND($G6=$BJ$4,$F6="MABE"),((O6*'Ind.Sostenib.'!$B$5)+(V6*'Ind.Sostenib.'!$C$5)+(AA6*'Ind.Sostenib.'!$D$5)+(AD6*'Ind.Sostenib.'!$E$5)+(AO6*'Ind.Sostenib.'!$F$5)+(AV6*'Ind.Sostenib.'!$G$5)+(BD6*'Ind.Sostenib.'!$H$5)+(BH6*'Ind.Sostenib.'!$I$5)+(BI6*'Ind.Sostenib.'!$J$5))*100,"")</f>
        <v/>
      </c>
      <c r="BK6" s="714" t="str">
        <f aca="false">IF(AND($G6=$BK$4,$F6="MABE"),((O6*'Ind.Sostenib.'!$B$6)+(V6*'Ind.Sostenib.'!$C$5)+(AA6*'Ind.Sostenib.'!$D$5)+(AD6*'Ind.Sostenib.'!$E$5)+(AO6*'Ind.Sostenib.'!$F$5)+(AV6*'Ind.Sostenib.'!$G$5)+(BD6*'Ind.Sostenib.'!$H$5)+(BH6*'Ind.Sostenib.'!$I$5)+(BI6*'Ind.Sostenib.'!$J$5))*100,"")</f>
        <v/>
      </c>
      <c r="BL6" s="714" t="str">
        <f aca="false">IF(AND(G6=$BL$4,F6="MABE"),((O6*'Ind.Sostenib.'!$B$7)+(V6*'Ind.Sostenib.'!$C$7)+(AA6*'Ind.Sostenib.'!$D$7)+(AD6*'Ind.Sostenib.'!$E$7)+(AO6*'Ind.Sostenib.'!$F$7)+(AV6*'Ind.Sostenib.'!$G$7)+(BD6*'Ind.Sostenib.'!$H$7)+(BH6*'Ind.Sostenib.'!$I$7)+(BI6*'Ind.Sostenib.'!$J$7))*100,"")</f>
        <v/>
      </c>
      <c r="BM6" s="714" t="str">
        <f aca="false">IF(AND(G6=$BM$4,F6="MAG"),((O6*'Ind.Sostenib.'!$B$12)+(V6*'Ind.Sostenib.'!$C$12)+(AA6*'Ind.Sostenib.'!$D$12)+(AD6*'Ind.Sostenib.'!$E$12)+(AO6*'Ind.Sostenib.'!$F$12)+(AV6*'Ind.Sostenib.'!$G$12)+(AW6*'Ind.Sostenib.'!$H$12)+(BH6*'Ind.Sostenib.'!$I$12)+(BI6*'Ind.Sostenib.'!$J$12))*100,"")</f>
        <v/>
      </c>
      <c r="BN6" s="714" t="str">
        <f aca="false">IF(AND(G6=$BN$4,F6="MAG"),((O6*'Ind.Sostenib.'!$B$13)+(V6*'Ind.Sostenib.'!$C$13)+(AA6*'Ind.Sostenib.'!$D$13)+(AD6*'Ind.Sostenib.'!$E$13)+(AO6*'Ind.Sostenib.'!$F$13)+(AV6*'Ind.Sostenib.'!$G$13)+(AW6*'Ind.Sostenib.'!$H$13)+(BH6*'Ind.Sostenib.'!$I$13)+(BI6*'Ind.Sostenib.'!$J$13))*100,"")</f>
        <v/>
      </c>
      <c r="BO6" s="714" t="str">
        <f aca="false">IF(AND(G6=$BO$4,F6="MAG"),((O6*'Ind.Sostenib.'!$B$14)+(V6*'Ind.Sostenib.'!$C$14)+(AA6*'Ind.Sostenib.'!$D$14)+(AD6*'Ind.Sostenib.'!$E$14)+(AO6*'Ind.Sostenib.'!$F$14)+(AV6*'Ind.Sostenib.'!$G$14)+(AW6*'Ind.Sostenib.'!$H$14)+(BH6*'Ind.Sostenib.'!$I$14)+(BI6*'Ind.Sostenib.'!$J$14))*100,"")</f>
        <v/>
      </c>
      <c r="BP6" s="715"/>
      <c r="BQ6" s="714" t="str">
        <f aca="false">IF(AND(G6=$BQ$4,F6&lt;&gt;"MAG",F6&lt;&gt;"MABE"),((O6*'Ind.Sostenib.'!$B$12)+(V6*'Ind.Sostenib.'!$C$12)+(AA6*'Ind.Sostenib.'!$D$12)+(AD6*'Ind.Sostenib.'!$E$12)+(AO6*'Ind.Sostenib.'!$F$12)+(AV6*'Ind.Sostenib.'!$G$12)+(BE6*'Ind.Sostenib.'!$H$12)+(BH6*'Ind.Sostenib.'!$I$12)+(BI6*'Ind.Sostenib.'!$J$12))*100,"")</f>
        <v/>
      </c>
      <c r="BR6" s="714" t="str">
        <f aca="false">IF(AND(G6=$BR$4,F6&lt;&gt;"MABE",F6&lt;&gt;"MAG"),((O6*'Ind.Sostenib.'!$B$13)+(V6*'Ind.Sostenib.'!$C$13)+(AA6*'Ind.Sostenib.'!$D$13)+(AD6*'Ind.Sostenib.'!$E$13)+(AO6*'Ind.Sostenib.'!$F$13)+(AV6*'Ind.Sostenib.'!$G$13)+(BE6*'Ind.Sostenib.'!$H$13)+(BH6*'Ind.Sostenib.'!$I$13)+(BI6*'Ind.Sostenib.'!$J$13))*100,"")</f>
        <v/>
      </c>
      <c r="BS6" s="714" t="str">
        <f aca="false">IF(AND(G6=$BS$4,F6&lt;&gt;"MAG",F6&lt;&gt;"MABE"),((O6*'Ind.Sostenib.'!$B$14)+(V6*'Ind.Sostenib.'!$C$14)+(AA6*'Ind.Sostenib.'!$D$14)+(AD6*'Ind.Sostenib.'!$E$14)+(AO6*'Ind.Sostenib.'!$F$14)+(AV6*'Ind.Sostenib.'!$G$14)+(BE6*'Ind.Sostenib.'!$H$14)+(BH6*'Ind.Sostenib.'!$I$14)+(BI6*'Ind.Sostenib.'!$J$14))*100,"")</f>
        <v/>
      </c>
      <c r="BT6" s="720" t="s">
        <v>574</v>
      </c>
      <c r="BU6" s="721" t="e">
        <f aca="false">AVERAGEIFS(BJ5:BL30,BJ5:BL30,"&gt;50",BJ5:BL30,"&lt;=79")</f>
        <v>#DIV/0!</v>
      </c>
      <c r="BV6" s="721" t="e">
        <f aca="false">AVERAGEIFS(BM5:BO30,BM5:BO30,"&gt;50",BM5:BO30,"&lt;=79")</f>
        <v>#DIV/0!</v>
      </c>
      <c r="BW6" s="721" t="e">
        <f aca="false">AVERAGEIFS(BQ5:BS30,BQ5:BS30,"&gt;50",BQ5:BS30,"&lt;=79")</f>
        <v>#DIV/0!</v>
      </c>
    </row>
    <row r="7" s="99" customFormat="true" ht="22.5" hidden="false" customHeight="true" outlineLevel="0" collapsed="false">
      <c r="A7" s="701" t="n">
        <f aca="false">'Listado CAPS'!A5</f>
        <v>0</v>
      </c>
      <c r="B7" s="701" t="n">
        <f aca="false">'Listado CAPS'!B5</f>
        <v>0</v>
      </c>
      <c r="C7" s="701" t="n">
        <f aca="false">'Listado CAPS'!C5</f>
        <v>0</v>
      </c>
      <c r="D7" s="719"/>
      <c r="E7" s="701" t="str">
        <f aca="false">'Listado CAPS'!D5</f>
        <v>C</v>
      </c>
      <c r="F7" s="701" t="n">
        <f aca="false">'Listado CAPS'!E5</f>
        <v>0</v>
      </c>
      <c r="G7" s="702" t="n">
        <f aca="false">'Listado CAPS'!F5</f>
        <v>0</v>
      </c>
      <c r="H7" s="703" t="n">
        <f aca="false">'A.Org_CAPS'!AD44</f>
        <v>0</v>
      </c>
      <c r="I7" s="683" t="n">
        <f aca="false">IF(H7&gt;=60%,1,IF(H7&lt;4,0))</f>
        <v>0</v>
      </c>
      <c r="J7" s="683" t="n">
        <f aca="false">+' A.Legalización '!K8</f>
        <v>0</v>
      </c>
      <c r="K7" s="703" t="n">
        <f aca="false">'A.Org_CAPS'!AG44</f>
        <v>0</v>
      </c>
      <c r="L7" s="683" t="n">
        <f aca="false">IF(K7&gt;=0.5,1,0)</f>
        <v>0</v>
      </c>
      <c r="M7" s="704" t="n">
        <f aca="false">'A.Org_CAPS'!J44</f>
        <v>0</v>
      </c>
      <c r="N7" s="683" t="n">
        <f aca="false">IF(M7&gt;=0.5,1,0)</f>
        <v>0</v>
      </c>
      <c r="O7" s="685" t="n">
        <f aca="false">SUM(I7*0.25+J7*0.25+L7*0.25+N7*0.25)</f>
        <v>0</v>
      </c>
      <c r="P7" s="686" t="n">
        <f aca="false">IF('C.Nivel de Servicio'!F8="Mejorada",1,0)</f>
        <v>0</v>
      </c>
      <c r="Q7" s="686" t="n">
        <f aca="false">IF('C.Nivel de Servicio'!G8="Dentro de la vivienda",1,0)</f>
        <v>0</v>
      </c>
      <c r="R7" s="686" t="n">
        <f aca="false">IF('C.Nivel de Servicio'!H8="Menos de 30 min.",1,0)</f>
        <v>0</v>
      </c>
      <c r="S7" s="686" t="n">
        <f aca="false">IF('C.Nivel de Servicio'!I8="Todo el tiempo tenemos agua",1,0)</f>
        <v>0</v>
      </c>
      <c r="T7" s="686" t="n">
        <f aca="false">IF('C.Nivel de Servicio'!N8="Todo el tiempo tenemos agua",1,0)</f>
        <v>0</v>
      </c>
      <c r="U7" s="686" t="n">
        <f aca="false">IF('C.Nivel de Servicio'!O8="Negativo en E. coli",1,0)</f>
        <v>0</v>
      </c>
      <c r="V7" s="687" t="n">
        <f aca="false">IF('C.Nivel de Servicio'!T8="SEGURA",1,IF('C.Nivel de Servicio'!T8="BÁSICO",0.5,0))</f>
        <v>0.5</v>
      </c>
      <c r="W7" s="688" t="n">
        <f aca="false">'D.RecuperacióndeCostes'!E7</f>
        <v>0</v>
      </c>
      <c r="X7" s="688" t="n">
        <f aca="false">'D.RecuperacióndeCostes'!H7</f>
        <v>0</v>
      </c>
      <c r="Y7" s="688" t="n">
        <f aca="false">'D.RecuperacióndeCostes'!H7</f>
        <v>0</v>
      </c>
      <c r="Z7" s="688" t="n">
        <f aca="false">IF('D.RecuperacióndeCostes'!I7="&lt;5%",1,0)</f>
        <v>0</v>
      </c>
      <c r="AA7" s="687" t="n">
        <f aca="false">0.25*W7+0.25*X7+0.25*Y7+0.25*Z7</f>
        <v>0</v>
      </c>
      <c r="AB7" s="688" t="n">
        <f aca="false">'E.OperaciónyMantenimiento'!E7</f>
        <v>0</v>
      </c>
      <c r="AC7" s="688" t="n">
        <f aca="false">'E.OperaciónyMantenimiento'!F7</f>
        <v>0</v>
      </c>
      <c r="AD7" s="687" t="n">
        <f aca="false">AB7*AC7</f>
        <v>0</v>
      </c>
      <c r="AE7" s="688" t="n">
        <f aca="false">'F.Gestión de riesgos hídricos'!E7</f>
        <v>0</v>
      </c>
      <c r="AF7" s="688" t="n">
        <f aca="false">'F.Gestión de riesgos hídricos'!F7</f>
        <v>0</v>
      </c>
      <c r="AG7" s="688" t="n">
        <f aca="false">'F.Gestión de riesgos hídricos'!G7</f>
        <v>0</v>
      </c>
      <c r="AH7" s="688" t="n">
        <f aca="false">'F.Gestión de riesgos hídricos'!H7</f>
        <v>0</v>
      </c>
      <c r="AI7" s="688" t="n">
        <f aca="false">'F.Gestión de riesgos hídricos'!I7</f>
        <v>0</v>
      </c>
      <c r="AJ7" s="688" t="n">
        <f aca="false">'F.Gestión de riesgos hídricos'!J7</f>
        <v>0</v>
      </c>
      <c r="AK7" s="688" t="n">
        <f aca="false">'F.Gestión de riesgos hídricos'!K7</f>
        <v>0</v>
      </c>
      <c r="AL7" s="688" t="n">
        <f aca="false">'F.Gestión de riesgos hídricos'!L7</f>
        <v>0</v>
      </c>
      <c r="AM7" s="688" t="n">
        <f aca="false">'F.Gestión de riesgos hídricos'!M7</f>
        <v>0</v>
      </c>
      <c r="AN7" s="688" t="n">
        <f aca="false">'F.Gestión de riesgos hídricos'!N7</f>
        <v>0</v>
      </c>
      <c r="AO7" s="705" t="n">
        <f aca="false">SUM(AE7:AN7)/10</f>
        <v>0</v>
      </c>
      <c r="AP7" s="688" t="n">
        <f aca="false">'G.Rendición de cuentas'!E7</f>
        <v>0</v>
      </c>
      <c r="AQ7" s="688" t="n">
        <f aca="false">'G.Rendición de cuentas'!F7</f>
        <v>0</v>
      </c>
      <c r="AR7" s="688" t="n">
        <f aca="false">'G.Rendición de cuentas'!G7</f>
        <v>0</v>
      </c>
      <c r="AS7" s="688" t="n">
        <f aca="false">'G.Rendición de cuentas'!H7</f>
        <v>0</v>
      </c>
      <c r="AT7" s="688" t="n">
        <f aca="false">'G.Rendición de cuentas'!I7</f>
        <v>0</v>
      </c>
      <c r="AU7" s="688" t="n">
        <f aca="false">'G.Rendición de cuentas'!J7</f>
        <v>0</v>
      </c>
      <c r="AV7" s="706" t="n">
        <f aca="false">(AP7*0.25)+(AQ7*0.25)+(AR7*0.125)+(AS7*0.125)+(AT7*0.125)+(AU7*0.125)</f>
        <v>0</v>
      </c>
      <c r="AW7" s="707" t="n">
        <f aca="false">'H.2.Estado_Conserv.MAG'!AC7</f>
        <v>0</v>
      </c>
      <c r="AX7" s="690" t="n">
        <f aca="false">'H.1.Estado_Conserv MABE'!K7</f>
        <v>0</v>
      </c>
      <c r="AY7" s="690" t="n">
        <f aca="false">IF(AX7&gt;=3,1,0)</f>
        <v>0</v>
      </c>
      <c r="AZ7" s="690" t="n">
        <f aca="false">'H.1.Estado_Conserv MABE'!R7</f>
        <v>0</v>
      </c>
      <c r="BA7" s="690" t="n">
        <f aca="false">IF(AZ7&gt;=4,1,0)</f>
        <v>0</v>
      </c>
      <c r="BB7" s="690" t="n">
        <f aca="false">'H.1.Estado_Conserv MABE'!T7</f>
        <v>0</v>
      </c>
      <c r="BC7" s="690" t="n">
        <f aca="false">'H.1.Estado_Conserv MABE'!V7</f>
        <v>0</v>
      </c>
      <c r="BD7" s="708" t="n">
        <f aca="false">(AY7*0.25)+(BA7*0.25)+(BB7*0.25)+(BC7*0.25)</f>
        <v>0</v>
      </c>
      <c r="BE7" s="709" t="n">
        <f aca="false">'H.3.Estado_Conserv.Pozos'!AB7</f>
        <v>0</v>
      </c>
      <c r="BF7" s="710" t="n">
        <f aca="false">+'I.Genero '!H9</f>
        <v>0</v>
      </c>
      <c r="BG7" s="711" t="n">
        <f aca="false">+'I.Genero '!K9</f>
        <v>0</v>
      </c>
      <c r="BH7" s="712" t="n">
        <f aca="false">+(BF7*0.5)+(BG7*0.5)</f>
        <v>0</v>
      </c>
      <c r="BI7" s="713" t="n">
        <f aca="false">IF(+'J.AutoGestionCAPS'!G17&gt;=0.5,1,0)</f>
        <v>0</v>
      </c>
      <c r="BJ7" s="714" t="str">
        <f aca="false">IF(AND($G7=$BJ$4,$F7="MABE"),((O7*'Ind.Sostenib.'!$B$5)+(V7*'Ind.Sostenib.'!$C$5)+(AA7*'Ind.Sostenib.'!$D$5)+(AD7*'Ind.Sostenib.'!$E$5)+(AO7*'Ind.Sostenib.'!$F$5)+(AV7*'Ind.Sostenib.'!$G$5)+(BD7*'Ind.Sostenib.'!$H$5)+(BH7*'Ind.Sostenib.'!$I$5)+(BI7*'Ind.Sostenib.'!$J$5))*100,"")</f>
        <v/>
      </c>
      <c r="BK7" s="714" t="str">
        <f aca="false">IF(AND($G7=$BK$4,$F7="MABE"),((O7*'Ind.Sostenib.'!$B$6)+(V7*'Ind.Sostenib.'!$C$5)+(AA7*'Ind.Sostenib.'!$D$5)+(AD7*'Ind.Sostenib.'!$E$5)+(AO7*'Ind.Sostenib.'!$F$5)+(AV7*'Ind.Sostenib.'!$G$5)+(BD7*'Ind.Sostenib.'!$H$5)+(BH7*'Ind.Sostenib.'!$I$5)+(BI7*'Ind.Sostenib.'!$J$5))*100,"")</f>
        <v/>
      </c>
      <c r="BL7" s="714" t="str">
        <f aca="false">IF(AND(G7=$BL$4,F7="MABE"),((O7*'Ind.Sostenib.'!$B$7)+(V7*'Ind.Sostenib.'!$C$7)+(AA7*'Ind.Sostenib.'!$D$7)+(AD7*'Ind.Sostenib.'!$E$7)+(AO7*'Ind.Sostenib.'!$F$7)+(AV7*'Ind.Sostenib.'!$G$7)+(BD7*'Ind.Sostenib.'!$H$7)+(BH7*'Ind.Sostenib.'!$I$7)+(BI7*'Ind.Sostenib.'!$J$7))*100,"")</f>
        <v/>
      </c>
      <c r="BM7" s="714" t="str">
        <f aca="false">IF(AND(G7=$BM$4,F7="MAG"),((O7*'Ind.Sostenib.'!$B$12)+(V7*'Ind.Sostenib.'!$C$12)+(AA7*'Ind.Sostenib.'!$D$12)+(AD7*'Ind.Sostenib.'!$E$12)+(AO7*'Ind.Sostenib.'!$F$12)+(AV7*'Ind.Sostenib.'!$G$12)+(AW7*'Ind.Sostenib.'!$H$12)+(BH7*'Ind.Sostenib.'!$I$12)+(BI7*'Ind.Sostenib.'!$J$12))*100,"")</f>
        <v/>
      </c>
      <c r="BN7" s="714" t="str">
        <f aca="false">IF(AND(G7=$BN$4,F7="MAG"),((O7*'Ind.Sostenib.'!$B$13)+(V7*'Ind.Sostenib.'!$C$13)+(AA7*'Ind.Sostenib.'!$D$13)+(AD7*'Ind.Sostenib.'!$E$13)+(AO7*'Ind.Sostenib.'!$F$13)+(AV7*'Ind.Sostenib.'!$G$13)+(AW7*'Ind.Sostenib.'!$H$13)+(BH7*'Ind.Sostenib.'!$I$13)+(BI7*'Ind.Sostenib.'!$J$13))*100,"")</f>
        <v/>
      </c>
      <c r="BO7" s="714" t="str">
        <f aca="false">IF(AND(G7=$BO$4,F7="MAG"),((O7*'Ind.Sostenib.'!$B$14)+(V7*'Ind.Sostenib.'!$C$14)+(AA7*'Ind.Sostenib.'!$D$14)+(AD7*'Ind.Sostenib.'!$E$14)+(AO7*'Ind.Sostenib.'!$F$14)+(AV7*'Ind.Sostenib.'!$G$14)+(AW7*'Ind.Sostenib.'!$H$14)+(BH7*'Ind.Sostenib.'!$I$14)+(BI7*'Ind.Sostenib.'!$J$14))*100,"")</f>
        <v/>
      </c>
      <c r="BP7" s="715"/>
      <c r="BQ7" s="714" t="str">
        <f aca="false">IF(AND(G7=$BQ$4,F7&lt;&gt;"MAG",F7&lt;&gt;"MABE"),((O7*'Ind.Sostenib.'!$B$12)+(V7*'Ind.Sostenib.'!$C$12)+(AA7*'Ind.Sostenib.'!$D$12)+(AD7*'Ind.Sostenib.'!$E$12)+(AO7*'Ind.Sostenib.'!$F$12)+(AV7*'Ind.Sostenib.'!$G$12)+(BE7*'Ind.Sostenib.'!$H$12)+(BH7*'Ind.Sostenib.'!$I$12)+(BI7*'Ind.Sostenib.'!$J$12))*100,"")</f>
        <v/>
      </c>
      <c r="BR7" s="714" t="str">
        <f aca="false">IF(AND(G7=$BR$4,F7&lt;&gt;"MABE",F7&lt;&gt;"MAG"),((O7*'Ind.Sostenib.'!$B$13)+(V7*'Ind.Sostenib.'!$C$13)+(AA7*'Ind.Sostenib.'!$D$13)+(AD7*'Ind.Sostenib.'!$E$13)+(AO7*'Ind.Sostenib.'!$F$13)+(AV7*'Ind.Sostenib.'!$G$13)+(BE7*'Ind.Sostenib.'!$H$13)+(BH7*'Ind.Sostenib.'!$I$13)+(BI7*'Ind.Sostenib.'!$J$13))*100,"")</f>
        <v/>
      </c>
      <c r="BS7" s="714" t="str">
        <f aca="false">IF(AND(G7=$BS$4,F7&lt;&gt;"MAG",F7&lt;&gt;"MABE"),((O7*'Ind.Sostenib.'!$B$14)+(V7*'Ind.Sostenib.'!$C$14)+(AA7*'Ind.Sostenib.'!$D$14)+(AD7*'Ind.Sostenib.'!$E$14)+(AO7*'Ind.Sostenib.'!$F$14)+(AV7*'Ind.Sostenib.'!$G$14)+(BE7*'Ind.Sostenib.'!$H$14)+(BH7*'Ind.Sostenib.'!$I$14)+(BI7*'Ind.Sostenib.'!$J$14))*100,"")</f>
        <v/>
      </c>
      <c r="BT7" s="722" t="s">
        <v>575</v>
      </c>
      <c r="BU7" s="723" t="e">
        <f aca="false">AVERAGEIF(BJ5:BL30,"&lt;=49")</f>
        <v>#DIV/0!</v>
      </c>
      <c r="BV7" s="723" t="e">
        <f aca="false">AVERAGEIF(BM5:BO30,"&lt;=49")</f>
        <v>#DIV/0!</v>
      </c>
      <c r="BW7" s="723" t="e">
        <f aca="false">AVERAGEIF(BQ5:BS30,"&lt;=49")</f>
        <v>#DIV/0!</v>
      </c>
    </row>
    <row r="8" s="99" customFormat="true" ht="22.5" hidden="false" customHeight="true" outlineLevel="0" collapsed="false">
      <c r="A8" s="701" t="n">
        <f aca="false">'Listado CAPS'!A6</f>
        <v>0</v>
      </c>
      <c r="B8" s="701" t="n">
        <f aca="false">'Listado CAPS'!B6</f>
        <v>0</v>
      </c>
      <c r="C8" s="701" t="n">
        <f aca="false">'Listado CAPS'!C6</f>
        <v>0</v>
      </c>
      <c r="D8" s="719"/>
      <c r="E8" s="701" t="str">
        <f aca="false">'Listado CAPS'!D6</f>
        <v>D</v>
      </c>
      <c r="F8" s="701" t="n">
        <f aca="false">'Listado CAPS'!E6</f>
        <v>0</v>
      </c>
      <c r="G8" s="702" t="n">
        <f aca="false">'Listado CAPS'!F6</f>
        <v>0</v>
      </c>
      <c r="H8" s="703" t="n">
        <f aca="false">'A.Org_CAPS'!AD58</f>
        <v>0</v>
      </c>
      <c r="I8" s="683" t="n">
        <f aca="false">IF(H8&gt;=60%,1,IF(H8&lt;4,0))</f>
        <v>0</v>
      </c>
      <c r="J8" s="683" t="n">
        <f aca="false">+' A.Legalización '!K9</f>
        <v>0</v>
      </c>
      <c r="K8" s="703" t="n">
        <f aca="false">'A.Org_CAPS'!AG58</f>
        <v>0</v>
      </c>
      <c r="L8" s="683" t="n">
        <f aca="false">IF(K8&gt;=0.5,1,0)</f>
        <v>0</v>
      </c>
      <c r="M8" s="704" t="n">
        <f aca="false">'A.Org_CAPS'!J58</f>
        <v>0</v>
      </c>
      <c r="N8" s="683" t="n">
        <f aca="false">IF(M8&gt;=0.5,1,0)</f>
        <v>0</v>
      </c>
      <c r="O8" s="685" t="n">
        <f aca="false">SUM(I8*0.25+J8*0.25+L8*0.25+N8*0.25)</f>
        <v>0</v>
      </c>
      <c r="P8" s="686" t="n">
        <f aca="false">IF('C.Nivel de Servicio'!F9="Mejorada",1,0)</f>
        <v>0</v>
      </c>
      <c r="Q8" s="686" t="n">
        <f aca="false">IF('C.Nivel de Servicio'!G9="Dentro de la vivienda",1,0)</f>
        <v>0</v>
      </c>
      <c r="R8" s="686" t="n">
        <f aca="false">IF('C.Nivel de Servicio'!H9="Menos de 30 min.",1,0)</f>
        <v>0</v>
      </c>
      <c r="S8" s="686" t="n">
        <f aca="false">IF('C.Nivel de Servicio'!I9="Todo el tiempo tenemos agua",1,0)</f>
        <v>0</v>
      </c>
      <c r="T8" s="686" t="n">
        <f aca="false">IF('C.Nivel de Servicio'!N9="Todo el tiempo tenemos agua",1,0)</f>
        <v>0</v>
      </c>
      <c r="U8" s="686" t="n">
        <f aca="false">IF('C.Nivel de Servicio'!O9="Negativo en E. coli",1,0)</f>
        <v>0</v>
      </c>
      <c r="V8" s="687" t="n">
        <f aca="false">IF('C.Nivel de Servicio'!T9="SEGURA",1,IF('C.Nivel de Servicio'!T9="BÁSICO",0.5,0))</f>
        <v>0.5</v>
      </c>
      <c r="W8" s="688" t="n">
        <f aca="false">'D.RecuperacióndeCostes'!E8</f>
        <v>0</v>
      </c>
      <c r="X8" s="688" t="n">
        <f aca="false">'D.RecuperacióndeCostes'!H8</f>
        <v>0</v>
      </c>
      <c r="Y8" s="688" t="n">
        <f aca="false">'D.RecuperacióndeCostes'!H8</f>
        <v>0</v>
      </c>
      <c r="Z8" s="688" t="n">
        <f aca="false">IF('D.RecuperacióndeCostes'!I8="&lt;5%",1,0)</f>
        <v>0</v>
      </c>
      <c r="AA8" s="687" t="n">
        <f aca="false">0.25*W8+0.25*X8+0.25*Y8+0.25*Z8</f>
        <v>0</v>
      </c>
      <c r="AB8" s="688" t="n">
        <f aca="false">'E.OperaciónyMantenimiento'!E8</f>
        <v>0</v>
      </c>
      <c r="AC8" s="688" t="n">
        <f aca="false">'E.OperaciónyMantenimiento'!F8</f>
        <v>0</v>
      </c>
      <c r="AD8" s="687" t="n">
        <f aca="false">AB8*AC8</f>
        <v>0</v>
      </c>
      <c r="AE8" s="688" t="n">
        <f aca="false">'F.Gestión de riesgos hídricos'!E8</f>
        <v>0</v>
      </c>
      <c r="AF8" s="688" t="n">
        <f aca="false">'F.Gestión de riesgos hídricos'!F8</f>
        <v>0</v>
      </c>
      <c r="AG8" s="688" t="n">
        <f aca="false">'F.Gestión de riesgos hídricos'!G8</f>
        <v>0</v>
      </c>
      <c r="AH8" s="688" t="n">
        <f aca="false">'F.Gestión de riesgos hídricos'!H8</f>
        <v>0</v>
      </c>
      <c r="AI8" s="688" t="n">
        <f aca="false">'F.Gestión de riesgos hídricos'!I8</f>
        <v>0</v>
      </c>
      <c r="AJ8" s="688" t="n">
        <v>0</v>
      </c>
      <c r="AK8" s="688" t="n">
        <f aca="false">'F.Gestión de riesgos hídricos'!K8</f>
        <v>0</v>
      </c>
      <c r="AL8" s="688" t="n">
        <f aca="false">'F.Gestión de riesgos hídricos'!L8</f>
        <v>0</v>
      </c>
      <c r="AM8" s="688" t="n">
        <f aca="false">'F.Gestión de riesgos hídricos'!M8</f>
        <v>0</v>
      </c>
      <c r="AN8" s="688" t="n">
        <f aca="false">'F.Gestión de riesgos hídricos'!N8</f>
        <v>0</v>
      </c>
      <c r="AO8" s="705" t="n">
        <f aca="false">SUM(AE8:AN8)/10</f>
        <v>0</v>
      </c>
      <c r="AP8" s="688" t="n">
        <f aca="false">'G.Rendición de cuentas'!E8</f>
        <v>0</v>
      </c>
      <c r="AQ8" s="688" t="n">
        <f aca="false">'G.Rendición de cuentas'!F8</f>
        <v>0</v>
      </c>
      <c r="AR8" s="688" t="n">
        <f aca="false">'G.Rendición de cuentas'!G8</f>
        <v>0</v>
      </c>
      <c r="AS8" s="688" t="n">
        <f aca="false">'G.Rendición de cuentas'!H8</f>
        <v>0</v>
      </c>
      <c r="AT8" s="688" t="n">
        <f aca="false">'G.Rendición de cuentas'!I8</f>
        <v>0</v>
      </c>
      <c r="AU8" s="688" t="n">
        <f aca="false">'G.Rendición de cuentas'!J8</f>
        <v>0</v>
      </c>
      <c r="AV8" s="706" t="n">
        <f aca="false">(AP8*0.25)+(AQ8*0.25)+(AR8*0.125)+(AS8*0.125)+(AT8*0.125)+(AU8*0.125)</f>
        <v>0</v>
      </c>
      <c r="AW8" s="707" t="n">
        <f aca="false">'H.2.Estado_Conserv.MAG'!AC8</f>
        <v>0</v>
      </c>
      <c r="AX8" s="690" t="n">
        <f aca="false">'H.1.Estado_Conserv MABE'!K8</f>
        <v>0</v>
      </c>
      <c r="AY8" s="690" t="n">
        <f aca="false">IF(AX8&gt;=3,1,0)</f>
        <v>0</v>
      </c>
      <c r="AZ8" s="690" t="n">
        <f aca="false">'H.1.Estado_Conserv MABE'!R8</f>
        <v>0</v>
      </c>
      <c r="BA8" s="690" t="n">
        <f aca="false">IF(AZ8&gt;=4,1,0)</f>
        <v>0</v>
      </c>
      <c r="BB8" s="690" t="n">
        <f aca="false">'H.1.Estado_Conserv MABE'!T8</f>
        <v>0</v>
      </c>
      <c r="BC8" s="690" t="n">
        <f aca="false">'H.1.Estado_Conserv MABE'!V8</f>
        <v>0</v>
      </c>
      <c r="BD8" s="708" t="n">
        <f aca="false">(AY8*0.25)+(BA8*0.25)+(BB8*0.25)+(BC8*0.25)</f>
        <v>0</v>
      </c>
      <c r="BE8" s="709" t="n">
        <f aca="false">'H.3.Estado_Conserv.Pozos'!AB8</f>
        <v>0</v>
      </c>
      <c r="BF8" s="710" t="n">
        <f aca="false">+'I.Genero '!H10</f>
        <v>0</v>
      </c>
      <c r="BG8" s="711" t="n">
        <f aca="false">+'I.Genero '!K10</f>
        <v>0</v>
      </c>
      <c r="BH8" s="712" t="n">
        <f aca="false">+(BF8*0.5)+(BG8*0.5)</f>
        <v>0</v>
      </c>
      <c r="BI8" s="713" t="n">
        <f aca="false">IF(+'J.AutoGestionCAPS'!G18&gt;=0.5,1,0)</f>
        <v>0</v>
      </c>
      <c r="BJ8" s="714" t="str">
        <f aca="false">IF(AND($G8=$BJ$4,$F8="MABE"),((O8*'Ind.Sostenib.'!$B$5)+(V8*'Ind.Sostenib.'!$C$5)+(AA8*'Ind.Sostenib.'!$D$5)+(AD8*'Ind.Sostenib.'!$E$5)+(AO8*'Ind.Sostenib.'!$F$5)+(AV8*'Ind.Sostenib.'!$G$5)+(BD8*'Ind.Sostenib.'!$H$5)+(BH8*'Ind.Sostenib.'!$I$5)+(BI8*'Ind.Sostenib.'!$J$5))*100,"")</f>
        <v/>
      </c>
      <c r="BK8" s="714" t="str">
        <f aca="false">IF(AND($G8=$BK$4,$F8="MABE"),((O8*'Ind.Sostenib.'!$B$6)+(V8*'Ind.Sostenib.'!$C$5)+(AA8*'Ind.Sostenib.'!$D$5)+(AD8*'Ind.Sostenib.'!$E$5)+(AO8*'Ind.Sostenib.'!$F$5)+(AV8*'Ind.Sostenib.'!$G$5)+(BD8*'Ind.Sostenib.'!$H$5)+(BH8*'Ind.Sostenib.'!$I$5)+(BI8*'Ind.Sostenib.'!$J$5))*100,"")</f>
        <v/>
      </c>
      <c r="BL8" s="714" t="str">
        <f aca="false">IF(AND(G8=$BL$4,F8="MABE"),((O8*'Ind.Sostenib.'!$B$7)+(V8*'Ind.Sostenib.'!$C$7)+(AA8*'Ind.Sostenib.'!$D$7)+(AD8*'Ind.Sostenib.'!$E$7)+(AO8*'Ind.Sostenib.'!$F$7)+(AV8*'Ind.Sostenib.'!$G$7)+(BD8*'Ind.Sostenib.'!$H$7)+(BH8*'Ind.Sostenib.'!$I$7)+(BI8*'Ind.Sostenib.'!$J$7))*100,"")</f>
        <v/>
      </c>
      <c r="BM8" s="714" t="str">
        <f aca="false">IF(AND(G8=$BM$4,F8="MAG"),((O8*'Ind.Sostenib.'!$B$12)+(V8*'Ind.Sostenib.'!$C$12)+(AA8*'Ind.Sostenib.'!$D$12)+(AD8*'Ind.Sostenib.'!$E$12)+(AO8*'Ind.Sostenib.'!$F$12)+(AV8*'Ind.Sostenib.'!$G$12)+(AW8*'Ind.Sostenib.'!$H$12)+(BH8*'Ind.Sostenib.'!$I$12)+(BI8*'Ind.Sostenib.'!$J$12))*100,"")</f>
        <v/>
      </c>
      <c r="BN8" s="714" t="str">
        <f aca="false">IF(AND(G8=$BN$4,F8="MAG"),((O8*'Ind.Sostenib.'!$B$13)+(V8*'Ind.Sostenib.'!$C$13)+(AA8*'Ind.Sostenib.'!$D$13)+(AD8*'Ind.Sostenib.'!$E$13)+(AO8*'Ind.Sostenib.'!$F$13)+(AV8*'Ind.Sostenib.'!$G$13)+(AW8*'Ind.Sostenib.'!$H$13)+(BH8*'Ind.Sostenib.'!$I$13)+(BI8*'Ind.Sostenib.'!$J$13))*100,"")</f>
        <v/>
      </c>
      <c r="BO8" s="714" t="str">
        <f aca="false">IF(AND(G8=$BO$4,F8="MAG"),((O8*'Ind.Sostenib.'!$B$14)+(V8*'Ind.Sostenib.'!$C$14)+(AA8*'Ind.Sostenib.'!$D$14)+(AD8*'Ind.Sostenib.'!$E$14)+(AO8*'Ind.Sostenib.'!$F$14)+(AV8*'Ind.Sostenib.'!$G$14)+(AW8*'Ind.Sostenib.'!$H$14)+(BH8*'Ind.Sostenib.'!$I$14)+(BI8*'Ind.Sostenib.'!$J$14))*100,"")</f>
        <v/>
      </c>
      <c r="BP8" s="715"/>
      <c r="BQ8" s="714" t="str">
        <f aca="false">IF(AND(G8=$BQ$4,F8&lt;&gt;"MAG",F8&lt;&gt;"MABE"),((O8*'Ind.Sostenib.'!$B$12)+(V8*'Ind.Sostenib.'!$C$12)+(AA8*'Ind.Sostenib.'!$D$12)+(AD8*'Ind.Sostenib.'!$E$12)+(AO8*'Ind.Sostenib.'!$F$12)+(AV8*'Ind.Sostenib.'!$G$12)+(BE8*'Ind.Sostenib.'!$H$12)+(BH8*'Ind.Sostenib.'!$I$12)+(BI8*'Ind.Sostenib.'!$J$12))*100,"")</f>
        <v/>
      </c>
      <c r="BR8" s="714" t="str">
        <f aca="false">IF(AND(G8=$BR$4,F8&lt;&gt;"MABE",F8&lt;&gt;"MAG"),((O8*'Ind.Sostenib.'!$B$13)+(V8*'Ind.Sostenib.'!$C$13)+(AA8*'Ind.Sostenib.'!$D$13)+(AD8*'Ind.Sostenib.'!$E$13)+(AO8*'Ind.Sostenib.'!$F$13)+(AV8*'Ind.Sostenib.'!$G$13)+(BE8*'Ind.Sostenib.'!$H$13)+(BH8*'Ind.Sostenib.'!$I$13)+(BI8*'Ind.Sostenib.'!$J$13))*100,"")</f>
        <v/>
      </c>
      <c r="BS8" s="714" t="str">
        <f aca="false">IF(AND(G8=$BS$4,F8&lt;&gt;"MAG",F8&lt;&gt;"MABE"),((O8*'Ind.Sostenib.'!$B$14)+(V8*'Ind.Sostenib.'!$C$14)+(AA8*'Ind.Sostenib.'!$D$14)+(AD8*'Ind.Sostenib.'!$E$14)+(AO8*'Ind.Sostenib.'!$F$14)+(AV8*'Ind.Sostenib.'!$G$14)+(BE8*'Ind.Sostenib.'!$H$14)+(BH8*'Ind.Sostenib.'!$I$14)+(BI8*'Ind.Sostenib.'!$J$14))*100,"")</f>
        <v/>
      </c>
      <c r="BT8" s="657"/>
      <c r="BU8" s="657"/>
      <c r="BV8" s="657"/>
      <c r="BW8" s="657"/>
    </row>
    <row r="9" s="99" customFormat="true" ht="22.5" hidden="false" customHeight="true" outlineLevel="0" collapsed="false">
      <c r="A9" s="701" t="n">
        <f aca="false">'Listado CAPS'!A7</f>
        <v>0</v>
      </c>
      <c r="B9" s="701" t="n">
        <f aca="false">'Listado CAPS'!B7</f>
        <v>0</v>
      </c>
      <c r="C9" s="701" t="n">
        <f aca="false">'Listado CAPS'!C7</f>
        <v>0</v>
      </c>
      <c r="D9" s="719"/>
      <c r="E9" s="701" t="str">
        <f aca="false">'Listado CAPS'!D7</f>
        <v>E</v>
      </c>
      <c r="F9" s="701" t="n">
        <f aca="false">'Listado CAPS'!E7</f>
        <v>0</v>
      </c>
      <c r="G9" s="702" t="n">
        <f aca="false">'Listado CAPS'!F7</f>
        <v>0</v>
      </c>
      <c r="H9" s="703" t="n">
        <f aca="false">'A.Org_CAPS'!AD72</f>
        <v>0</v>
      </c>
      <c r="I9" s="683" t="n">
        <f aca="false">IF(H9&gt;=60%,1,IF(H9&lt;4,0))</f>
        <v>0</v>
      </c>
      <c r="J9" s="683" t="n">
        <f aca="false">+' A.Legalización '!K10</f>
        <v>0</v>
      </c>
      <c r="K9" s="703" t="n">
        <f aca="false">'A.Org_CAPS'!AG72</f>
        <v>0</v>
      </c>
      <c r="L9" s="683" t="n">
        <f aca="false">IF(K9&gt;=0.5,1,0)</f>
        <v>0</v>
      </c>
      <c r="M9" s="704" t="n">
        <f aca="false">'A.Org_CAPS'!J72</f>
        <v>0</v>
      </c>
      <c r="N9" s="683" t="n">
        <f aca="false">IF(M9&gt;=0.5,1,0)</f>
        <v>0</v>
      </c>
      <c r="O9" s="685" t="n">
        <f aca="false">SUM(I9*0.25+J9*0.25+L9*0.25+N9*0.25)</f>
        <v>0</v>
      </c>
      <c r="P9" s="686" t="n">
        <f aca="false">IF('C.Nivel de Servicio'!F10="Mejorada",1,0)</f>
        <v>0</v>
      </c>
      <c r="Q9" s="686" t="n">
        <f aca="false">IF('C.Nivel de Servicio'!G10="Dentro de la vivienda",1,0)</f>
        <v>0</v>
      </c>
      <c r="R9" s="686" t="n">
        <f aca="false">IF('C.Nivel de Servicio'!H10="Menos de 30 min.",1,0)</f>
        <v>0</v>
      </c>
      <c r="S9" s="686" t="n">
        <f aca="false">IF('C.Nivel de Servicio'!I10="Todo el tiempo tenemos agua",1,0)</f>
        <v>0</v>
      </c>
      <c r="T9" s="686" t="n">
        <f aca="false">IF('C.Nivel de Servicio'!N10="Todo el tiempo tenemos agua",1,0)</f>
        <v>0</v>
      </c>
      <c r="U9" s="686" t="n">
        <f aca="false">IF('C.Nivel de Servicio'!O10="Negativo en E. coli",1,0)</f>
        <v>0</v>
      </c>
      <c r="V9" s="687" t="n">
        <f aca="false">IF('C.Nivel de Servicio'!T10="SEGURA",1,IF('C.Nivel de Servicio'!T10="BÁSICO",0.5,0))</f>
        <v>0.5</v>
      </c>
      <c r="W9" s="688" t="n">
        <f aca="false">'D.RecuperacióndeCostes'!E9</f>
        <v>0</v>
      </c>
      <c r="X9" s="688" t="n">
        <f aca="false">'D.RecuperacióndeCostes'!H9</f>
        <v>0</v>
      </c>
      <c r="Y9" s="688" t="n">
        <f aca="false">'D.RecuperacióndeCostes'!H9</f>
        <v>0</v>
      </c>
      <c r="Z9" s="688" t="n">
        <f aca="false">IF('D.RecuperacióndeCostes'!I9="&lt;5%",1,0)</f>
        <v>0</v>
      </c>
      <c r="AA9" s="687" t="n">
        <f aca="false">0.25*W9+0.25*X9+0.25*Y9+0.25*Z9</f>
        <v>0</v>
      </c>
      <c r="AB9" s="688" t="n">
        <f aca="false">'E.OperaciónyMantenimiento'!E9</f>
        <v>0</v>
      </c>
      <c r="AC9" s="688" t="n">
        <f aca="false">'E.OperaciónyMantenimiento'!F9</f>
        <v>0</v>
      </c>
      <c r="AD9" s="687" t="n">
        <f aca="false">AB9*AC9</f>
        <v>0</v>
      </c>
      <c r="AE9" s="688" t="n">
        <f aca="false">'F.Gestión de riesgos hídricos'!E9</f>
        <v>0</v>
      </c>
      <c r="AF9" s="688" t="n">
        <f aca="false">'F.Gestión de riesgos hídricos'!F9</f>
        <v>0</v>
      </c>
      <c r="AG9" s="688" t="n">
        <f aca="false">'F.Gestión de riesgos hídricos'!G9</f>
        <v>0</v>
      </c>
      <c r="AH9" s="688" t="n">
        <f aca="false">'F.Gestión de riesgos hídricos'!H9</f>
        <v>0</v>
      </c>
      <c r="AI9" s="688" t="n">
        <f aca="false">'F.Gestión de riesgos hídricos'!I9</f>
        <v>0</v>
      </c>
      <c r="AJ9" s="688" t="n">
        <f aca="false">'F.Gestión de riesgos hídricos'!J9</f>
        <v>0</v>
      </c>
      <c r="AK9" s="688" t="n">
        <f aca="false">'F.Gestión de riesgos hídricos'!K9</f>
        <v>0</v>
      </c>
      <c r="AL9" s="688" t="n">
        <f aca="false">'F.Gestión de riesgos hídricos'!L9</f>
        <v>0</v>
      </c>
      <c r="AM9" s="688" t="n">
        <f aca="false">'F.Gestión de riesgos hídricos'!M9</f>
        <v>0</v>
      </c>
      <c r="AN9" s="688" t="n">
        <f aca="false">'F.Gestión de riesgos hídricos'!N9</f>
        <v>0</v>
      </c>
      <c r="AO9" s="705" t="n">
        <f aca="false">SUM(AE9:AN9)/10</f>
        <v>0</v>
      </c>
      <c r="AP9" s="688" t="n">
        <f aca="false">'G.Rendición de cuentas'!E9</f>
        <v>0</v>
      </c>
      <c r="AQ9" s="688" t="n">
        <f aca="false">'G.Rendición de cuentas'!F9</f>
        <v>0</v>
      </c>
      <c r="AR9" s="688" t="n">
        <f aca="false">'G.Rendición de cuentas'!G9</f>
        <v>0</v>
      </c>
      <c r="AS9" s="688" t="n">
        <f aca="false">'G.Rendición de cuentas'!H9</f>
        <v>0</v>
      </c>
      <c r="AT9" s="688" t="n">
        <f aca="false">'G.Rendición de cuentas'!I9</f>
        <v>0</v>
      </c>
      <c r="AU9" s="688" t="n">
        <f aca="false">'G.Rendición de cuentas'!J9</f>
        <v>0</v>
      </c>
      <c r="AV9" s="706" t="n">
        <f aca="false">(AP9*0.25)+(AQ9*0.25)+(AR9*0.125)+(AS9*0.125)+(AT9*0.125)+(AU9*0.125)</f>
        <v>0</v>
      </c>
      <c r="AW9" s="707" t="n">
        <f aca="false">'H.2.Estado_Conserv.MAG'!AC9</f>
        <v>0</v>
      </c>
      <c r="AX9" s="690" t="n">
        <f aca="false">'H.1.Estado_Conserv MABE'!K9</f>
        <v>0</v>
      </c>
      <c r="AY9" s="690" t="n">
        <f aca="false">IF(AX9&gt;=3,1,0)</f>
        <v>0</v>
      </c>
      <c r="AZ9" s="690" t="n">
        <f aca="false">'H.1.Estado_Conserv MABE'!R9</f>
        <v>0</v>
      </c>
      <c r="BA9" s="690" t="n">
        <f aca="false">IF(AZ9&gt;=4,1,0)</f>
        <v>0</v>
      </c>
      <c r="BB9" s="690" t="n">
        <f aca="false">'H.1.Estado_Conserv MABE'!T9</f>
        <v>0</v>
      </c>
      <c r="BC9" s="690" t="n">
        <f aca="false">'H.1.Estado_Conserv MABE'!V9</f>
        <v>0</v>
      </c>
      <c r="BD9" s="708" t="n">
        <f aca="false">(AY9*0.25)+(BA9*0.25)+(BB9*0.25)+(BC9*0.25)</f>
        <v>0</v>
      </c>
      <c r="BE9" s="709" t="n">
        <f aca="false">'H.3.Estado_Conserv.Pozos'!AB9</f>
        <v>0</v>
      </c>
      <c r="BF9" s="710" t="n">
        <f aca="false">+'I.Genero '!H11</f>
        <v>0</v>
      </c>
      <c r="BG9" s="711" t="n">
        <f aca="false">+'I.Genero '!K11</f>
        <v>0</v>
      </c>
      <c r="BH9" s="712" t="n">
        <f aca="false">+(BF9*0.5)+(BG9*0.5)</f>
        <v>0</v>
      </c>
      <c r="BI9" s="713" t="n">
        <f aca="false">IF(+'J.AutoGestionCAPS'!G19&gt;=0.5,1,0)</f>
        <v>0</v>
      </c>
      <c r="BJ9" s="714" t="str">
        <f aca="false">IF(AND($G9=$BJ$4,$F9="MABE"),((O9*'Ind.Sostenib.'!$B$5)+(V9*'Ind.Sostenib.'!$C$5)+(AA9*'Ind.Sostenib.'!$D$5)+(AD9*'Ind.Sostenib.'!$E$5)+(AO9*'Ind.Sostenib.'!$F$5)+(AV9*'Ind.Sostenib.'!$G$5)+(BD9*'Ind.Sostenib.'!$H$5)+(BH9*'Ind.Sostenib.'!$I$5)+(BI9*'Ind.Sostenib.'!$J$5))*100,"")</f>
        <v/>
      </c>
      <c r="BK9" s="714" t="str">
        <f aca="false">IF(AND($G9=$BK$4,$F9="MABE"),((O9*'Ind.Sostenib.'!$B$6)+(V9*'Ind.Sostenib.'!$C$5)+(AA9*'Ind.Sostenib.'!$D$5)+(AD9*'Ind.Sostenib.'!$E$5)+(AO9*'Ind.Sostenib.'!$F$5)+(AV9*'Ind.Sostenib.'!$G$5)+(BD9*'Ind.Sostenib.'!$H$5)+(BH9*'Ind.Sostenib.'!$I$5)+(BI9*'Ind.Sostenib.'!$J$5))*100,"")</f>
        <v/>
      </c>
      <c r="BL9" s="714" t="str">
        <f aca="false">IF(AND(G9=$BL$4,F9="MABE"),((O9*'Ind.Sostenib.'!$B$7)+(V9*'Ind.Sostenib.'!$C$7)+(AA9*'Ind.Sostenib.'!$D$7)+(AD9*'Ind.Sostenib.'!$E$7)+(AO9*'Ind.Sostenib.'!$F$7)+(AV9*'Ind.Sostenib.'!$G$7)+(BD9*'Ind.Sostenib.'!$H$7)+(BH9*'Ind.Sostenib.'!$I$7)+(BI9*'Ind.Sostenib.'!$J$7))*100,"")</f>
        <v/>
      </c>
      <c r="BM9" s="714" t="str">
        <f aca="false">IF(AND(G9=$BM$4,F9="MAG"),((O9*'Ind.Sostenib.'!$B$12)+(V9*'Ind.Sostenib.'!$C$12)+(AA9*'Ind.Sostenib.'!$D$12)+(AD9*'Ind.Sostenib.'!$E$12)+(AO9*'Ind.Sostenib.'!$F$12)+(AV9*'Ind.Sostenib.'!$G$12)+(AW9*'Ind.Sostenib.'!$H$12)+(BH9*'Ind.Sostenib.'!$I$12)+(BI9*'Ind.Sostenib.'!$J$12))*100,"")</f>
        <v/>
      </c>
      <c r="BN9" s="714" t="str">
        <f aca="false">IF(AND(G9=$BN$4,F9="MAG"),((O9*'Ind.Sostenib.'!$B$13)+(V9*'Ind.Sostenib.'!$C$13)+(AA9*'Ind.Sostenib.'!$D$13)+(AD9*'Ind.Sostenib.'!$E$13)+(AO9*'Ind.Sostenib.'!$F$13)+(AV9*'Ind.Sostenib.'!$G$13)+(AW9*'Ind.Sostenib.'!$H$13)+(BH9*'Ind.Sostenib.'!$I$13)+(BI9*'Ind.Sostenib.'!$J$13))*100,"")</f>
        <v/>
      </c>
      <c r="BO9" s="714" t="str">
        <f aca="false">IF(AND(G9=$BO$4,F9="MAG"),((O9*'Ind.Sostenib.'!$B$14)+(V9*'Ind.Sostenib.'!$C$14)+(AA9*'Ind.Sostenib.'!$D$14)+(AD9*'Ind.Sostenib.'!$E$14)+(AO9*'Ind.Sostenib.'!$F$14)+(AV9*'Ind.Sostenib.'!$G$14)+(AW9*'Ind.Sostenib.'!$H$14)+(BH9*'Ind.Sostenib.'!$I$14)+(BI9*'Ind.Sostenib.'!$J$14))*100,"")</f>
        <v/>
      </c>
      <c r="BP9" s="715"/>
      <c r="BQ9" s="714" t="str">
        <f aca="false">IF(AND(G9=$BQ$4,F9&lt;&gt;"MAG",F9&lt;&gt;"MABE"),((O9*'Ind.Sostenib.'!$B$12)+(V9*'Ind.Sostenib.'!$C$12)+(AA9*'Ind.Sostenib.'!$D$12)+(AD9*'Ind.Sostenib.'!$E$12)+(AO9*'Ind.Sostenib.'!$F$12)+(AV9*'Ind.Sostenib.'!$G$12)+(BE9*'Ind.Sostenib.'!$H$12)+(BH9*'Ind.Sostenib.'!$I$12)+(BI9*'Ind.Sostenib.'!$J$12))*100,"")</f>
        <v/>
      </c>
      <c r="BR9" s="714" t="str">
        <f aca="false">IF(AND(G9=$BR$4,F9&lt;&gt;"MABE",F9&lt;&gt;"MAG"),((O9*'Ind.Sostenib.'!$B$13)+(V9*'Ind.Sostenib.'!$C$13)+(AA9*'Ind.Sostenib.'!$D$13)+(AD9*'Ind.Sostenib.'!$E$13)+(AO9*'Ind.Sostenib.'!$F$13)+(AV9*'Ind.Sostenib.'!$G$13)+(BE9*'Ind.Sostenib.'!$H$13)+(BH9*'Ind.Sostenib.'!$I$13)+(BI9*'Ind.Sostenib.'!$J$13))*100,"")</f>
        <v/>
      </c>
      <c r="BS9" s="714" t="str">
        <f aca="false">IF(AND(G9=$BS$4,F9&lt;&gt;"MAG",F9&lt;&gt;"MABE"),((O9*'Ind.Sostenib.'!$B$14)+(V9*'Ind.Sostenib.'!$C$14)+(AA9*'Ind.Sostenib.'!$D$14)+(AD9*'Ind.Sostenib.'!$E$14)+(AO9*'Ind.Sostenib.'!$F$14)+(AV9*'Ind.Sostenib.'!$G$14)+(BE9*'Ind.Sostenib.'!$H$14)+(BH9*'Ind.Sostenib.'!$I$14)+(BI9*'Ind.Sostenib.'!$J$14))*100,"")</f>
        <v/>
      </c>
      <c r="BT9" s="657"/>
      <c r="BU9" s="724"/>
      <c r="BV9" s="657"/>
      <c r="BW9" s="657"/>
    </row>
    <row r="10" s="99" customFormat="true" ht="22.5" hidden="false" customHeight="true" outlineLevel="0" collapsed="false">
      <c r="A10" s="701" t="n">
        <f aca="false">'Listado CAPS'!A8</f>
        <v>0</v>
      </c>
      <c r="B10" s="701" t="n">
        <f aca="false">'Listado CAPS'!B8</f>
        <v>0</v>
      </c>
      <c r="C10" s="701" t="n">
        <f aca="false">'Listado CAPS'!C8</f>
        <v>0</v>
      </c>
      <c r="D10" s="719"/>
      <c r="E10" s="701" t="str">
        <f aca="false">'Listado CAPS'!D8</f>
        <v>F</v>
      </c>
      <c r="F10" s="701" t="n">
        <f aca="false">'Listado CAPS'!E8</f>
        <v>0</v>
      </c>
      <c r="G10" s="702" t="n">
        <f aca="false">'Listado CAPS'!F8</f>
        <v>0</v>
      </c>
      <c r="H10" s="703" t="n">
        <f aca="false">'A.Org_CAPS'!AD86</f>
        <v>0</v>
      </c>
      <c r="I10" s="683" t="n">
        <f aca="false">IF(H10&gt;=60%,1,IF(H10&lt;4,0))</f>
        <v>0</v>
      </c>
      <c r="J10" s="683" t="n">
        <f aca="false">+' A.Legalización '!K11</f>
        <v>0</v>
      </c>
      <c r="K10" s="703" t="n">
        <f aca="false">'A.Org_CAPS'!AG86</f>
        <v>0</v>
      </c>
      <c r="L10" s="683" t="n">
        <f aca="false">IF(K10&gt;=0.5,1,0)</f>
        <v>0</v>
      </c>
      <c r="M10" s="704" t="n">
        <f aca="false">'A.Org_CAPS'!J86</f>
        <v>0</v>
      </c>
      <c r="N10" s="683" t="n">
        <f aca="false">IF(M10&gt;=0.5,1,0)</f>
        <v>0</v>
      </c>
      <c r="O10" s="685" t="n">
        <f aca="false">SUM(I10*0.25+J10*0.25+L10*0.25+N10*0.25)</f>
        <v>0</v>
      </c>
      <c r="P10" s="686" t="n">
        <f aca="false">IF('C.Nivel de Servicio'!F11="Mejorada",1,0)</f>
        <v>0</v>
      </c>
      <c r="Q10" s="686" t="n">
        <f aca="false">IF('C.Nivel de Servicio'!G11="Dentro de la vivienda",1,0)</f>
        <v>0</v>
      </c>
      <c r="R10" s="686" t="n">
        <f aca="false">IF('C.Nivel de Servicio'!H11="Menos de 30 min.",1,0)</f>
        <v>0</v>
      </c>
      <c r="S10" s="686" t="n">
        <f aca="false">IF('C.Nivel de Servicio'!I11="Todo el tiempo tenemos agua",1,0)</f>
        <v>0</v>
      </c>
      <c r="T10" s="686" t="n">
        <f aca="false">IF('C.Nivel de Servicio'!N11="Todo el tiempo tenemos agua",1,0)</f>
        <v>0</v>
      </c>
      <c r="U10" s="686" t="n">
        <f aca="false">IF('C.Nivel de Servicio'!O11="Negativo en E. coli",1,0)</f>
        <v>0</v>
      </c>
      <c r="V10" s="687" t="n">
        <f aca="false">IF('C.Nivel de Servicio'!T11="SEGURA",1,IF('C.Nivel de Servicio'!T11="BÁSICO",0.5,0))</f>
        <v>0.5</v>
      </c>
      <c r="W10" s="688" t="n">
        <f aca="false">'D.RecuperacióndeCostes'!E10</f>
        <v>0</v>
      </c>
      <c r="X10" s="688" t="n">
        <f aca="false">'D.RecuperacióndeCostes'!H10</f>
        <v>0</v>
      </c>
      <c r="Y10" s="688" t="n">
        <f aca="false">'D.RecuperacióndeCostes'!H10</f>
        <v>0</v>
      </c>
      <c r="Z10" s="688" t="n">
        <f aca="false">IF('D.RecuperacióndeCostes'!I10="&lt;5%",1,0)</f>
        <v>0</v>
      </c>
      <c r="AA10" s="687" t="n">
        <f aca="false">0.25*W10+0.25*X10+0.25*Y10+0.25*Z10</f>
        <v>0</v>
      </c>
      <c r="AB10" s="688" t="n">
        <f aca="false">'E.OperaciónyMantenimiento'!E10</f>
        <v>0</v>
      </c>
      <c r="AC10" s="688" t="n">
        <f aca="false">'E.OperaciónyMantenimiento'!F10</f>
        <v>0</v>
      </c>
      <c r="AD10" s="687" t="n">
        <f aca="false">AB10*AC10</f>
        <v>0</v>
      </c>
      <c r="AE10" s="688" t="n">
        <f aca="false">'F.Gestión de riesgos hídricos'!E10</f>
        <v>0</v>
      </c>
      <c r="AF10" s="688" t="n">
        <f aca="false">'F.Gestión de riesgos hídricos'!F10</f>
        <v>0</v>
      </c>
      <c r="AG10" s="688" t="n">
        <f aca="false">'F.Gestión de riesgos hídricos'!G10</f>
        <v>0</v>
      </c>
      <c r="AH10" s="688" t="n">
        <f aca="false">'F.Gestión de riesgos hídricos'!H10</f>
        <v>0</v>
      </c>
      <c r="AI10" s="688" t="n">
        <f aca="false">'F.Gestión de riesgos hídricos'!I10</f>
        <v>0</v>
      </c>
      <c r="AJ10" s="688" t="n">
        <f aca="false">'F.Gestión de riesgos hídricos'!J10</f>
        <v>0</v>
      </c>
      <c r="AK10" s="688" t="n">
        <f aca="false">'F.Gestión de riesgos hídricos'!K10</f>
        <v>0</v>
      </c>
      <c r="AL10" s="688" t="n">
        <f aca="false">'F.Gestión de riesgos hídricos'!L10</f>
        <v>0</v>
      </c>
      <c r="AM10" s="688" t="n">
        <f aca="false">'F.Gestión de riesgos hídricos'!M10</f>
        <v>0</v>
      </c>
      <c r="AN10" s="688" t="n">
        <f aca="false">'F.Gestión de riesgos hídricos'!N10</f>
        <v>0</v>
      </c>
      <c r="AO10" s="705" t="n">
        <f aca="false">SUM(AE10:AN10)/10</f>
        <v>0</v>
      </c>
      <c r="AP10" s="688" t="n">
        <f aca="false">'G.Rendición de cuentas'!E10</f>
        <v>0</v>
      </c>
      <c r="AQ10" s="688" t="n">
        <f aca="false">'G.Rendición de cuentas'!F10</f>
        <v>0</v>
      </c>
      <c r="AR10" s="688" t="n">
        <f aca="false">'G.Rendición de cuentas'!G10</f>
        <v>0</v>
      </c>
      <c r="AS10" s="688" t="n">
        <f aca="false">'G.Rendición de cuentas'!H10</f>
        <v>0</v>
      </c>
      <c r="AT10" s="688" t="n">
        <f aca="false">'G.Rendición de cuentas'!I10</f>
        <v>0</v>
      </c>
      <c r="AU10" s="688" t="n">
        <f aca="false">'G.Rendición de cuentas'!J10</f>
        <v>0</v>
      </c>
      <c r="AV10" s="706" t="n">
        <f aca="false">(AP10*0.25)+(AQ10*0.25)+(AR10*0.125)+(AS10*0.125)+(AT10*0.125)+(AU10*0.125)</f>
        <v>0</v>
      </c>
      <c r="AW10" s="707" t="n">
        <f aca="false">'H.2.Estado_Conserv.MAG'!AC10</f>
        <v>0</v>
      </c>
      <c r="AX10" s="690" t="n">
        <f aca="false">'H.1.Estado_Conserv MABE'!K10</f>
        <v>0</v>
      </c>
      <c r="AY10" s="690" t="n">
        <f aca="false">IF(AX10&gt;=3,1,0)</f>
        <v>0</v>
      </c>
      <c r="AZ10" s="690" t="n">
        <f aca="false">'H.1.Estado_Conserv MABE'!R10</f>
        <v>0</v>
      </c>
      <c r="BA10" s="690" t="n">
        <f aca="false">IF(AZ10&gt;=4,1,0)</f>
        <v>0</v>
      </c>
      <c r="BB10" s="690" t="n">
        <f aca="false">'H.1.Estado_Conserv MABE'!T10</f>
        <v>0</v>
      </c>
      <c r="BC10" s="690" t="n">
        <f aca="false">'H.1.Estado_Conserv MABE'!V10</f>
        <v>0</v>
      </c>
      <c r="BD10" s="708" t="n">
        <f aca="false">(AY10*0.25)+(BA10*0.25)+(BB10*0.25)+(BC10*0.25)</f>
        <v>0</v>
      </c>
      <c r="BE10" s="709" t="n">
        <f aca="false">'H.3.Estado_Conserv.Pozos'!AB10</f>
        <v>0</v>
      </c>
      <c r="BF10" s="710" t="n">
        <f aca="false">+'I.Genero '!H12</f>
        <v>0</v>
      </c>
      <c r="BG10" s="711" t="n">
        <f aca="false">+'I.Genero '!K12</f>
        <v>0</v>
      </c>
      <c r="BH10" s="712" t="n">
        <f aca="false">+(BF10*0.5)+(BG10*0.5)</f>
        <v>0</v>
      </c>
      <c r="BI10" s="713" t="n">
        <f aca="false">IF(+'J.AutoGestionCAPS'!G20&gt;=0.5,1,0)</f>
        <v>0</v>
      </c>
      <c r="BJ10" s="714" t="str">
        <f aca="false">IF(AND($G10=$BJ$4,$F10="MABE"),((O10*'Ind.Sostenib.'!$B$5)+(V10*'Ind.Sostenib.'!$C$5)+(AA10*'Ind.Sostenib.'!$D$5)+(AD10*'Ind.Sostenib.'!$E$5)+(AO10*'Ind.Sostenib.'!$F$5)+(AV10*'Ind.Sostenib.'!$G$5)+(BD10*'Ind.Sostenib.'!$H$5)+(BH10*'Ind.Sostenib.'!$I$5)+(BI10*'Ind.Sostenib.'!$J$5))*100,"")</f>
        <v/>
      </c>
      <c r="BK10" s="714" t="str">
        <f aca="false">IF(AND($G10=$BK$4,$F10="MABE"),((O10*'Ind.Sostenib.'!$B$6)+(V10*'Ind.Sostenib.'!$C$5)+(AA10*'Ind.Sostenib.'!$D$5)+(AD10*'Ind.Sostenib.'!$E$5)+(AO10*'Ind.Sostenib.'!$F$5)+(AV10*'Ind.Sostenib.'!$G$5)+(BD10*'Ind.Sostenib.'!$H$5)+(BH10*'Ind.Sostenib.'!$I$5)+(BI10*'Ind.Sostenib.'!$J$5))*100,"")</f>
        <v/>
      </c>
      <c r="BL10" s="714" t="str">
        <f aca="false">IF(AND(G10=$BL$4,F10="MABE"),((O10*'Ind.Sostenib.'!$B$7)+(V10*'Ind.Sostenib.'!$C$7)+(AA10*'Ind.Sostenib.'!$D$7)+(AD10*'Ind.Sostenib.'!$E$7)+(AO10*'Ind.Sostenib.'!$F$7)+(AV10*'Ind.Sostenib.'!$G$7)+(BD10*'Ind.Sostenib.'!$H$7)+(BH10*'Ind.Sostenib.'!$I$7)+(BI10*'Ind.Sostenib.'!$J$7))*100,"")</f>
        <v/>
      </c>
      <c r="BM10" s="714" t="str">
        <f aca="false">IF(AND(G10=$BM$4,F10="MAG"),((O10*'Ind.Sostenib.'!$B$12)+(V10*'Ind.Sostenib.'!$C$12)+(AA10*'Ind.Sostenib.'!$D$12)+(AD10*'Ind.Sostenib.'!$E$12)+(AO10*'Ind.Sostenib.'!$F$12)+(AV10*'Ind.Sostenib.'!$G$12)+(AW10*'Ind.Sostenib.'!$H$12)+(BH10*'Ind.Sostenib.'!$I$12)+(BI10*'Ind.Sostenib.'!$J$12))*100,"")</f>
        <v/>
      </c>
      <c r="BN10" s="714" t="str">
        <f aca="false">IF(AND(G10=$BN$4,F10="MAG"),((O10*'Ind.Sostenib.'!$B$13)+(V10*'Ind.Sostenib.'!$C$13)+(AA10*'Ind.Sostenib.'!$D$13)+(AD10*'Ind.Sostenib.'!$E$13)+(AO10*'Ind.Sostenib.'!$F$13)+(AV10*'Ind.Sostenib.'!$G$13)+(AW10*'Ind.Sostenib.'!$H$13)+(BH10*'Ind.Sostenib.'!$I$13)+(BI10*'Ind.Sostenib.'!$J$13))*100,"")</f>
        <v/>
      </c>
      <c r="BO10" s="714" t="str">
        <f aca="false">IF(AND(G10=$BO$4,F10="MAG"),((O10*'Ind.Sostenib.'!$B$14)+(V10*'Ind.Sostenib.'!$C$14)+(AA10*'Ind.Sostenib.'!$D$14)+(AD10*'Ind.Sostenib.'!$E$14)+(AO10*'Ind.Sostenib.'!$F$14)+(AV10*'Ind.Sostenib.'!$G$14)+(AW10*'Ind.Sostenib.'!$H$14)+(BH10*'Ind.Sostenib.'!$I$14)+(BI10*'Ind.Sostenib.'!$J$14))*100,"")</f>
        <v/>
      </c>
      <c r="BP10" s="715"/>
      <c r="BQ10" s="714" t="str">
        <f aca="false">IF(AND(G10=$BQ$4,F10&lt;&gt;"MAG",F10&lt;&gt;"MABE"),((O10*'Ind.Sostenib.'!$B$12)+(V10*'Ind.Sostenib.'!$C$12)+(AA10*'Ind.Sostenib.'!$D$12)+(AD10*'Ind.Sostenib.'!$E$12)+(AO10*'Ind.Sostenib.'!$F$12)+(AV10*'Ind.Sostenib.'!$G$12)+(BE10*'Ind.Sostenib.'!$H$12)+(BH10*'Ind.Sostenib.'!$I$12)+(BI10*'Ind.Sostenib.'!$J$12))*100,"")</f>
        <v/>
      </c>
      <c r="BR10" s="714" t="str">
        <f aca="false">IF(AND(G10=$BR$4,F10&lt;&gt;"MABE",F10&lt;&gt;"MAG"),((O10*'Ind.Sostenib.'!$B$13)+(V10*'Ind.Sostenib.'!$C$13)+(AA10*'Ind.Sostenib.'!$D$13)+(AD10*'Ind.Sostenib.'!$E$13)+(AO10*'Ind.Sostenib.'!$F$13)+(AV10*'Ind.Sostenib.'!$G$13)+(BE10*'Ind.Sostenib.'!$H$13)+(BH10*'Ind.Sostenib.'!$I$13)+(BI10*'Ind.Sostenib.'!$J$13))*100,"")</f>
        <v/>
      </c>
      <c r="BS10" s="714" t="str">
        <f aca="false">IF(AND(G10=$BS$4,F10&lt;&gt;"MAG",F10&lt;&gt;"MABE"),((O10*'Ind.Sostenib.'!$B$14)+(V10*'Ind.Sostenib.'!$C$14)+(AA10*'Ind.Sostenib.'!$D$14)+(AD10*'Ind.Sostenib.'!$E$14)+(AO10*'Ind.Sostenib.'!$F$14)+(AV10*'Ind.Sostenib.'!$G$14)+(BE10*'Ind.Sostenib.'!$H$14)+(BH10*'Ind.Sostenib.'!$I$14)+(BI10*'Ind.Sostenib.'!$J$14))*100,"")</f>
        <v/>
      </c>
      <c r="BT10" s="657"/>
      <c r="BU10" s="725"/>
      <c r="BV10" s="725"/>
      <c r="BW10" s="657"/>
    </row>
    <row r="11" s="99" customFormat="true" ht="22.5" hidden="false" customHeight="true" outlineLevel="0" collapsed="false">
      <c r="A11" s="701" t="n">
        <f aca="false">'Listado CAPS'!A9</f>
        <v>0</v>
      </c>
      <c r="B11" s="701" t="n">
        <f aca="false">'Listado CAPS'!B9</f>
        <v>0</v>
      </c>
      <c r="C11" s="701" t="n">
        <f aca="false">'Listado CAPS'!C9</f>
        <v>0</v>
      </c>
      <c r="D11" s="719"/>
      <c r="E11" s="701" t="str">
        <f aca="false">'Listado CAPS'!D9</f>
        <v>G</v>
      </c>
      <c r="F11" s="701" t="n">
        <f aca="false">'Listado CAPS'!E9</f>
        <v>0</v>
      </c>
      <c r="G11" s="702" t="n">
        <f aca="false">'Listado CAPS'!F9</f>
        <v>0</v>
      </c>
      <c r="H11" s="703" t="n">
        <f aca="false">'A.Org_CAPS'!AD100</f>
        <v>0</v>
      </c>
      <c r="I11" s="683" t="n">
        <f aca="false">IF(H11&gt;=60%,1,IF(H11&lt;4,0))</f>
        <v>0</v>
      </c>
      <c r="J11" s="683" t="n">
        <f aca="false">+' A.Legalización '!K12</f>
        <v>0</v>
      </c>
      <c r="K11" s="703" t="n">
        <f aca="false">'A.Org_CAPS'!AG100</f>
        <v>0</v>
      </c>
      <c r="L11" s="683" t="n">
        <f aca="false">IF(K11&gt;=0.5,1,0)</f>
        <v>0</v>
      </c>
      <c r="M11" s="704" t="n">
        <f aca="false">'A.Org_CAPS'!J100</f>
        <v>0</v>
      </c>
      <c r="N11" s="683" t="n">
        <f aca="false">IF(M11&gt;=0.5,1,0)</f>
        <v>0</v>
      </c>
      <c r="O11" s="685" t="n">
        <f aca="false">SUM(I11*0.25+J11*0.25+L11*0.25+N11*0.25)</f>
        <v>0</v>
      </c>
      <c r="P11" s="686" t="n">
        <f aca="false">IF('C.Nivel de Servicio'!F12="Mejorada",1,0)</f>
        <v>0</v>
      </c>
      <c r="Q11" s="686" t="n">
        <f aca="false">IF('C.Nivel de Servicio'!G12="Dentro de la vivienda",1,0)</f>
        <v>0</v>
      </c>
      <c r="R11" s="686" t="n">
        <f aca="false">IF('C.Nivel de Servicio'!H12="Menos de 30 min.",1,0)</f>
        <v>0</v>
      </c>
      <c r="S11" s="686" t="n">
        <f aca="false">IF('C.Nivel de Servicio'!I12="Todo el tiempo tenemos agua",1,0)</f>
        <v>0</v>
      </c>
      <c r="T11" s="686" t="n">
        <f aca="false">IF('C.Nivel de Servicio'!N12="Todo el tiempo tenemos agua",1,0)</f>
        <v>0</v>
      </c>
      <c r="U11" s="686" t="n">
        <f aca="false">IF('C.Nivel de Servicio'!O12="Negativo en E. coli",1,0)</f>
        <v>0</v>
      </c>
      <c r="V11" s="687" t="n">
        <f aca="false">IF('C.Nivel de Servicio'!T12="SEGURA",1,IF('C.Nivel de Servicio'!T12="BÁSICO",0.5,0))</f>
        <v>0.5</v>
      </c>
      <c r="W11" s="688" t="n">
        <f aca="false">'D.RecuperacióndeCostes'!E11</f>
        <v>0</v>
      </c>
      <c r="X11" s="688" t="n">
        <f aca="false">'D.RecuperacióndeCostes'!H11</f>
        <v>0</v>
      </c>
      <c r="Y11" s="688" t="n">
        <f aca="false">'D.RecuperacióndeCostes'!H11</f>
        <v>0</v>
      </c>
      <c r="Z11" s="688" t="n">
        <f aca="false">IF('D.RecuperacióndeCostes'!I11="&lt;5%",1,0)</f>
        <v>0</v>
      </c>
      <c r="AA11" s="687" t="n">
        <f aca="false">0.25*W11+0.25*X11+0.25*Y11+0.25*Z11</f>
        <v>0</v>
      </c>
      <c r="AB11" s="688" t="n">
        <f aca="false">'E.OperaciónyMantenimiento'!E11</f>
        <v>0</v>
      </c>
      <c r="AC11" s="688" t="n">
        <f aca="false">'E.OperaciónyMantenimiento'!F11</f>
        <v>0</v>
      </c>
      <c r="AD11" s="687" t="n">
        <f aca="false">AB11*AC11</f>
        <v>0</v>
      </c>
      <c r="AE11" s="688" t="n">
        <f aca="false">'F.Gestión de riesgos hídricos'!E11</f>
        <v>0</v>
      </c>
      <c r="AF11" s="688" t="n">
        <f aca="false">'F.Gestión de riesgos hídricos'!F11</f>
        <v>0</v>
      </c>
      <c r="AG11" s="688" t="n">
        <f aca="false">'F.Gestión de riesgos hídricos'!G11</f>
        <v>0</v>
      </c>
      <c r="AH11" s="688" t="n">
        <f aca="false">'F.Gestión de riesgos hídricos'!H11</f>
        <v>0</v>
      </c>
      <c r="AI11" s="688" t="n">
        <f aca="false">'F.Gestión de riesgos hídricos'!I11</f>
        <v>0</v>
      </c>
      <c r="AJ11" s="688" t="n">
        <f aca="false">'F.Gestión de riesgos hídricos'!J11</f>
        <v>0</v>
      </c>
      <c r="AK11" s="688" t="n">
        <f aca="false">'F.Gestión de riesgos hídricos'!K11</f>
        <v>0</v>
      </c>
      <c r="AL11" s="688" t="n">
        <f aca="false">'F.Gestión de riesgos hídricos'!L11</f>
        <v>0</v>
      </c>
      <c r="AM11" s="688" t="n">
        <f aca="false">'F.Gestión de riesgos hídricos'!M11</f>
        <v>0</v>
      </c>
      <c r="AN11" s="688" t="n">
        <f aca="false">'F.Gestión de riesgos hídricos'!N11</f>
        <v>0</v>
      </c>
      <c r="AO11" s="705" t="n">
        <f aca="false">SUM(AE11:AN11)/10</f>
        <v>0</v>
      </c>
      <c r="AP11" s="688" t="n">
        <f aca="false">'G.Rendición de cuentas'!E11</f>
        <v>0</v>
      </c>
      <c r="AQ11" s="688" t="n">
        <f aca="false">'G.Rendición de cuentas'!F11</f>
        <v>0</v>
      </c>
      <c r="AR11" s="688" t="n">
        <f aca="false">'G.Rendición de cuentas'!G11</f>
        <v>0</v>
      </c>
      <c r="AS11" s="688" t="n">
        <f aca="false">'G.Rendición de cuentas'!H11</f>
        <v>0</v>
      </c>
      <c r="AT11" s="688" t="n">
        <f aca="false">'G.Rendición de cuentas'!I11</f>
        <v>0</v>
      </c>
      <c r="AU11" s="688" t="n">
        <f aca="false">'G.Rendición de cuentas'!J11</f>
        <v>0</v>
      </c>
      <c r="AV11" s="706" t="n">
        <f aca="false">(AP11*0.25)+(AQ11*0.25)+(AR11*0.125)+(AS11*0.125)+(AT11*0.125)+(AU11*0.125)</f>
        <v>0</v>
      </c>
      <c r="AW11" s="707" t="n">
        <f aca="false">'H.2.Estado_Conserv.MAG'!AC11</f>
        <v>0</v>
      </c>
      <c r="AX11" s="690" t="n">
        <f aca="false">'H.1.Estado_Conserv MABE'!K11</f>
        <v>0</v>
      </c>
      <c r="AY11" s="690" t="n">
        <f aca="false">IF(AX11&gt;=3,1,0)</f>
        <v>0</v>
      </c>
      <c r="AZ11" s="690" t="n">
        <f aca="false">'H.1.Estado_Conserv MABE'!R11</f>
        <v>0</v>
      </c>
      <c r="BA11" s="690" t="n">
        <f aca="false">IF(AZ11&gt;=4,1,0)</f>
        <v>0</v>
      </c>
      <c r="BB11" s="690" t="n">
        <f aca="false">'H.1.Estado_Conserv MABE'!T11</f>
        <v>0</v>
      </c>
      <c r="BC11" s="690" t="n">
        <f aca="false">'H.1.Estado_Conserv MABE'!V11</f>
        <v>0</v>
      </c>
      <c r="BD11" s="708" t="n">
        <f aca="false">(AY11*0.25)+(BA11*0.25)+(BB11*0.25)+(BC11*0.25)</f>
        <v>0</v>
      </c>
      <c r="BE11" s="709" t="n">
        <f aca="false">'H.3.Estado_Conserv.Pozos'!AB11</f>
        <v>0</v>
      </c>
      <c r="BF11" s="710" t="n">
        <f aca="false">+'I.Genero '!H13</f>
        <v>0</v>
      </c>
      <c r="BG11" s="711" t="n">
        <f aca="false">+'I.Genero '!K13</f>
        <v>0</v>
      </c>
      <c r="BH11" s="712" t="n">
        <f aca="false">+(BF11*0.5)+(BG11*0.5)</f>
        <v>0</v>
      </c>
      <c r="BI11" s="713" t="n">
        <f aca="false">IF(+'J.AutoGestionCAPS'!G21&gt;=0.5,1,0)</f>
        <v>0</v>
      </c>
      <c r="BJ11" s="714" t="str">
        <f aca="false">IF(AND($G11=$BJ$4,$F11="MABE"),((O11*'Ind.Sostenib.'!$B$5)+(V11*'Ind.Sostenib.'!$C$5)+(AA11*'Ind.Sostenib.'!$D$5)+(AD11*'Ind.Sostenib.'!$E$5)+(AO11*'Ind.Sostenib.'!$F$5)+(AV11*'Ind.Sostenib.'!$G$5)+(BD11*'Ind.Sostenib.'!$H$5)+(BH11*'Ind.Sostenib.'!$I$5)+(BI11*'Ind.Sostenib.'!$J$5))*100,"")</f>
        <v/>
      </c>
      <c r="BK11" s="714" t="str">
        <f aca="false">IF(AND($G11=$BK$4,$F11="MABE"),((O11*'Ind.Sostenib.'!$B$6)+(V11*'Ind.Sostenib.'!$C$5)+(AA11*'Ind.Sostenib.'!$D$5)+(AD11*'Ind.Sostenib.'!$E$5)+(AO11*'Ind.Sostenib.'!$F$5)+(AV11*'Ind.Sostenib.'!$G$5)+(BD11*'Ind.Sostenib.'!$H$5)+(BH11*'Ind.Sostenib.'!$I$5)+(BI11*'Ind.Sostenib.'!$J$5))*100,"")</f>
        <v/>
      </c>
      <c r="BL11" s="714" t="str">
        <f aca="false">IF(AND(G11=$BL$4,F11="MABE"),((O11*'Ind.Sostenib.'!$B$7)+(V11*'Ind.Sostenib.'!$C$7)+(AA11*'Ind.Sostenib.'!$D$7)+(AD11*'Ind.Sostenib.'!$E$7)+(AO11*'Ind.Sostenib.'!$F$7)+(AV11*'Ind.Sostenib.'!$G$7)+(BD11*'Ind.Sostenib.'!$H$7)+(BH11*'Ind.Sostenib.'!$I$7)+(BI11*'Ind.Sostenib.'!$J$7))*100,"")</f>
        <v/>
      </c>
      <c r="BM11" s="714" t="str">
        <f aca="false">IF(AND(G11=$BM$4,F11="MAG"),((O11*'Ind.Sostenib.'!$B$12)+(V11*'Ind.Sostenib.'!$C$12)+(AA11*'Ind.Sostenib.'!$D$12)+(AD11*'Ind.Sostenib.'!$E$12)+(AO11*'Ind.Sostenib.'!$F$12)+(AV11*'Ind.Sostenib.'!$G$12)+(AW11*'Ind.Sostenib.'!$H$12)+(BH11*'Ind.Sostenib.'!$I$12)+(BI11*'Ind.Sostenib.'!$J$12))*100,"")</f>
        <v/>
      </c>
      <c r="BN11" s="714" t="str">
        <f aca="false">IF(AND(G11=$BN$4,F11="MAG"),((O11*'Ind.Sostenib.'!$B$13)+(V11*'Ind.Sostenib.'!$C$13)+(AA11*'Ind.Sostenib.'!$D$13)+(AD11*'Ind.Sostenib.'!$E$13)+(AO11*'Ind.Sostenib.'!$F$13)+(AV11*'Ind.Sostenib.'!$G$13)+(AW11*'Ind.Sostenib.'!$H$13)+(BH11*'Ind.Sostenib.'!$I$13)+(BI11*'Ind.Sostenib.'!$J$13))*100,"")</f>
        <v/>
      </c>
      <c r="BO11" s="714" t="str">
        <f aca="false">IF(AND(G11=$BO$4,F11="MAG"),((O11*'Ind.Sostenib.'!$B$14)+(V11*'Ind.Sostenib.'!$C$14)+(AA11*'Ind.Sostenib.'!$D$14)+(AD11*'Ind.Sostenib.'!$E$14)+(AO11*'Ind.Sostenib.'!$F$14)+(AV11*'Ind.Sostenib.'!$G$14)+(AW11*'Ind.Sostenib.'!$H$14)+(BH11*'Ind.Sostenib.'!$I$14)+(BI11*'Ind.Sostenib.'!$J$14))*100,"")</f>
        <v/>
      </c>
      <c r="BP11" s="715"/>
      <c r="BQ11" s="714" t="str">
        <f aca="false">IF(AND(G11=$BQ$4,F11&lt;&gt;"MAG",F11&lt;&gt;"MABE"),((O11*'Ind.Sostenib.'!$B$12)+(V11*'Ind.Sostenib.'!$C$12)+(AA11*'Ind.Sostenib.'!$D$12)+(AD11*'Ind.Sostenib.'!$E$12)+(AO11*'Ind.Sostenib.'!$F$12)+(AV11*'Ind.Sostenib.'!$G$12)+(BE11*'Ind.Sostenib.'!$H$12)+(BH11*'Ind.Sostenib.'!$I$12)+(BI11*'Ind.Sostenib.'!$J$12))*100,"")</f>
        <v/>
      </c>
      <c r="BR11" s="714" t="str">
        <f aca="false">IF(AND(G11=$BR$4,F11&lt;&gt;"MABE",F11&lt;&gt;"MAG"),((O11*'Ind.Sostenib.'!$B$13)+(V11*'Ind.Sostenib.'!$C$13)+(AA11*'Ind.Sostenib.'!$D$13)+(AD11*'Ind.Sostenib.'!$E$13)+(AO11*'Ind.Sostenib.'!$F$13)+(AV11*'Ind.Sostenib.'!$G$13)+(BE11*'Ind.Sostenib.'!$H$13)+(BH11*'Ind.Sostenib.'!$I$13)+(BI11*'Ind.Sostenib.'!$J$13))*100,"")</f>
        <v/>
      </c>
      <c r="BS11" s="714" t="str">
        <f aca="false">IF(AND(G11=$BS$4,F11&lt;&gt;"MAG",F11&lt;&gt;"MABE"),((O11*'Ind.Sostenib.'!$B$14)+(V11*'Ind.Sostenib.'!$C$14)+(AA11*'Ind.Sostenib.'!$D$14)+(AD11*'Ind.Sostenib.'!$E$14)+(AO11*'Ind.Sostenib.'!$F$14)+(AV11*'Ind.Sostenib.'!$G$14)+(BE11*'Ind.Sostenib.'!$H$14)+(BH11*'Ind.Sostenib.'!$I$14)+(BI11*'Ind.Sostenib.'!$J$14))*100,"")</f>
        <v/>
      </c>
      <c r="BT11" s="726"/>
      <c r="BU11" s="724"/>
      <c r="BV11" s="724"/>
      <c r="BW11" s="657"/>
    </row>
    <row r="12" s="99" customFormat="true" ht="22.5" hidden="false" customHeight="true" outlineLevel="0" collapsed="false">
      <c r="A12" s="701" t="n">
        <f aca="false">'Listado CAPS'!A10</f>
        <v>0</v>
      </c>
      <c r="B12" s="701" t="n">
        <f aca="false">'Listado CAPS'!B10</f>
        <v>0</v>
      </c>
      <c r="C12" s="701" t="n">
        <f aca="false">'Listado CAPS'!C10</f>
        <v>0</v>
      </c>
      <c r="D12" s="719"/>
      <c r="E12" s="701" t="str">
        <f aca="false">'Listado CAPS'!D10</f>
        <v>H</v>
      </c>
      <c r="F12" s="701" t="n">
        <f aca="false">'Listado CAPS'!E10</f>
        <v>0</v>
      </c>
      <c r="G12" s="702" t="n">
        <f aca="false">'Listado CAPS'!F10</f>
        <v>0</v>
      </c>
      <c r="H12" s="703" t="n">
        <f aca="false">'A.Org_CAPS'!AD114</f>
        <v>0</v>
      </c>
      <c r="I12" s="683" t="n">
        <f aca="false">IF(H12&gt;=60%,1,IF(H12&lt;4,0))</f>
        <v>0</v>
      </c>
      <c r="J12" s="683" t="n">
        <f aca="false">+' A.Legalización '!K13</f>
        <v>0</v>
      </c>
      <c r="K12" s="703" t="n">
        <f aca="false">'A.Org_CAPS'!AG114</f>
        <v>0</v>
      </c>
      <c r="L12" s="683" t="n">
        <f aca="false">IF(K12&gt;=0.5,1,0)</f>
        <v>0</v>
      </c>
      <c r="M12" s="704" t="n">
        <f aca="false">'A.Org_CAPS'!J114</f>
        <v>0</v>
      </c>
      <c r="N12" s="683" t="n">
        <f aca="false">IF(M12&gt;=0.5,1,0)</f>
        <v>0</v>
      </c>
      <c r="O12" s="685" t="n">
        <f aca="false">SUM(I12*0.25+J12*0.25+L12*0.25+N12*0.25)</f>
        <v>0</v>
      </c>
      <c r="P12" s="686" t="n">
        <f aca="false">IF('C.Nivel de Servicio'!F13="Mejorada",1,0)</f>
        <v>0</v>
      </c>
      <c r="Q12" s="686" t="n">
        <f aca="false">IF('C.Nivel de Servicio'!G13="Dentro de la vivienda",1,0)</f>
        <v>0</v>
      </c>
      <c r="R12" s="686" t="n">
        <f aca="false">IF('C.Nivel de Servicio'!H13="Menos de 30 min.",1,0)</f>
        <v>0</v>
      </c>
      <c r="S12" s="686" t="n">
        <f aca="false">IF('C.Nivel de Servicio'!I13="Todo el tiempo tenemos agua",1,0)</f>
        <v>0</v>
      </c>
      <c r="T12" s="686" t="n">
        <f aca="false">IF('C.Nivel de Servicio'!N13="Todo el tiempo tenemos agua",1,0)</f>
        <v>0</v>
      </c>
      <c r="U12" s="686" t="n">
        <f aca="false">IF('C.Nivel de Servicio'!O13="Negativo en E. coli",1,0)</f>
        <v>0</v>
      </c>
      <c r="V12" s="687" t="n">
        <f aca="false">IF('C.Nivel de Servicio'!T13="SEGURA",1,IF('C.Nivel de Servicio'!T13="BÁSICO",0.5,0))</f>
        <v>0.5</v>
      </c>
      <c r="W12" s="688" t="n">
        <f aca="false">'D.RecuperacióndeCostes'!E12</f>
        <v>0</v>
      </c>
      <c r="X12" s="688" t="n">
        <f aca="false">'D.RecuperacióndeCostes'!H12</f>
        <v>0</v>
      </c>
      <c r="Y12" s="688" t="n">
        <f aca="false">'D.RecuperacióndeCostes'!H12</f>
        <v>0</v>
      </c>
      <c r="Z12" s="688" t="n">
        <f aca="false">IF('D.RecuperacióndeCostes'!I12="&lt;5%",1,0)</f>
        <v>0</v>
      </c>
      <c r="AA12" s="687" t="n">
        <f aca="false">0.25*W12+0.25*X12+0.25*Y12+0.25*Z12</f>
        <v>0</v>
      </c>
      <c r="AB12" s="688" t="n">
        <f aca="false">'E.OperaciónyMantenimiento'!E12</f>
        <v>0</v>
      </c>
      <c r="AC12" s="688" t="n">
        <f aca="false">'E.OperaciónyMantenimiento'!F12</f>
        <v>0</v>
      </c>
      <c r="AD12" s="687" t="n">
        <f aca="false">AB12*AC12</f>
        <v>0</v>
      </c>
      <c r="AE12" s="688" t="n">
        <f aca="false">'F.Gestión de riesgos hídricos'!E12</f>
        <v>0</v>
      </c>
      <c r="AF12" s="688" t="n">
        <f aca="false">'F.Gestión de riesgos hídricos'!F12</f>
        <v>0</v>
      </c>
      <c r="AG12" s="688" t="n">
        <f aca="false">'F.Gestión de riesgos hídricos'!G12</f>
        <v>0</v>
      </c>
      <c r="AH12" s="688" t="n">
        <f aca="false">'F.Gestión de riesgos hídricos'!H12</f>
        <v>0</v>
      </c>
      <c r="AI12" s="688" t="n">
        <f aca="false">'F.Gestión de riesgos hídricos'!I12</f>
        <v>0</v>
      </c>
      <c r="AJ12" s="688" t="n">
        <f aca="false">'F.Gestión de riesgos hídricos'!J12</f>
        <v>0</v>
      </c>
      <c r="AK12" s="688" t="n">
        <f aca="false">'F.Gestión de riesgos hídricos'!K12</f>
        <v>0</v>
      </c>
      <c r="AL12" s="688" t="n">
        <f aca="false">'F.Gestión de riesgos hídricos'!L12</f>
        <v>0</v>
      </c>
      <c r="AM12" s="688" t="n">
        <f aca="false">'F.Gestión de riesgos hídricos'!M12</f>
        <v>0</v>
      </c>
      <c r="AN12" s="688" t="n">
        <f aca="false">'F.Gestión de riesgos hídricos'!N12</f>
        <v>0</v>
      </c>
      <c r="AO12" s="705" t="n">
        <f aca="false">SUM(AE12:AN12)/10</f>
        <v>0</v>
      </c>
      <c r="AP12" s="688" t="n">
        <f aca="false">'G.Rendición de cuentas'!E12</f>
        <v>0</v>
      </c>
      <c r="AQ12" s="688" t="n">
        <f aca="false">'G.Rendición de cuentas'!F12</f>
        <v>0</v>
      </c>
      <c r="AR12" s="688" t="n">
        <f aca="false">'G.Rendición de cuentas'!G12</f>
        <v>0</v>
      </c>
      <c r="AS12" s="688" t="n">
        <f aca="false">'G.Rendición de cuentas'!H12</f>
        <v>0</v>
      </c>
      <c r="AT12" s="688" t="n">
        <f aca="false">'G.Rendición de cuentas'!I12</f>
        <v>0</v>
      </c>
      <c r="AU12" s="688" t="n">
        <f aca="false">'G.Rendición de cuentas'!J12</f>
        <v>0</v>
      </c>
      <c r="AV12" s="706" t="n">
        <f aca="false">(AP12*0.25)+(AQ12*0.25)+(AR12*0.125)+(AS12*0.125)+(AT12*0.125)+(AU12*0.125)</f>
        <v>0</v>
      </c>
      <c r="AW12" s="707" t="n">
        <f aca="false">'H.2.Estado_Conserv.MAG'!AC12</f>
        <v>0</v>
      </c>
      <c r="AX12" s="690" t="n">
        <f aca="false">'H.1.Estado_Conserv MABE'!K12</f>
        <v>0</v>
      </c>
      <c r="AY12" s="690" t="n">
        <f aca="false">IF(AX12&gt;=3,1,0)</f>
        <v>0</v>
      </c>
      <c r="AZ12" s="690" t="n">
        <f aca="false">'H.1.Estado_Conserv MABE'!R12</f>
        <v>0</v>
      </c>
      <c r="BA12" s="690" t="n">
        <f aca="false">IF(AZ12&gt;=4,1,0)</f>
        <v>0</v>
      </c>
      <c r="BB12" s="690" t="n">
        <f aca="false">'H.1.Estado_Conserv MABE'!T12</f>
        <v>0</v>
      </c>
      <c r="BC12" s="690" t="n">
        <f aca="false">'H.1.Estado_Conserv MABE'!V12</f>
        <v>0</v>
      </c>
      <c r="BD12" s="708" t="n">
        <f aca="false">(AY12*0.25)+(BA12*0.25)+(BB12*0.25)+(BC12*0.25)</f>
        <v>0</v>
      </c>
      <c r="BE12" s="709" t="n">
        <f aca="false">'H.3.Estado_Conserv.Pozos'!AB12</f>
        <v>0</v>
      </c>
      <c r="BF12" s="710" t="n">
        <f aca="false">+'I.Genero '!H14</f>
        <v>0</v>
      </c>
      <c r="BG12" s="711" t="n">
        <f aca="false">+'I.Genero '!K14</f>
        <v>0</v>
      </c>
      <c r="BH12" s="712" t="n">
        <f aca="false">+(BF12*0.5)+(BG12*0.5)</f>
        <v>0</v>
      </c>
      <c r="BI12" s="713" t="n">
        <f aca="false">IF(+'J.AutoGestionCAPS'!G22&gt;=0.5,1,0)</f>
        <v>0</v>
      </c>
      <c r="BJ12" s="714" t="str">
        <f aca="false">IF(AND($G12=$BJ$4,$F12="MABE"),((O12*'Ind.Sostenib.'!$B$5)+(V12*'Ind.Sostenib.'!$C$5)+(AA12*'Ind.Sostenib.'!$D$5)+(AD12*'Ind.Sostenib.'!$E$5)+(AO12*'Ind.Sostenib.'!$F$5)+(AV12*'Ind.Sostenib.'!$G$5)+(BD12*'Ind.Sostenib.'!$H$5)+(BH12*'Ind.Sostenib.'!$I$5)+(BI12*'Ind.Sostenib.'!$J$5))*100,"")</f>
        <v/>
      </c>
      <c r="BK12" s="714" t="str">
        <f aca="false">IF(AND($G12=$BK$4,$F12="MABE"),((O12*'Ind.Sostenib.'!$B$6)+(V12*'Ind.Sostenib.'!$C$5)+(AA12*'Ind.Sostenib.'!$D$5)+(AD12*'Ind.Sostenib.'!$E$5)+(AO12*'Ind.Sostenib.'!$F$5)+(AV12*'Ind.Sostenib.'!$G$5)+(BD12*'Ind.Sostenib.'!$H$5)+(BH12*'Ind.Sostenib.'!$I$5)+(BI12*'Ind.Sostenib.'!$J$5))*100,"")</f>
        <v/>
      </c>
      <c r="BL12" s="714" t="str">
        <f aca="false">IF(AND(G12=$BL$4,F12="MABE"),((O12*'Ind.Sostenib.'!$B$7)+(V12*'Ind.Sostenib.'!$C$7)+(AA12*'Ind.Sostenib.'!$D$7)+(AD12*'Ind.Sostenib.'!$E$7)+(AO12*'Ind.Sostenib.'!$F$7)+(AV12*'Ind.Sostenib.'!$G$7)+(BD12*'Ind.Sostenib.'!$H$7)+(BH12*'Ind.Sostenib.'!$I$7)+(BI12*'Ind.Sostenib.'!$J$7))*100,"")</f>
        <v/>
      </c>
      <c r="BM12" s="714" t="str">
        <f aca="false">IF(AND(G12=$BM$4,F12="MAG"),((O12*'Ind.Sostenib.'!$B$12)+(V12*'Ind.Sostenib.'!$C$12)+(AA12*'Ind.Sostenib.'!$D$12)+(AD12*'Ind.Sostenib.'!$E$12)+(AO12*'Ind.Sostenib.'!$F$12)+(AV12*'Ind.Sostenib.'!$G$12)+(AW12*'Ind.Sostenib.'!$H$12)+(BH12*'Ind.Sostenib.'!$I$12)+(BI12*'Ind.Sostenib.'!$J$12))*100,"")</f>
        <v/>
      </c>
      <c r="BN12" s="714" t="str">
        <f aca="false">IF(AND(G12=$BN$4,F12="MAG"),((O12*'Ind.Sostenib.'!$B$13)+(V12*'Ind.Sostenib.'!$C$13)+(AA12*'Ind.Sostenib.'!$D$13)+(AD12*'Ind.Sostenib.'!$E$13)+(AO12*'Ind.Sostenib.'!$F$13)+(AV12*'Ind.Sostenib.'!$G$13)+(AW12*'Ind.Sostenib.'!$H$13)+(BH12*'Ind.Sostenib.'!$I$13)+(BI12*'Ind.Sostenib.'!$J$13))*100,"")</f>
        <v/>
      </c>
      <c r="BO12" s="714" t="str">
        <f aca="false">IF(AND(G12=$BO$4,F12="MAG"),((O12*'Ind.Sostenib.'!$B$14)+(V12*'Ind.Sostenib.'!$C$14)+(AA12*'Ind.Sostenib.'!$D$14)+(AD12*'Ind.Sostenib.'!$E$14)+(AO12*'Ind.Sostenib.'!$F$14)+(AV12*'Ind.Sostenib.'!$G$14)+(AW12*'Ind.Sostenib.'!$H$14)+(BH12*'Ind.Sostenib.'!$I$14)+(BI12*'Ind.Sostenib.'!$J$14))*100,"")</f>
        <v/>
      </c>
      <c r="BP12" s="715"/>
      <c r="BQ12" s="714" t="str">
        <f aca="false">IF(AND(G12=$BQ$4,F12&lt;&gt;"MAG",F12&lt;&gt;"MABE"),((O12*'Ind.Sostenib.'!$B$12)+(V12*'Ind.Sostenib.'!$C$12)+(AA12*'Ind.Sostenib.'!$D$12)+(AD12*'Ind.Sostenib.'!$E$12)+(AO12*'Ind.Sostenib.'!$F$12)+(AV12*'Ind.Sostenib.'!$G$12)+(BE12*'Ind.Sostenib.'!$H$12)+(BH12*'Ind.Sostenib.'!$I$12)+(BI12*'Ind.Sostenib.'!$J$12))*100,"")</f>
        <v/>
      </c>
      <c r="BR12" s="714" t="str">
        <f aca="false">IF(AND(G12=$BR$4,F12&lt;&gt;"MABE",F12&lt;&gt;"MAG"),((O12*'Ind.Sostenib.'!$B$13)+(V12*'Ind.Sostenib.'!$C$13)+(AA12*'Ind.Sostenib.'!$D$13)+(AD12*'Ind.Sostenib.'!$E$13)+(AO12*'Ind.Sostenib.'!$F$13)+(AV12*'Ind.Sostenib.'!$G$13)+(BE12*'Ind.Sostenib.'!$H$13)+(BH12*'Ind.Sostenib.'!$I$13)+(BI12*'Ind.Sostenib.'!$J$13))*100,"")</f>
        <v/>
      </c>
      <c r="BS12" s="714" t="str">
        <f aca="false">IF(AND(G12=$BS$4,F12&lt;&gt;"MAG",F12&lt;&gt;"MABE"),((O12*'Ind.Sostenib.'!$B$14)+(V12*'Ind.Sostenib.'!$C$14)+(AA12*'Ind.Sostenib.'!$D$14)+(AD12*'Ind.Sostenib.'!$E$14)+(AO12*'Ind.Sostenib.'!$F$14)+(AV12*'Ind.Sostenib.'!$G$14)+(BE12*'Ind.Sostenib.'!$H$14)+(BH12*'Ind.Sostenib.'!$I$14)+(BI12*'Ind.Sostenib.'!$J$14))*100,"")</f>
        <v/>
      </c>
      <c r="BT12" s="726"/>
      <c r="BU12" s="724"/>
      <c r="BV12" s="657"/>
      <c r="BW12" s="657"/>
    </row>
    <row r="13" s="99" customFormat="true" ht="22.5" hidden="false" customHeight="true" outlineLevel="0" collapsed="false">
      <c r="A13" s="701" t="n">
        <f aca="false">'Listado CAPS'!A11</f>
        <v>0</v>
      </c>
      <c r="B13" s="701" t="n">
        <f aca="false">'Listado CAPS'!B11</f>
        <v>0</v>
      </c>
      <c r="C13" s="701" t="n">
        <f aca="false">'Listado CAPS'!C11</f>
        <v>0</v>
      </c>
      <c r="D13" s="719"/>
      <c r="E13" s="701" t="str">
        <f aca="false">'Listado CAPS'!D11</f>
        <v>I</v>
      </c>
      <c r="F13" s="701" t="n">
        <f aca="false">'Listado CAPS'!E11</f>
        <v>0</v>
      </c>
      <c r="G13" s="702" t="n">
        <f aca="false">'Listado CAPS'!F11</f>
        <v>0</v>
      </c>
      <c r="H13" s="703" t="n">
        <f aca="false">'A.Org_CAPS'!AD128</f>
        <v>0</v>
      </c>
      <c r="I13" s="683" t="n">
        <f aca="false">IF(H13&gt;=60%,1,IF(H13&lt;4,0))</f>
        <v>0</v>
      </c>
      <c r="J13" s="683" t="n">
        <f aca="false">+' A.Legalización '!K14</f>
        <v>0</v>
      </c>
      <c r="K13" s="703" t="n">
        <f aca="false">'A.Org_CAPS'!AG128</f>
        <v>0</v>
      </c>
      <c r="L13" s="683" t="n">
        <f aca="false">IF(K13&gt;=0.5,1,0)</f>
        <v>0</v>
      </c>
      <c r="M13" s="704" t="n">
        <f aca="false">'A.Org_CAPS'!J128</f>
        <v>0</v>
      </c>
      <c r="N13" s="683" t="n">
        <f aca="false">IF(M13&gt;=0.5,1,0)</f>
        <v>0</v>
      </c>
      <c r="O13" s="685" t="n">
        <f aca="false">SUM(I13*0.25+J13*0.25+L13*0.25+N13*0.25)</f>
        <v>0</v>
      </c>
      <c r="P13" s="686" t="n">
        <f aca="false">IF('C.Nivel de Servicio'!F14="Mejorada",1,0)</f>
        <v>0</v>
      </c>
      <c r="Q13" s="686" t="n">
        <f aca="false">IF('C.Nivel de Servicio'!G14="Dentro de la vivienda",1,0)</f>
        <v>0</v>
      </c>
      <c r="R13" s="686" t="n">
        <f aca="false">IF('C.Nivel de Servicio'!H14="Menos de 30 min.",1,0)</f>
        <v>0</v>
      </c>
      <c r="S13" s="686" t="n">
        <f aca="false">IF('C.Nivel de Servicio'!I14="Todo el tiempo tenemos agua",1,0)</f>
        <v>0</v>
      </c>
      <c r="T13" s="686" t="n">
        <f aca="false">IF('C.Nivel de Servicio'!N14="Todo el tiempo tenemos agua",1,0)</f>
        <v>0</v>
      </c>
      <c r="U13" s="686" t="n">
        <f aca="false">IF('C.Nivel de Servicio'!O14="Negativo en E. coli",1,0)</f>
        <v>0</v>
      </c>
      <c r="V13" s="687" t="n">
        <f aca="false">IF('C.Nivel de Servicio'!T14="SEGURA",1,IF('C.Nivel de Servicio'!T14="BÁSICO",0.5,0))</f>
        <v>0.5</v>
      </c>
      <c r="W13" s="688" t="n">
        <f aca="false">'D.RecuperacióndeCostes'!E13</f>
        <v>0</v>
      </c>
      <c r="X13" s="688" t="n">
        <f aca="false">'D.RecuperacióndeCostes'!H13</f>
        <v>0</v>
      </c>
      <c r="Y13" s="688" t="n">
        <f aca="false">'D.RecuperacióndeCostes'!H13</f>
        <v>0</v>
      </c>
      <c r="Z13" s="688" t="n">
        <f aca="false">IF('D.RecuperacióndeCostes'!I13="&lt;5%",1,0)</f>
        <v>0</v>
      </c>
      <c r="AA13" s="687" t="n">
        <f aca="false">0.25*W13+0.25*X13+0.25*Y13+0.25*Z13</f>
        <v>0</v>
      </c>
      <c r="AB13" s="688" t="n">
        <f aca="false">'E.OperaciónyMantenimiento'!E13</f>
        <v>0</v>
      </c>
      <c r="AC13" s="688" t="n">
        <f aca="false">'E.OperaciónyMantenimiento'!F13</f>
        <v>0</v>
      </c>
      <c r="AD13" s="687" t="n">
        <f aca="false">AB13*AC13</f>
        <v>0</v>
      </c>
      <c r="AE13" s="688" t="n">
        <f aca="false">'F.Gestión de riesgos hídricos'!E13</f>
        <v>0</v>
      </c>
      <c r="AF13" s="688" t="n">
        <f aca="false">'F.Gestión de riesgos hídricos'!F13</f>
        <v>0</v>
      </c>
      <c r="AG13" s="688" t="n">
        <f aca="false">'F.Gestión de riesgos hídricos'!G13</f>
        <v>0</v>
      </c>
      <c r="AH13" s="688" t="n">
        <f aca="false">'F.Gestión de riesgos hídricos'!H13</f>
        <v>0</v>
      </c>
      <c r="AI13" s="688" t="n">
        <f aca="false">'F.Gestión de riesgos hídricos'!I13</f>
        <v>0</v>
      </c>
      <c r="AJ13" s="688" t="n">
        <f aca="false">'F.Gestión de riesgos hídricos'!J13</f>
        <v>0</v>
      </c>
      <c r="AK13" s="688" t="n">
        <f aca="false">'F.Gestión de riesgos hídricos'!K13</f>
        <v>0</v>
      </c>
      <c r="AL13" s="688" t="n">
        <f aca="false">'F.Gestión de riesgos hídricos'!L13</f>
        <v>0</v>
      </c>
      <c r="AM13" s="688" t="n">
        <f aca="false">'F.Gestión de riesgos hídricos'!M13</f>
        <v>0</v>
      </c>
      <c r="AN13" s="688" t="n">
        <f aca="false">'F.Gestión de riesgos hídricos'!N13</f>
        <v>0</v>
      </c>
      <c r="AO13" s="705" t="n">
        <f aca="false">SUM(AE13:AN13)/10</f>
        <v>0</v>
      </c>
      <c r="AP13" s="688" t="n">
        <f aca="false">'G.Rendición de cuentas'!E13</f>
        <v>0</v>
      </c>
      <c r="AQ13" s="688" t="n">
        <f aca="false">'G.Rendición de cuentas'!F13</f>
        <v>0</v>
      </c>
      <c r="AR13" s="688" t="n">
        <f aca="false">'G.Rendición de cuentas'!G13</f>
        <v>0</v>
      </c>
      <c r="AS13" s="688" t="n">
        <f aca="false">'G.Rendición de cuentas'!H13</f>
        <v>0</v>
      </c>
      <c r="AT13" s="688" t="n">
        <f aca="false">'G.Rendición de cuentas'!I13</f>
        <v>0</v>
      </c>
      <c r="AU13" s="688" t="n">
        <f aca="false">'G.Rendición de cuentas'!J13</f>
        <v>0</v>
      </c>
      <c r="AV13" s="706" t="n">
        <f aca="false">(AP13*0.25)+(AQ13*0.25)+(AR13*0.125)+(AS13*0.125)+(AT13*0.125)+(AU13*0.125)</f>
        <v>0</v>
      </c>
      <c r="AW13" s="707" t="n">
        <f aca="false">'H.2.Estado_Conserv.MAG'!AC13</f>
        <v>0</v>
      </c>
      <c r="AX13" s="690" t="n">
        <f aca="false">'H.1.Estado_Conserv MABE'!K13</f>
        <v>0</v>
      </c>
      <c r="AY13" s="690" t="n">
        <f aca="false">IF(AX13&gt;=3,1,0)</f>
        <v>0</v>
      </c>
      <c r="AZ13" s="690" t="n">
        <f aca="false">'H.1.Estado_Conserv MABE'!R29</f>
        <v>0</v>
      </c>
      <c r="BA13" s="690" t="n">
        <f aca="false">IF(AZ13&gt;=4,1,0)</f>
        <v>0</v>
      </c>
      <c r="BB13" s="690" t="n">
        <f aca="false">'H.1.Estado_Conserv MABE'!T13</f>
        <v>0</v>
      </c>
      <c r="BC13" s="690" t="n">
        <f aca="false">'H.1.Estado_Conserv MABE'!V13</f>
        <v>0</v>
      </c>
      <c r="BD13" s="708" t="n">
        <f aca="false">(AY13*0.25)+(BA13*0.25)+(BB13*0.25)+(BC13*0.25)</f>
        <v>0</v>
      </c>
      <c r="BE13" s="709" t="n">
        <f aca="false">'H.3.Estado_Conserv.Pozos'!AB13</f>
        <v>0</v>
      </c>
      <c r="BF13" s="710" t="n">
        <f aca="false">+'I.Genero '!H15</f>
        <v>0</v>
      </c>
      <c r="BG13" s="711" t="n">
        <f aca="false">+'I.Genero '!K15</f>
        <v>0</v>
      </c>
      <c r="BH13" s="712" t="n">
        <f aca="false">+(BF13*0.5)+(BG13*0.5)</f>
        <v>0</v>
      </c>
      <c r="BI13" s="713" t="n">
        <f aca="false">IF(+'J.AutoGestionCAPS'!G23&gt;=0.5,1,0)</f>
        <v>0</v>
      </c>
      <c r="BJ13" s="714" t="str">
        <f aca="false">IF(AND($G13=$BJ$4,$F13="MABE"),((O13*'Ind.Sostenib.'!$B$5)+(V13*'Ind.Sostenib.'!$C$5)+(AA13*'Ind.Sostenib.'!$D$5)+(AD13*'Ind.Sostenib.'!$E$5)+(AO13*'Ind.Sostenib.'!$F$5)+(AV13*'Ind.Sostenib.'!$G$5)+(BD13*'Ind.Sostenib.'!$H$5)+(BH13*'Ind.Sostenib.'!$I$5)+(BI13*'Ind.Sostenib.'!$J$5))*100,"")</f>
        <v/>
      </c>
      <c r="BK13" s="714" t="str">
        <f aca="false">IF(AND($G13=$BK$4,$F13="MABE"),((O13*'Ind.Sostenib.'!$B$6)+(V13*'Ind.Sostenib.'!$C$5)+(AA13*'Ind.Sostenib.'!$D$5)+(AD13*'Ind.Sostenib.'!$E$5)+(AO13*'Ind.Sostenib.'!$F$5)+(AV13*'Ind.Sostenib.'!$G$5)+(BD13*'Ind.Sostenib.'!$H$5)+(BH13*'Ind.Sostenib.'!$I$5)+(BI13*'Ind.Sostenib.'!$J$5))*100,"")</f>
        <v/>
      </c>
      <c r="BL13" s="714" t="str">
        <f aca="false">IF(AND(G13=$BL$4,F13="MABE"),((O13*'Ind.Sostenib.'!$B$7)+(V13*'Ind.Sostenib.'!$C$7)+(AA13*'Ind.Sostenib.'!$D$7)+(AD13*'Ind.Sostenib.'!$E$7)+(AO13*'Ind.Sostenib.'!$F$7)+(AV13*'Ind.Sostenib.'!$G$7)+(BD13*'Ind.Sostenib.'!$H$7)+(BH13*'Ind.Sostenib.'!$I$7)+(BI13*'Ind.Sostenib.'!$J$7))*100,"")</f>
        <v/>
      </c>
      <c r="BM13" s="714" t="str">
        <f aca="false">IF(AND(G13=$BM$4,F13="MAG"),((O13*'Ind.Sostenib.'!$B$12)+(V13*'Ind.Sostenib.'!$C$12)+(AA13*'Ind.Sostenib.'!$D$12)+(AD13*'Ind.Sostenib.'!$E$12)+(AO13*'Ind.Sostenib.'!$F$12)+(AV13*'Ind.Sostenib.'!$G$12)+(AW13*'Ind.Sostenib.'!$H$12)+(BH13*'Ind.Sostenib.'!$I$12)+(BI13*'Ind.Sostenib.'!$J$12))*100,"")</f>
        <v/>
      </c>
      <c r="BN13" s="714" t="str">
        <f aca="false">IF(AND(G13=$BN$4,F13="MAG"),((O13*'Ind.Sostenib.'!$B$13)+(V13*'Ind.Sostenib.'!$C$13)+(AA13*'Ind.Sostenib.'!$D$13)+(AD13*'Ind.Sostenib.'!$E$13)+(AO13*'Ind.Sostenib.'!$F$13)+(AV13*'Ind.Sostenib.'!$G$13)+(AW13*'Ind.Sostenib.'!$H$13)+(BH13*'Ind.Sostenib.'!$I$13)+(BI13*'Ind.Sostenib.'!$J$13))*100,"")</f>
        <v/>
      </c>
      <c r="BO13" s="714" t="str">
        <f aca="false">IF(AND(G13=$BO$4,F13="MAG"),((O13*'Ind.Sostenib.'!$B$14)+(V13*'Ind.Sostenib.'!$C$14)+(AA13*'Ind.Sostenib.'!$D$14)+(AD13*'Ind.Sostenib.'!$E$14)+(AO13*'Ind.Sostenib.'!$F$14)+(AV13*'Ind.Sostenib.'!$G$14)+(AW13*'Ind.Sostenib.'!$H$14)+(BH13*'Ind.Sostenib.'!$I$14)+(BI13*'Ind.Sostenib.'!$J$14))*100,"")</f>
        <v/>
      </c>
      <c r="BP13" s="715"/>
      <c r="BQ13" s="714" t="str">
        <f aca="false">IF(AND(G13=$BQ$4,F13&lt;&gt;"MAG",F13&lt;&gt;"MABE"),((O13*'Ind.Sostenib.'!$B$12)+(V13*'Ind.Sostenib.'!$C$12)+(AA13*'Ind.Sostenib.'!$D$12)+(AD13*'Ind.Sostenib.'!$E$12)+(AO13*'Ind.Sostenib.'!$F$12)+(AV13*'Ind.Sostenib.'!$G$12)+(BE13*'Ind.Sostenib.'!$H$12)+(BH13*'Ind.Sostenib.'!$I$12)+(BI13*'Ind.Sostenib.'!$J$12))*100,"")</f>
        <v/>
      </c>
      <c r="BR13" s="714" t="str">
        <f aca="false">IF(AND(G13=$BR$4,F13&lt;&gt;"MABE",F13&lt;&gt;"MAG"),((O13*'Ind.Sostenib.'!$B$13)+(V13*'Ind.Sostenib.'!$C$13)+(AA13*'Ind.Sostenib.'!$D$13)+(AD13*'Ind.Sostenib.'!$E$13)+(AO13*'Ind.Sostenib.'!$F$13)+(AV13*'Ind.Sostenib.'!$G$13)+(BE13*'Ind.Sostenib.'!$H$13)+(BH13*'Ind.Sostenib.'!$I$13)+(BI13*'Ind.Sostenib.'!$J$13))*100,"")</f>
        <v/>
      </c>
      <c r="BS13" s="714" t="str">
        <f aca="false">IF(AND(G13=$BS$4,F13&lt;&gt;"MAG",F13&lt;&gt;"MABE"),((O13*'Ind.Sostenib.'!$B$14)+(V13*'Ind.Sostenib.'!$C$14)+(AA13*'Ind.Sostenib.'!$D$14)+(AD13*'Ind.Sostenib.'!$E$14)+(AO13*'Ind.Sostenib.'!$F$14)+(AV13*'Ind.Sostenib.'!$G$14)+(BE13*'Ind.Sostenib.'!$H$14)+(BH13*'Ind.Sostenib.'!$I$14)+(BI13*'Ind.Sostenib.'!$J$14))*100,"")</f>
        <v/>
      </c>
      <c r="BT13" s="726"/>
      <c r="BU13" s="657"/>
      <c r="BV13" s="657"/>
      <c r="BW13" s="657"/>
    </row>
    <row r="14" s="99" customFormat="true" ht="22.5" hidden="false" customHeight="true" outlineLevel="0" collapsed="false">
      <c r="A14" s="701" t="n">
        <f aca="false">'Listado CAPS'!A12</f>
        <v>0</v>
      </c>
      <c r="B14" s="701" t="n">
        <f aca="false">'Listado CAPS'!B12</f>
        <v>0</v>
      </c>
      <c r="C14" s="701" t="n">
        <f aca="false">'Listado CAPS'!C12</f>
        <v>0</v>
      </c>
      <c r="D14" s="719"/>
      <c r="E14" s="701" t="str">
        <f aca="false">'Listado CAPS'!D12</f>
        <v>J</v>
      </c>
      <c r="F14" s="701" t="n">
        <f aca="false">'Listado CAPS'!E12</f>
        <v>0</v>
      </c>
      <c r="G14" s="702" t="n">
        <f aca="false">'Listado CAPS'!F12</f>
        <v>0</v>
      </c>
      <c r="H14" s="703" t="n">
        <f aca="false">'A.Org_CAPS'!AD142</f>
        <v>0</v>
      </c>
      <c r="I14" s="683" t="n">
        <f aca="false">IF(H14&gt;=60%,1,IF(H14&lt;4,0))</f>
        <v>0</v>
      </c>
      <c r="J14" s="683" t="n">
        <f aca="false">+' A.Legalización '!K15</f>
        <v>0</v>
      </c>
      <c r="K14" s="703" t="n">
        <f aca="false">'A.Org_CAPS'!AG142</f>
        <v>0</v>
      </c>
      <c r="L14" s="683" t="n">
        <f aca="false">IF(K14&gt;=0.5,1,0)</f>
        <v>0</v>
      </c>
      <c r="M14" s="704" t="n">
        <f aca="false">'A.Org_CAPS'!J142</f>
        <v>0</v>
      </c>
      <c r="N14" s="683" t="n">
        <f aca="false">IF(M14&gt;=0.5,1,0)</f>
        <v>0</v>
      </c>
      <c r="O14" s="685" t="n">
        <f aca="false">SUM(I14*0.25+J14*0.25+L14*0.25+N14*0.25)</f>
        <v>0</v>
      </c>
      <c r="P14" s="686" t="n">
        <f aca="false">IF('C.Nivel de Servicio'!F15="Mejorada",1,0)</f>
        <v>0</v>
      </c>
      <c r="Q14" s="686" t="n">
        <f aca="false">IF('C.Nivel de Servicio'!G15="Dentro de la vivienda",1,0)</f>
        <v>0</v>
      </c>
      <c r="R14" s="686" t="n">
        <f aca="false">IF('C.Nivel de Servicio'!H15="Menos de 30 min.",1,0)</f>
        <v>0</v>
      </c>
      <c r="S14" s="686" t="n">
        <f aca="false">IF('C.Nivel de Servicio'!I15="Todo el tiempo tenemos agua",1,0)</f>
        <v>0</v>
      </c>
      <c r="T14" s="686" t="n">
        <f aca="false">IF('C.Nivel de Servicio'!N15="Todo el tiempo tenemos agua",1,0)</f>
        <v>0</v>
      </c>
      <c r="U14" s="686" t="n">
        <f aca="false">IF('C.Nivel de Servicio'!O15="Negativo en E. coli",1,0)</f>
        <v>0</v>
      </c>
      <c r="V14" s="687" t="n">
        <f aca="false">IF('C.Nivel de Servicio'!T15="SEGURA",1,IF('C.Nivel de Servicio'!T15="BÁSICO",0.5,0))</f>
        <v>0.5</v>
      </c>
      <c r="W14" s="688" t="n">
        <f aca="false">'D.RecuperacióndeCostes'!E14</f>
        <v>0</v>
      </c>
      <c r="X14" s="688" t="n">
        <f aca="false">'D.RecuperacióndeCostes'!H14</f>
        <v>0</v>
      </c>
      <c r="Y14" s="688" t="n">
        <f aca="false">'D.RecuperacióndeCostes'!H14</f>
        <v>0</v>
      </c>
      <c r="Z14" s="688" t="n">
        <f aca="false">IF('D.RecuperacióndeCostes'!I14="&lt;5%",1,0)</f>
        <v>0</v>
      </c>
      <c r="AA14" s="687" t="n">
        <f aca="false">0.25*W14+0.25*X14+0.25*Y14+0.25*Z14</f>
        <v>0</v>
      </c>
      <c r="AB14" s="688" t="n">
        <f aca="false">'E.OperaciónyMantenimiento'!E14</f>
        <v>0</v>
      </c>
      <c r="AC14" s="688" t="n">
        <f aca="false">'E.OperaciónyMantenimiento'!F14</f>
        <v>0</v>
      </c>
      <c r="AD14" s="687" t="n">
        <f aca="false">AB14*AC14</f>
        <v>0</v>
      </c>
      <c r="AE14" s="688" t="n">
        <f aca="false">'F.Gestión de riesgos hídricos'!E14</f>
        <v>0</v>
      </c>
      <c r="AF14" s="688" t="n">
        <f aca="false">'F.Gestión de riesgos hídricos'!F14</f>
        <v>0</v>
      </c>
      <c r="AG14" s="688" t="n">
        <f aca="false">'F.Gestión de riesgos hídricos'!G14</f>
        <v>0</v>
      </c>
      <c r="AH14" s="688" t="n">
        <f aca="false">'F.Gestión de riesgos hídricos'!H14</f>
        <v>0</v>
      </c>
      <c r="AI14" s="688" t="n">
        <f aca="false">'F.Gestión de riesgos hídricos'!I14</f>
        <v>0</v>
      </c>
      <c r="AJ14" s="688" t="n">
        <f aca="false">'F.Gestión de riesgos hídricos'!J14</f>
        <v>0</v>
      </c>
      <c r="AK14" s="688" t="n">
        <f aca="false">'F.Gestión de riesgos hídricos'!K14</f>
        <v>0</v>
      </c>
      <c r="AL14" s="688" t="n">
        <f aca="false">'F.Gestión de riesgos hídricos'!L14</f>
        <v>0</v>
      </c>
      <c r="AM14" s="688" t="n">
        <f aca="false">'F.Gestión de riesgos hídricos'!M14</f>
        <v>0</v>
      </c>
      <c r="AN14" s="688" t="n">
        <f aca="false">'F.Gestión de riesgos hídricos'!N14</f>
        <v>0</v>
      </c>
      <c r="AO14" s="705" t="n">
        <f aca="false">SUM(AE14:AN14)/10</f>
        <v>0</v>
      </c>
      <c r="AP14" s="688" t="n">
        <f aca="false">'G.Rendición de cuentas'!E14</f>
        <v>0</v>
      </c>
      <c r="AQ14" s="688" t="n">
        <f aca="false">'G.Rendición de cuentas'!F14</f>
        <v>0</v>
      </c>
      <c r="AR14" s="688" t="n">
        <f aca="false">'G.Rendición de cuentas'!G14</f>
        <v>0</v>
      </c>
      <c r="AS14" s="688" t="n">
        <f aca="false">'G.Rendición de cuentas'!H14</f>
        <v>0</v>
      </c>
      <c r="AT14" s="688" t="n">
        <f aca="false">'G.Rendición de cuentas'!I14</f>
        <v>0</v>
      </c>
      <c r="AU14" s="688" t="n">
        <f aca="false">'G.Rendición de cuentas'!J14</f>
        <v>0</v>
      </c>
      <c r="AV14" s="706" t="n">
        <f aca="false">(AP14*0.25)+(AQ14*0.25)+(AR14*0.125)+(AS14*0.125)+(AT14*0.125)+(AU14*0.125)</f>
        <v>0</v>
      </c>
      <c r="AW14" s="707" t="n">
        <f aca="false">'H.2.Estado_Conserv.MAG'!AC14</f>
        <v>0</v>
      </c>
      <c r="AX14" s="690" t="n">
        <f aca="false">'H.1.Estado_Conserv MABE'!K14</f>
        <v>0</v>
      </c>
      <c r="AY14" s="690" t="n">
        <f aca="false">IF(AX14&gt;=3,1,0)</f>
        <v>0</v>
      </c>
      <c r="AZ14" s="690" t="n">
        <f aca="false">'H.1.Estado_Conserv MABE'!R30</f>
        <v>0</v>
      </c>
      <c r="BA14" s="690" t="n">
        <f aca="false">IF(AZ14&gt;=4,1,0)</f>
        <v>0</v>
      </c>
      <c r="BB14" s="690" t="n">
        <f aca="false">'H.1.Estado_Conserv MABE'!T14</f>
        <v>0</v>
      </c>
      <c r="BC14" s="690" t="n">
        <f aca="false">'H.1.Estado_Conserv MABE'!V14</f>
        <v>0</v>
      </c>
      <c r="BD14" s="708" t="n">
        <f aca="false">(AY14*0.25)+(BA14*0.25)+(BB14*0.25)+(BC14*0.25)</f>
        <v>0</v>
      </c>
      <c r="BE14" s="709" t="n">
        <f aca="false">'H.3.Estado_Conserv.Pozos'!AB14</f>
        <v>0</v>
      </c>
      <c r="BF14" s="710" t="n">
        <f aca="false">+'I.Genero '!H16</f>
        <v>0</v>
      </c>
      <c r="BG14" s="711" t="n">
        <f aca="false">+'I.Genero '!K16</f>
        <v>0</v>
      </c>
      <c r="BH14" s="712" t="n">
        <f aca="false">+(BF14*0.5)+(BG14*0.5)</f>
        <v>0</v>
      </c>
      <c r="BI14" s="713" t="n">
        <f aca="false">IF(+'J.AutoGestionCAPS'!G24&gt;=0.5,1,0)</f>
        <v>0</v>
      </c>
      <c r="BJ14" s="714" t="str">
        <f aca="false">IF(AND($G14=$BJ$4,$F14="MABE"),((O14*'Ind.Sostenib.'!$B$5)+(V14*'Ind.Sostenib.'!$C$5)+(AA14*'Ind.Sostenib.'!$D$5)+(AD14*'Ind.Sostenib.'!$E$5)+(AO14*'Ind.Sostenib.'!$F$5)+(AV14*'Ind.Sostenib.'!$G$5)+(BD14*'Ind.Sostenib.'!$H$5)+(BH14*'Ind.Sostenib.'!$I$5)+(BI14*'Ind.Sostenib.'!$J$5))*100,"")</f>
        <v/>
      </c>
      <c r="BK14" s="714" t="str">
        <f aca="false">IF(AND($G14=$BK$4,$F14="MABE"),((O14*'Ind.Sostenib.'!$B$6)+(V14*'Ind.Sostenib.'!$C$5)+(AA14*'Ind.Sostenib.'!$D$5)+(AD14*'Ind.Sostenib.'!$E$5)+(AO14*'Ind.Sostenib.'!$F$5)+(AV14*'Ind.Sostenib.'!$G$5)+(BD14*'Ind.Sostenib.'!$H$5)+(BH14*'Ind.Sostenib.'!$I$5)+(BI14*'Ind.Sostenib.'!$J$5))*100,"")</f>
        <v/>
      </c>
      <c r="BL14" s="714" t="str">
        <f aca="false">IF(AND(G14=$BL$4,F14="MABE"),((O14*'Ind.Sostenib.'!$B$7)+(V14*'Ind.Sostenib.'!$C$7)+(AA14*'Ind.Sostenib.'!$D$7)+(AD14*'Ind.Sostenib.'!$E$7)+(AO14*'Ind.Sostenib.'!$F$7)+(AV14*'Ind.Sostenib.'!$G$7)+(BD14*'Ind.Sostenib.'!$H$7)+(BH14*'Ind.Sostenib.'!$I$7)+(BI14*'Ind.Sostenib.'!$J$7))*100,"")</f>
        <v/>
      </c>
      <c r="BM14" s="714" t="str">
        <f aca="false">IF(AND(G14=$BM$4,F14="MAG"),((O14*'Ind.Sostenib.'!$B$12)+(V14*'Ind.Sostenib.'!$C$12)+(AA14*'Ind.Sostenib.'!$D$12)+(AD14*'Ind.Sostenib.'!$E$12)+(AO14*'Ind.Sostenib.'!$F$12)+(AV14*'Ind.Sostenib.'!$G$12)+(AW14*'Ind.Sostenib.'!$H$12)+(BH14*'Ind.Sostenib.'!$I$12)+(BI14*'Ind.Sostenib.'!$J$12))*100,"")</f>
        <v/>
      </c>
      <c r="BN14" s="714" t="str">
        <f aca="false">IF(AND(G14=$BN$4,F14="MAG"),((O14*'Ind.Sostenib.'!$B$13)+(V14*'Ind.Sostenib.'!$C$13)+(AA14*'Ind.Sostenib.'!$D$13)+(AD14*'Ind.Sostenib.'!$E$13)+(AO14*'Ind.Sostenib.'!$F$13)+(AV14*'Ind.Sostenib.'!$G$13)+(AW14*'Ind.Sostenib.'!$H$13)+(BH14*'Ind.Sostenib.'!$I$13)+(BI14*'Ind.Sostenib.'!$J$13))*100,"")</f>
        <v/>
      </c>
      <c r="BO14" s="714" t="str">
        <f aca="false">IF(AND(G14=$BO$4,F14="MAG"),((O14*'Ind.Sostenib.'!$B$14)+(V14*'Ind.Sostenib.'!$C$14)+(AA14*'Ind.Sostenib.'!$D$14)+(AD14*'Ind.Sostenib.'!$E$14)+(AO14*'Ind.Sostenib.'!$F$14)+(AV14*'Ind.Sostenib.'!$G$14)+(AW14*'Ind.Sostenib.'!$H$14)+(BH14*'Ind.Sostenib.'!$I$14)+(BI14*'Ind.Sostenib.'!$J$14))*100,"")</f>
        <v/>
      </c>
      <c r="BP14" s="715"/>
      <c r="BQ14" s="714" t="str">
        <f aca="false">IF(AND(G14=$BQ$4,F14&lt;&gt;"MAG",F14&lt;&gt;"MABE"),((O14*'Ind.Sostenib.'!$B$12)+(V14*'Ind.Sostenib.'!$C$12)+(AA14*'Ind.Sostenib.'!$D$12)+(AD14*'Ind.Sostenib.'!$E$12)+(AO14*'Ind.Sostenib.'!$F$12)+(AV14*'Ind.Sostenib.'!$G$12)+(BE14*'Ind.Sostenib.'!$H$12)+(BH14*'Ind.Sostenib.'!$I$12)+(BI14*'Ind.Sostenib.'!$J$12))*100,"")</f>
        <v/>
      </c>
      <c r="BR14" s="714" t="str">
        <f aca="false">IF(AND(G14=$BR$4,F14&lt;&gt;"MABE",F14&lt;&gt;"MAG"),((O14*'Ind.Sostenib.'!$B$13)+(V14*'Ind.Sostenib.'!$C$13)+(AA14*'Ind.Sostenib.'!$D$13)+(AD14*'Ind.Sostenib.'!$E$13)+(AO14*'Ind.Sostenib.'!$F$13)+(AV14*'Ind.Sostenib.'!$G$13)+(BE14*'Ind.Sostenib.'!$H$13)+(BH14*'Ind.Sostenib.'!$I$13)+(BI14*'Ind.Sostenib.'!$J$13))*100,"")</f>
        <v/>
      </c>
      <c r="BS14" s="714" t="str">
        <f aca="false">IF(AND(G14=$BS$4,F14&lt;&gt;"MAG",F14&lt;&gt;"MABE"),((O14*'Ind.Sostenib.'!$B$14)+(V14*'Ind.Sostenib.'!$C$14)+(AA14*'Ind.Sostenib.'!$D$14)+(AD14*'Ind.Sostenib.'!$E$14)+(AO14*'Ind.Sostenib.'!$F$14)+(AV14*'Ind.Sostenib.'!$G$14)+(BE14*'Ind.Sostenib.'!$H$14)+(BH14*'Ind.Sostenib.'!$I$14)+(BI14*'Ind.Sostenib.'!$J$14))*100,"")</f>
        <v/>
      </c>
      <c r="BT14" s="657"/>
      <c r="BU14" s="657"/>
      <c r="BV14" s="657"/>
      <c r="BW14" s="657"/>
    </row>
    <row r="15" s="99" customFormat="true" ht="22.5" hidden="false" customHeight="true" outlineLevel="0" collapsed="false">
      <c r="A15" s="701" t="n">
        <f aca="false">'Listado CAPS'!A13</f>
        <v>0</v>
      </c>
      <c r="B15" s="701" t="n">
        <f aca="false">'Listado CAPS'!B13</f>
        <v>0</v>
      </c>
      <c r="C15" s="701" t="n">
        <f aca="false">'Listado CAPS'!C13</f>
        <v>0</v>
      </c>
      <c r="D15" s="719"/>
      <c r="E15" s="701" t="str">
        <f aca="false">'Listado CAPS'!D13</f>
        <v>K</v>
      </c>
      <c r="F15" s="701" t="n">
        <f aca="false">'Listado CAPS'!E13</f>
        <v>0</v>
      </c>
      <c r="G15" s="702" t="n">
        <f aca="false">'Listado CAPS'!F13</f>
        <v>0</v>
      </c>
      <c r="H15" s="703" t="n">
        <f aca="false">'A.Org_CAPS'!AD156</f>
        <v>0</v>
      </c>
      <c r="I15" s="683" t="n">
        <f aca="false">IF(H15&gt;=60%,1,IF(H15&lt;4,0))</f>
        <v>0</v>
      </c>
      <c r="J15" s="683" t="n">
        <f aca="false">+' A.Legalización '!K16</f>
        <v>0</v>
      </c>
      <c r="K15" s="703" t="n">
        <f aca="false">'A.Org_CAPS'!AG156</f>
        <v>0</v>
      </c>
      <c r="L15" s="683" t="n">
        <f aca="false">IF(K15&gt;=0.5,1,0)</f>
        <v>0</v>
      </c>
      <c r="M15" s="704" t="n">
        <f aca="false">'A.Org_CAPS'!J156</f>
        <v>0</v>
      </c>
      <c r="N15" s="683" t="n">
        <f aca="false">IF(M15&gt;=0.5,1,0)</f>
        <v>0</v>
      </c>
      <c r="O15" s="685" t="n">
        <f aca="false">SUM(I15*0.25+J15*0.25+L15*0.25+N15*0.25)</f>
        <v>0</v>
      </c>
      <c r="P15" s="686" t="n">
        <f aca="false">IF('C.Nivel de Servicio'!F16="Mejorada",1,0)</f>
        <v>0</v>
      </c>
      <c r="Q15" s="686" t="n">
        <f aca="false">IF('C.Nivel de Servicio'!G16="Dentro de la vivienda",1,0)</f>
        <v>0</v>
      </c>
      <c r="R15" s="686" t="n">
        <f aca="false">IF('C.Nivel de Servicio'!H16="Menos de 30 min.",1,0)</f>
        <v>0</v>
      </c>
      <c r="S15" s="686" t="n">
        <f aca="false">IF('C.Nivel de Servicio'!I16="Todo el tiempo tenemos agua",1,0)</f>
        <v>0</v>
      </c>
      <c r="T15" s="686" t="n">
        <f aca="false">IF('C.Nivel de Servicio'!N16="Todo el tiempo tenemos agua",1,0)</f>
        <v>0</v>
      </c>
      <c r="U15" s="686" t="n">
        <f aca="false">IF('C.Nivel de Servicio'!O16="Negativo en E. coli",1,0)</f>
        <v>0</v>
      </c>
      <c r="V15" s="687" t="n">
        <f aca="false">IF('C.Nivel de Servicio'!T16="SEGURA",1,IF('C.Nivel de Servicio'!T16="BÁSICO",0.5,0))</f>
        <v>0.5</v>
      </c>
      <c r="W15" s="688" t="n">
        <f aca="false">'D.RecuperacióndeCostes'!E15</f>
        <v>0</v>
      </c>
      <c r="X15" s="688" t="n">
        <f aca="false">'D.RecuperacióndeCostes'!H15</f>
        <v>0</v>
      </c>
      <c r="Y15" s="688" t="n">
        <f aca="false">'D.RecuperacióndeCostes'!H15</f>
        <v>0</v>
      </c>
      <c r="Z15" s="688" t="n">
        <f aca="false">IF('D.RecuperacióndeCostes'!I15="&lt;5%",1,0)</f>
        <v>0</v>
      </c>
      <c r="AA15" s="687" t="n">
        <f aca="false">0.25*W15+0.25*X15+0.25*Y15+0.25*Z15</f>
        <v>0</v>
      </c>
      <c r="AB15" s="688" t="n">
        <f aca="false">'E.OperaciónyMantenimiento'!E15</f>
        <v>0</v>
      </c>
      <c r="AC15" s="688" t="n">
        <f aca="false">'E.OperaciónyMantenimiento'!F15</f>
        <v>0</v>
      </c>
      <c r="AD15" s="687" t="n">
        <f aca="false">AB15*AC15</f>
        <v>0</v>
      </c>
      <c r="AE15" s="688" t="n">
        <f aca="false">'F.Gestión de riesgos hídricos'!E15</f>
        <v>0</v>
      </c>
      <c r="AF15" s="688" t="n">
        <f aca="false">'F.Gestión de riesgos hídricos'!F15</f>
        <v>0</v>
      </c>
      <c r="AG15" s="688" t="n">
        <f aca="false">'F.Gestión de riesgos hídricos'!G15</f>
        <v>0</v>
      </c>
      <c r="AH15" s="688" t="n">
        <f aca="false">'F.Gestión de riesgos hídricos'!H15</f>
        <v>0</v>
      </c>
      <c r="AI15" s="688" t="n">
        <f aca="false">'F.Gestión de riesgos hídricos'!I15</f>
        <v>0</v>
      </c>
      <c r="AJ15" s="688" t="n">
        <f aca="false">'F.Gestión de riesgos hídricos'!J15</f>
        <v>0</v>
      </c>
      <c r="AK15" s="688" t="n">
        <f aca="false">'F.Gestión de riesgos hídricos'!K15</f>
        <v>0</v>
      </c>
      <c r="AL15" s="688" t="n">
        <f aca="false">'F.Gestión de riesgos hídricos'!L15</f>
        <v>0</v>
      </c>
      <c r="AM15" s="688" t="n">
        <f aca="false">'F.Gestión de riesgos hídricos'!M15</f>
        <v>0</v>
      </c>
      <c r="AN15" s="688" t="n">
        <f aca="false">'F.Gestión de riesgos hídricos'!N15</f>
        <v>0</v>
      </c>
      <c r="AO15" s="705" t="n">
        <f aca="false">SUM(AE15:AN15)/10</f>
        <v>0</v>
      </c>
      <c r="AP15" s="688" t="n">
        <f aca="false">'G.Rendición de cuentas'!E15</f>
        <v>0</v>
      </c>
      <c r="AQ15" s="688" t="n">
        <f aca="false">'G.Rendición de cuentas'!F15</f>
        <v>0</v>
      </c>
      <c r="AR15" s="688" t="n">
        <f aca="false">'G.Rendición de cuentas'!G15</f>
        <v>0</v>
      </c>
      <c r="AS15" s="688" t="n">
        <f aca="false">'G.Rendición de cuentas'!H15</f>
        <v>0</v>
      </c>
      <c r="AT15" s="688" t="n">
        <f aca="false">'G.Rendición de cuentas'!I15</f>
        <v>0</v>
      </c>
      <c r="AU15" s="688" t="n">
        <f aca="false">'G.Rendición de cuentas'!J15</f>
        <v>0</v>
      </c>
      <c r="AV15" s="706" t="n">
        <f aca="false">(AP15*0.25)+(AQ15*0.25)+(AR15*0.125)+(AS15*0.125)+(AT15*0.125)+(AU15*0.125)</f>
        <v>0</v>
      </c>
      <c r="AW15" s="707" t="n">
        <f aca="false">'H.2.Estado_Conserv.MAG'!AC15</f>
        <v>0</v>
      </c>
      <c r="AX15" s="690" t="n">
        <f aca="false">'H.1.Estado_Conserv MABE'!K15</f>
        <v>0</v>
      </c>
      <c r="AY15" s="690" t="n">
        <f aca="false">IF(AX15&gt;=3,1,0)</f>
        <v>0</v>
      </c>
      <c r="AZ15" s="690" t="n">
        <f aca="false">'H.1.Estado_Conserv MABE'!R31</f>
        <v>0</v>
      </c>
      <c r="BA15" s="690" t="n">
        <f aca="false">IF(AZ15&gt;=4,1,0)</f>
        <v>0</v>
      </c>
      <c r="BB15" s="690" t="n">
        <f aca="false">'H.1.Estado_Conserv MABE'!T15</f>
        <v>0</v>
      </c>
      <c r="BC15" s="690" t="n">
        <f aca="false">'H.1.Estado_Conserv MABE'!V15</f>
        <v>0</v>
      </c>
      <c r="BD15" s="708" t="n">
        <f aca="false">(AY15*0.25)+(BA15*0.25)+(BB15*0.25)+(BC15*0.25)</f>
        <v>0</v>
      </c>
      <c r="BE15" s="709" t="n">
        <f aca="false">'H.3.Estado_Conserv.Pozos'!AB15</f>
        <v>0</v>
      </c>
      <c r="BF15" s="710" t="n">
        <f aca="false">+'I.Genero '!H17</f>
        <v>0</v>
      </c>
      <c r="BG15" s="711" t="n">
        <f aca="false">+'I.Genero '!K17</f>
        <v>0</v>
      </c>
      <c r="BH15" s="712" t="n">
        <f aca="false">+(BF15*0.5)+(BG15*0.5)</f>
        <v>0</v>
      </c>
      <c r="BI15" s="713" t="n">
        <f aca="false">IF(+'J.AutoGestionCAPS'!G25&gt;=0.5,1,0)</f>
        <v>0</v>
      </c>
      <c r="BJ15" s="714" t="str">
        <f aca="false">IF(AND($G15=$BJ$4,$F15="MABE"),((O15*'Ind.Sostenib.'!$B$5)+(V15*'Ind.Sostenib.'!$C$5)+(AA15*'Ind.Sostenib.'!$D$5)+(AD15*'Ind.Sostenib.'!$E$5)+(AO15*'Ind.Sostenib.'!$F$5)+(AV15*'Ind.Sostenib.'!$G$5)+(BD15*'Ind.Sostenib.'!$H$5)+(BH15*'Ind.Sostenib.'!$I$5)+(BI15*'Ind.Sostenib.'!$J$5))*100,"")</f>
        <v/>
      </c>
      <c r="BK15" s="714" t="str">
        <f aca="false">IF(AND($G15=$BK$4,$F15="MABE"),((O15*'Ind.Sostenib.'!$B$6)+(V15*'Ind.Sostenib.'!$C$5)+(AA15*'Ind.Sostenib.'!$D$5)+(AD15*'Ind.Sostenib.'!$E$5)+(AO15*'Ind.Sostenib.'!$F$5)+(AV15*'Ind.Sostenib.'!$G$5)+(BD15*'Ind.Sostenib.'!$H$5)+(BH15*'Ind.Sostenib.'!$I$5)+(BI15*'Ind.Sostenib.'!$J$5))*100,"")</f>
        <v/>
      </c>
      <c r="BL15" s="714" t="str">
        <f aca="false">IF(AND(G15=$BL$4,F15="MABE"),((O15*'Ind.Sostenib.'!$B$7)+(V15*'Ind.Sostenib.'!$C$7)+(AA15*'Ind.Sostenib.'!$D$7)+(AD15*'Ind.Sostenib.'!$E$7)+(AO15*'Ind.Sostenib.'!$F$7)+(AV15*'Ind.Sostenib.'!$G$7)+(BD15*'Ind.Sostenib.'!$H$7)+(BH15*'Ind.Sostenib.'!$I$7)+(BI15*'Ind.Sostenib.'!$J$7))*100,"")</f>
        <v/>
      </c>
      <c r="BM15" s="714" t="str">
        <f aca="false">IF(AND(G15=$BM$4,F15="MAG"),((O15*'Ind.Sostenib.'!$B$12)+(V15*'Ind.Sostenib.'!$C$12)+(AA15*'Ind.Sostenib.'!$D$12)+(AD15*'Ind.Sostenib.'!$E$12)+(AO15*'Ind.Sostenib.'!$F$12)+(AV15*'Ind.Sostenib.'!$G$12)+(AW15*'Ind.Sostenib.'!$H$12)+(BH15*'Ind.Sostenib.'!$I$12)+(BI15*'Ind.Sostenib.'!$J$12))*100,"")</f>
        <v/>
      </c>
      <c r="BN15" s="714" t="str">
        <f aca="false">IF(AND(G15=$BN$4,F15="MAG"),((O15*'Ind.Sostenib.'!$B$13)+(V15*'Ind.Sostenib.'!$C$13)+(AA15*'Ind.Sostenib.'!$D$13)+(AD15*'Ind.Sostenib.'!$E$13)+(AO15*'Ind.Sostenib.'!$F$13)+(AV15*'Ind.Sostenib.'!$G$13)+(AW15*'Ind.Sostenib.'!$H$13)+(BH15*'Ind.Sostenib.'!$I$13)+(BI15*'Ind.Sostenib.'!$J$13))*100,"")</f>
        <v/>
      </c>
      <c r="BO15" s="714" t="str">
        <f aca="false">IF(AND(G15=$BO$4,F15="MAG"),((O15*'Ind.Sostenib.'!$B$14)+(V15*'Ind.Sostenib.'!$C$14)+(AA15*'Ind.Sostenib.'!$D$14)+(AD15*'Ind.Sostenib.'!$E$14)+(AO15*'Ind.Sostenib.'!$F$14)+(AV15*'Ind.Sostenib.'!$G$14)+(AW15*'Ind.Sostenib.'!$H$14)+(BH15*'Ind.Sostenib.'!$I$14)+(BI15*'Ind.Sostenib.'!$J$14))*100,"")</f>
        <v/>
      </c>
      <c r="BP15" s="715"/>
      <c r="BQ15" s="714" t="str">
        <f aca="false">IF(AND(G15=$BQ$4,F15&lt;&gt;"MAG",F15&lt;&gt;"MABE"),((O15*'Ind.Sostenib.'!$B$12)+(V15*'Ind.Sostenib.'!$C$12)+(AA15*'Ind.Sostenib.'!$D$12)+(AD15*'Ind.Sostenib.'!$E$12)+(AO15*'Ind.Sostenib.'!$F$12)+(AV15*'Ind.Sostenib.'!$G$12)+(BE15*'Ind.Sostenib.'!$H$12)+(BH15*'Ind.Sostenib.'!$I$12)+(BI15*'Ind.Sostenib.'!$J$12))*100,"")</f>
        <v/>
      </c>
      <c r="BR15" s="714" t="str">
        <f aca="false">IF(AND(G15=$BR$4,F15&lt;&gt;"MABE",F15&lt;&gt;"MAG"),((O15*'Ind.Sostenib.'!$B$13)+(V15*'Ind.Sostenib.'!$C$13)+(AA15*'Ind.Sostenib.'!$D$13)+(AD15*'Ind.Sostenib.'!$E$13)+(AO15*'Ind.Sostenib.'!$F$13)+(AV15*'Ind.Sostenib.'!$G$13)+(BE15*'Ind.Sostenib.'!$H$13)+(BH15*'Ind.Sostenib.'!$I$13)+(BI15*'Ind.Sostenib.'!$J$13))*100,"")</f>
        <v/>
      </c>
      <c r="BS15" s="714" t="str">
        <f aca="false">IF(AND(G15=$BS$4,F15&lt;&gt;"MAG",F15&lt;&gt;"MABE"),((O15*'Ind.Sostenib.'!$B$14)+(V15*'Ind.Sostenib.'!$C$14)+(AA15*'Ind.Sostenib.'!$D$14)+(AD15*'Ind.Sostenib.'!$E$14)+(AO15*'Ind.Sostenib.'!$F$14)+(AV15*'Ind.Sostenib.'!$G$14)+(BE15*'Ind.Sostenib.'!$H$14)+(BH15*'Ind.Sostenib.'!$I$14)+(BI15*'Ind.Sostenib.'!$J$14))*100,"")</f>
        <v/>
      </c>
      <c r="BT15" s="657"/>
      <c r="BU15" s="657"/>
      <c r="BV15" s="657"/>
      <c r="BW15" s="657"/>
    </row>
    <row r="16" s="99" customFormat="true" ht="22.5" hidden="false" customHeight="true" outlineLevel="0" collapsed="false">
      <c r="A16" s="701" t="n">
        <f aca="false">'Listado CAPS'!A14</f>
        <v>0</v>
      </c>
      <c r="B16" s="701" t="n">
        <f aca="false">'Listado CAPS'!B14</f>
        <v>0</v>
      </c>
      <c r="C16" s="701" t="n">
        <f aca="false">'Listado CAPS'!C14</f>
        <v>0</v>
      </c>
      <c r="D16" s="719"/>
      <c r="E16" s="701" t="str">
        <f aca="false">'Listado CAPS'!D14</f>
        <v>L</v>
      </c>
      <c r="F16" s="701" t="n">
        <f aca="false">'Listado CAPS'!E14</f>
        <v>0</v>
      </c>
      <c r="G16" s="702" t="n">
        <f aca="false">'Listado CAPS'!F14</f>
        <v>0</v>
      </c>
      <c r="H16" s="703" t="n">
        <f aca="false">'A.Org_CAPS'!AD170</f>
        <v>0</v>
      </c>
      <c r="I16" s="683" t="n">
        <f aca="false">IF(H16&gt;=60%,1,IF(H16&lt;4,0))</f>
        <v>0</v>
      </c>
      <c r="J16" s="683" t="n">
        <f aca="false">+' A.Legalización '!K17</f>
        <v>0</v>
      </c>
      <c r="K16" s="703" t="n">
        <f aca="false">'A.Org_CAPS'!AG170</f>
        <v>0</v>
      </c>
      <c r="L16" s="683" t="n">
        <f aca="false">IF(K16&gt;=0.5,1,0)</f>
        <v>0</v>
      </c>
      <c r="M16" s="704" t="n">
        <f aca="false">'A.Org_CAPS'!J170</f>
        <v>0</v>
      </c>
      <c r="N16" s="683" t="n">
        <f aca="false">IF(M16&gt;=0.5,1,0)</f>
        <v>0</v>
      </c>
      <c r="O16" s="685" t="n">
        <f aca="false">SUM(I16*0.25+J16*0.25+L16*0.25+N16*0.25)</f>
        <v>0</v>
      </c>
      <c r="P16" s="686" t="n">
        <f aca="false">IF('C.Nivel de Servicio'!F17="Mejorada",1,0)</f>
        <v>0</v>
      </c>
      <c r="Q16" s="686" t="n">
        <f aca="false">IF('C.Nivel de Servicio'!G17="Dentro de la vivienda",1,0)</f>
        <v>0</v>
      </c>
      <c r="R16" s="686" t="n">
        <f aca="false">IF('C.Nivel de Servicio'!H17="Menos de 30 min.",1,0)</f>
        <v>0</v>
      </c>
      <c r="S16" s="686" t="n">
        <f aca="false">IF('C.Nivel de Servicio'!I17="Todo el tiempo tenemos agua",1,0)</f>
        <v>0</v>
      </c>
      <c r="T16" s="686" t="n">
        <f aca="false">IF('C.Nivel de Servicio'!N17="Todo el tiempo tenemos agua",1,0)</f>
        <v>0</v>
      </c>
      <c r="U16" s="686" t="n">
        <f aca="false">IF('C.Nivel de Servicio'!O17="Negativo en E. coli",1,0)</f>
        <v>0</v>
      </c>
      <c r="V16" s="687" t="n">
        <f aca="false">IF('C.Nivel de Servicio'!T17="SEGURA",1,IF('C.Nivel de Servicio'!T17="BÁSICO",0.5,0))</f>
        <v>0.5</v>
      </c>
      <c r="W16" s="688" t="n">
        <f aca="false">'D.RecuperacióndeCostes'!E16</f>
        <v>0</v>
      </c>
      <c r="X16" s="688" t="n">
        <f aca="false">'D.RecuperacióndeCostes'!H16</f>
        <v>0</v>
      </c>
      <c r="Y16" s="688" t="n">
        <f aca="false">'D.RecuperacióndeCostes'!H16</f>
        <v>0</v>
      </c>
      <c r="Z16" s="688" t="n">
        <f aca="false">IF('D.RecuperacióndeCostes'!I16="&lt;5%",1,0)</f>
        <v>0</v>
      </c>
      <c r="AA16" s="687" t="n">
        <f aca="false">0.25*W16+0.25*X16+0.25*Y16+0.25*Z16</f>
        <v>0</v>
      </c>
      <c r="AB16" s="688" t="n">
        <f aca="false">'E.OperaciónyMantenimiento'!E16</f>
        <v>0</v>
      </c>
      <c r="AC16" s="688" t="n">
        <f aca="false">'E.OperaciónyMantenimiento'!F16</f>
        <v>0</v>
      </c>
      <c r="AD16" s="687" t="n">
        <f aca="false">AB16*AC16</f>
        <v>0</v>
      </c>
      <c r="AE16" s="688" t="n">
        <f aca="false">'F.Gestión de riesgos hídricos'!E16</f>
        <v>0</v>
      </c>
      <c r="AF16" s="688" t="n">
        <f aca="false">'F.Gestión de riesgos hídricos'!F16</f>
        <v>0</v>
      </c>
      <c r="AG16" s="688" t="n">
        <f aca="false">'F.Gestión de riesgos hídricos'!G16</f>
        <v>0</v>
      </c>
      <c r="AH16" s="688" t="n">
        <f aca="false">'F.Gestión de riesgos hídricos'!H16</f>
        <v>0</v>
      </c>
      <c r="AI16" s="688" t="n">
        <f aca="false">'F.Gestión de riesgos hídricos'!I16</f>
        <v>0</v>
      </c>
      <c r="AJ16" s="688" t="n">
        <f aca="false">'F.Gestión de riesgos hídricos'!J16</f>
        <v>0</v>
      </c>
      <c r="AK16" s="688" t="n">
        <f aca="false">'F.Gestión de riesgos hídricos'!K16</f>
        <v>0</v>
      </c>
      <c r="AL16" s="688" t="n">
        <f aca="false">'F.Gestión de riesgos hídricos'!L16</f>
        <v>0</v>
      </c>
      <c r="AM16" s="688" t="n">
        <f aca="false">'F.Gestión de riesgos hídricos'!M16</f>
        <v>0</v>
      </c>
      <c r="AN16" s="688" t="n">
        <f aca="false">'F.Gestión de riesgos hídricos'!N16</f>
        <v>0</v>
      </c>
      <c r="AO16" s="705" t="n">
        <f aca="false">SUM(AE16:AN16)/10</f>
        <v>0</v>
      </c>
      <c r="AP16" s="688" t="n">
        <f aca="false">'G.Rendición de cuentas'!E16</f>
        <v>0</v>
      </c>
      <c r="AQ16" s="688" t="n">
        <f aca="false">'G.Rendición de cuentas'!F16</f>
        <v>0</v>
      </c>
      <c r="AR16" s="688" t="n">
        <f aca="false">'G.Rendición de cuentas'!G16</f>
        <v>0</v>
      </c>
      <c r="AS16" s="688" t="n">
        <f aca="false">'G.Rendición de cuentas'!H16</f>
        <v>0</v>
      </c>
      <c r="AT16" s="688" t="n">
        <f aca="false">'G.Rendición de cuentas'!I16</f>
        <v>0</v>
      </c>
      <c r="AU16" s="688" t="n">
        <f aca="false">'G.Rendición de cuentas'!J16</f>
        <v>0</v>
      </c>
      <c r="AV16" s="706" t="n">
        <f aca="false">(AP16*0.25)+(AQ16*0.25)+(AR16*0.125)+(AS16*0.125)+(AT16*0.125)+(AU16*0.125)</f>
        <v>0</v>
      </c>
      <c r="AW16" s="707" t="n">
        <f aca="false">'H.2.Estado_Conserv.MAG'!AC16</f>
        <v>0</v>
      </c>
      <c r="AX16" s="690" t="n">
        <f aca="false">'H.1.Estado_Conserv MABE'!K16</f>
        <v>0</v>
      </c>
      <c r="AY16" s="690" t="n">
        <f aca="false">IF(AX16&gt;=3,1,0)</f>
        <v>0</v>
      </c>
      <c r="AZ16" s="690" t="n">
        <f aca="false">'H.1.Estado_Conserv MABE'!R32</f>
        <v>0</v>
      </c>
      <c r="BA16" s="690" t="n">
        <f aca="false">IF(AZ16&gt;=4,1,0)</f>
        <v>0</v>
      </c>
      <c r="BB16" s="690" t="n">
        <f aca="false">'H.1.Estado_Conserv MABE'!T16</f>
        <v>0</v>
      </c>
      <c r="BC16" s="690" t="n">
        <f aca="false">'H.1.Estado_Conserv MABE'!V16</f>
        <v>0</v>
      </c>
      <c r="BD16" s="708" t="n">
        <f aca="false">(AY16*0.25)+(BA16*0.25)+(BB16*0.25)+(BC16*0.25)</f>
        <v>0</v>
      </c>
      <c r="BE16" s="709" t="n">
        <f aca="false">'H.3.Estado_Conserv.Pozos'!AB16</f>
        <v>0</v>
      </c>
      <c r="BF16" s="710" t="n">
        <f aca="false">+'I.Genero '!H18</f>
        <v>0</v>
      </c>
      <c r="BG16" s="711" t="n">
        <f aca="false">+'I.Genero '!K18</f>
        <v>0</v>
      </c>
      <c r="BH16" s="712" t="n">
        <f aca="false">+(BF16*0.5)+(BG16*0.5)</f>
        <v>0</v>
      </c>
      <c r="BI16" s="713" t="n">
        <f aca="false">IF(+'J.AutoGestionCAPS'!G26&gt;=0.5,1,0)</f>
        <v>0</v>
      </c>
      <c r="BJ16" s="714" t="str">
        <f aca="false">IF(AND($G16=$BJ$4,$F16="MABE"),((O16*'Ind.Sostenib.'!$B$5)+(V16*'Ind.Sostenib.'!$C$5)+(AA16*'Ind.Sostenib.'!$D$5)+(AD16*'Ind.Sostenib.'!$E$5)+(AO16*'Ind.Sostenib.'!$F$5)+(AV16*'Ind.Sostenib.'!$G$5)+(BD16*'Ind.Sostenib.'!$H$5)+(BH16*'Ind.Sostenib.'!$I$5)+(BI16*'Ind.Sostenib.'!$J$5))*100,"")</f>
        <v/>
      </c>
      <c r="BK16" s="714" t="str">
        <f aca="false">IF(AND($G16=$BK$4,$F16="MABE"),((O16*'Ind.Sostenib.'!$B$6)+(V16*'Ind.Sostenib.'!$C$5)+(AA16*'Ind.Sostenib.'!$D$5)+(AD16*'Ind.Sostenib.'!$E$5)+(AO16*'Ind.Sostenib.'!$F$5)+(AV16*'Ind.Sostenib.'!$G$5)+(BD16*'Ind.Sostenib.'!$H$5)+(BH16*'Ind.Sostenib.'!$I$5)+(BI16*'Ind.Sostenib.'!$J$5))*100,"")</f>
        <v/>
      </c>
      <c r="BL16" s="714" t="str">
        <f aca="false">IF(AND(G16=$BL$4,F16="MABE"),((O16*'Ind.Sostenib.'!$B$7)+(V16*'Ind.Sostenib.'!$C$7)+(AA16*'Ind.Sostenib.'!$D$7)+(AD16*'Ind.Sostenib.'!$E$7)+(AO16*'Ind.Sostenib.'!$F$7)+(AV16*'Ind.Sostenib.'!$G$7)+(BD16*'Ind.Sostenib.'!$H$7)+(BH16*'Ind.Sostenib.'!$I$7)+(BI16*'Ind.Sostenib.'!$J$7))*100,"")</f>
        <v/>
      </c>
      <c r="BM16" s="714" t="str">
        <f aca="false">IF(AND(G16=$BM$4,F16="MAG"),((O16*'Ind.Sostenib.'!$B$12)+(V16*'Ind.Sostenib.'!$C$12)+(AA16*'Ind.Sostenib.'!$D$12)+(AD16*'Ind.Sostenib.'!$E$12)+(AO16*'Ind.Sostenib.'!$F$12)+(AV16*'Ind.Sostenib.'!$G$12)+(AW16*'Ind.Sostenib.'!$H$12)+(BH16*'Ind.Sostenib.'!$I$12)+(BI16*'Ind.Sostenib.'!$J$12))*100,"")</f>
        <v/>
      </c>
      <c r="BN16" s="714" t="str">
        <f aca="false">IF(AND(G16=$BN$4,F16="MAG"),((O16*'Ind.Sostenib.'!$B$13)+(V16*'Ind.Sostenib.'!$C$13)+(AA16*'Ind.Sostenib.'!$D$13)+(AD16*'Ind.Sostenib.'!$E$13)+(AO16*'Ind.Sostenib.'!$F$13)+(AV16*'Ind.Sostenib.'!$G$13)+(AW16*'Ind.Sostenib.'!$H$13)+(BH16*'Ind.Sostenib.'!$I$13)+(BI16*'Ind.Sostenib.'!$J$13))*100,"")</f>
        <v/>
      </c>
      <c r="BO16" s="714" t="str">
        <f aca="false">IF(AND(G16=$BO$4,F16="MAG"),((O16*'Ind.Sostenib.'!$B$14)+(V16*'Ind.Sostenib.'!$C$14)+(AA16*'Ind.Sostenib.'!$D$14)+(AD16*'Ind.Sostenib.'!$E$14)+(AO16*'Ind.Sostenib.'!$F$14)+(AV16*'Ind.Sostenib.'!$G$14)+(AW16*'Ind.Sostenib.'!$H$14)+(BH16*'Ind.Sostenib.'!$I$14)+(BI16*'Ind.Sostenib.'!$J$14))*100,"")</f>
        <v/>
      </c>
      <c r="BP16" s="715"/>
      <c r="BQ16" s="714" t="str">
        <f aca="false">IF(AND(G16=$BQ$4,F16&lt;&gt;"MAG",F16&lt;&gt;"MABE"),((O16*'Ind.Sostenib.'!$B$12)+(V16*'Ind.Sostenib.'!$C$12)+(AA16*'Ind.Sostenib.'!$D$12)+(AD16*'Ind.Sostenib.'!$E$12)+(AO16*'Ind.Sostenib.'!$F$12)+(AV16*'Ind.Sostenib.'!$G$12)+(BE16*'Ind.Sostenib.'!$H$12)+(BH16*'Ind.Sostenib.'!$I$12)+(BI16*'Ind.Sostenib.'!$J$12))*100,"")</f>
        <v/>
      </c>
      <c r="BR16" s="714" t="str">
        <f aca="false">IF(AND(G16=$BR$4,F16&lt;&gt;"MABE",F16&lt;&gt;"MAG"),((O16*'Ind.Sostenib.'!$B$13)+(V16*'Ind.Sostenib.'!$C$13)+(AA16*'Ind.Sostenib.'!$D$13)+(AD16*'Ind.Sostenib.'!$E$13)+(AO16*'Ind.Sostenib.'!$F$13)+(AV16*'Ind.Sostenib.'!$G$13)+(BE16*'Ind.Sostenib.'!$H$13)+(BH16*'Ind.Sostenib.'!$I$13)+(BI16*'Ind.Sostenib.'!$J$13))*100,"")</f>
        <v/>
      </c>
      <c r="BS16" s="714" t="str">
        <f aca="false">IF(AND(G16=$BS$4,F16&lt;&gt;"MAG",F16&lt;&gt;"MABE"),((O16*'Ind.Sostenib.'!$B$14)+(V16*'Ind.Sostenib.'!$C$14)+(AA16*'Ind.Sostenib.'!$D$14)+(AD16*'Ind.Sostenib.'!$E$14)+(AO16*'Ind.Sostenib.'!$F$14)+(AV16*'Ind.Sostenib.'!$G$14)+(BE16*'Ind.Sostenib.'!$H$14)+(BH16*'Ind.Sostenib.'!$I$14)+(BI16*'Ind.Sostenib.'!$J$14))*100,"")</f>
        <v/>
      </c>
      <c r="BT16" s="657"/>
      <c r="BU16" s="657"/>
      <c r="BV16" s="657"/>
      <c r="BW16" s="657"/>
    </row>
    <row r="17" s="99" customFormat="true" ht="22.5" hidden="false" customHeight="true" outlineLevel="0" collapsed="false">
      <c r="A17" s="701" t="n">
        <f aca="false">'Listado CAPS'!A15</f>
        <v>0</v>
      </c>
      <c r="B17" s="701" t="n">
        <f aca="false">'Listado CAPS'!B15</f>
        <v>0</v>
      </c>
      <c r="C17" s="701" t="n">
        <f aca="false">'Listado CAPS'!C15</f>
        <v>0</v>
      </c>
      <c r="D17" s="719"/>
      <c r="E17" s="701" t="str">
        <f aca="false">'Listado CAPS'!D15</f>
        <v>M</v>
      </c>
      <c r="F17" s="701" t="n">
        <f aca="false">'Listado CAPS'!E15</f>
        <v>0</v>
      </c>
      <c r="G17" s="702" t="n">
        <f aca="false">'Listado CAPS'!F15</f>
        <v>0</v>
      </c>
      <c r="H17" s="703" t="n">
        <f aca="false">'A.Org_CAPS'!AD184</f>
        <v>0</v>
      </c>
      <c r="I17" s="683" t="n">
        <f aca="false">IF(H17&gt;=60%,1,IF(H17&lt;4,0))</f>
        <v>0</v>
      </c>
      <c r="J17" s="683" t="n">
        <f aca="false">+' A.Legalización '!K18</f>
        <v>0</v>
      </c>
      <c r="K17" s="703" t="n">
        <f aca="false">'A.Org_CAPS'!AG171</f>
        <v>0</v>
      </c>
      <c r="L17" s="683" t="n">
        <f aca="false">IF(K17&gt;=0.5,1,0)</f>
        <v>0</v>
      </c>
      <c r="M17" s="704" t="n">
        <f aca="false">'A.Org_CAPS'!J184</f>
        <v>0</v>
      </c>
      <c r="N17" s="683" t="n">
        <f aca="false">IF(M17&gt;=0.5,1,0)</f>
        <v>0</v>
      </c>
      <c r="O17" s="685" t="n">
        <f aca="false">SUM(I17*0.25+J17*0.25+L17*0.25+N17*0.25)</f>
        <v>0</v>
      </c>
      <c r="P17" s="686" t="n">
        <f aca="false">IF('C.Nivel de Servicio'!F18="Mejorada",1,0)</f>
        <v>0</v>
      </c>
      <c r="Q17" s="686" t="n">
        <f aca="false">IF('C.Nivel de Servicio'!G18="Dentro de la vivienda",1,0)</f>
        <v>0</v>
      </c>
      <c r="R17" s="686" t="n">
        <f aca="false">IF('C.Nivel de Servicio'!H18="Menos de 30 min.",1,0)</f>
        <v>0</v>
      </c>
      <c r="S17" s="686" t="n">
        <f aca="false">IF('C.Nivel de Servicio'!I18="Todo el tiempo tenemos agua",1,0)</f>
        <v>0</v>
      </c>
      <c r="T17" s="686" t="n">
        <f aca="false">IF('C.Nivel de Servicio'!N18="Todo el tiempo tenemos agua",1,0)</f>
        <v>0</v>
      </c>
      <c r="U17" s="686" t="n">
        <f aca="false">IF('C.Nivel de Servicio'!O18="Negativo en E. coli",1,0)</f>
        <v>0</v>
      </c>
      <c r="V17" s="687" t="n">
        <f aca="false">IF('C.Nivel de Servicio'!T18="SEGURA",1,IF('C.Nivel de Servicio'!T18="BÁSICO",0.5,0))</f>
        <v>0.5</v>
      </c>
      <c r="W17" s="688" t="n">
        <f aca="false">'D.RecuperacióndeCostes'!E17</f>
        <v>0</v>
      </c>
      <c r="X17" s="688" t="n">
        <f aca="false">'D.RecuperacióndeCostes'!H17</f>
        <v>0</v>
      </c>
      <c r="Y17" s="688" t="n">
        <f aca="false">'D.RecuperacióndeCostes'!H17</f>
        <v>0</v>
      </c>
      <c r="Z17" s="688" t="n">
        <f aca="false">IF('D.RecuperacióndeCostes'!I17="&lt;5%",1,0)</f>
        <v>0</v>
      </c>
      <c r="AA17" s="687" t="n">
        <f aca="false">0.25*W17+0.25*X17+0.25*Y17+0.25*Z17</f>
        <v>0</v>
      </c>
      <c r="AB17" s="688" t="n">
        <f aca="false">'E.OperaciónyMantenimiento'!E17</f>
        <v>0</v>
      </c>
      <c r="AC17" s="688" t="n">
        <f aca="false">'E.OperaciónyMantenimiento'!F17</f>
        <v>0</v>
      </c>
      <c r="AD17" s="687" t="n">
        <f aca="false">AB17*AC17</f>
        <v>0</v>
      </c>
      <c r="AE17" s="688" t="n">
        <f aca="false">'F.Gestión de riesgos hídricos'!E17</f>
        <v>0</v>
      </c>
      <c r="AF17" s="688" t="n">
        <f aca="false">'F.Gestión de riesgos hídricos'!F17</f>
        <v>0</v>
      </c>
      <c r="AG17" s="688" t="n">
        <f aca="false">'F.Gestión de riesgos hídricos'!G17</f>
        <v>0</v>
      </c>
      <c r="AH17" s="688" t="n">
        <f aca="false">'F.Gestión de riesgos hídricos'!H17</f>
        <v>0</v>
      </c>
      <c r="AI17" s="688" t="n">
        <f aca="false">'F.Gestión de riesgos hídricos'!I17</f>
        <v>0</v>
      </c>
      <c r="AJ17" s="688" t="n">
        <f aca="false">'F.Gestión de riesgos hídricos'!J17</f>
        <v>0</v>
      </c>
      <c r="AK17" s="688" t="n">
        <f aca="false">'F.Gestión de riesgos hídricos'!K17</f>
        <v>0</v>
      </c>
      <c r="AL17" s="688" t="n">
        <f aca="false">'F.Gestión de riesgos hídricos'!L17</f>
        <v>0</v>
      </c>
      <c r="AM17" s="688" t="n">
        <f aca="false">'F.Gestión de riesgos hídricos'!M17</f>
        <v>0</v>
      </c>
      <c r="AN17" s="688" t="n">
        <f aca="false">'F.Gestión de riesgos hídricos'!N17</f>
        <v>0</v>
      </c>
      <c r="AO17" s="705" t="n">
        <f aca="false">SUM(AE17:AN17)/10</f>
        <v>0</v>
      </c>
      <c r="AP17" s="688" t="n">
        <f aca="false">'G.Rendición de cuentas'!E17</f>
        <v>0</v>
      </c>
      <c r="AQ17" s="688" t="n">
        <f aca="false">'G.Rendición de cuentas'!F17</f>
        <v>0</v>
      </c>
      <c r="AR17" s="688" t="n">
        <f aca="false">'G.Rendición de cuentas'!G17</f>
        <v>0</v>
      </c>
      <c r="AS17" s="688" t="n">
        <f aca="false">'G.Rendición de cuentas'!H17</f>
        <v>0</v>
      </c>
      <c r="AT17" s="688" t="n">
        <f aca="false">'G.Rendición de cuentas'!I17</f>
        <v>0</v>
      </c>
      <c r="AU17" s="688" t="n">
        <f aca="false">'G.Rendición de cuentas'!J17</f>
        <v>0</v>
      </c>
      <c r="AV17" s="706" t="n">
        <f aca="false">(AP17*0.25)+(AQ17*0.25)+(AR17*0.125)+(AS17*0.125)+(AT17*0.125)+(AU17*0.125)</f>
        <v>0</v>
      </c>
      <c r="AW17" s="707" t="n">
        <f aca="false">'H.2.Estado_Conserv.MAG'!AC17</f>
        <v>0</v>
      </c>
      <c r="AX17" s="690" t="n">
        <f aca="false">'H.1.Estado_Conserv MABE'!K17</f>
        <v>0</v>
      </c>
      <c r="AY17" s="690" t="n">
        <f aca="false">IF(AX17&gt;=3,1,0)</f>
        <v>0</v>
      </c>
      <c r="AZ17" s="690" t="n">
        <f aca="false">'H.1.Estado_Conserv MABE'!R33</f>
        <v>0</v>
      </c>
      <c r="BA17" s="690" t="n">
        <f aca="false">IF(AZ17&gt;=4,1,0)</f>
        <v>0</v>
      </c>
      <c r="BB17" s="690" t="n">
        <f aca="false">'H.1.Estado_Conserv MABE'!T17</f>
        <v>0</v>
      </c>
      <c r="BC17" s="690" t="n">
        <f aca="false">'H.1.Estado_Conserv MABE'!V17</f>
        <v>0</v>
      </c>
      <c r="BD17" s="708" t="n">
        <f aca="false">(AY17*0.25)+(BA17*0.25)+(BB17*0.25)+(BC17*0.25)</f>
        <v>0</v>
      </c>
      <c r="BE17" s="709" t="n">
        <f aca="false">'H.3.Estado_Conserv.Pozos'!AB17</f>
        <v>0</v>
      </c>
      <c r="BF17" s="710" t="n">
        <f aca="false">+'I.Genero '!H19</f>
        <v>0</v>
      </c>
      <c r="BG17" s="711" t="n">
        <f aca="false">+'I.Genero '!K19</f>
        <v>0</v>
      </c>
      <c r="BH17" s="712" t="n">
        <f aca="false">+(BF17*0.5)+(BG17*0.5)</f>
        <v>0</v>
      </c>
      <c r="BI17" s="713" t="n">
        <f aca="false">IF(+'J.AutoGestionCAPS'!G27&gt;=0.5,1,0)</f>
        <v>0</v>
      </c>
      <c r="BJ17" s="714" t="str">
        <f aca="false">IF(AND($G17=$BJ$4,$F17="MABE"),((O17*'Ind.Sostenib.'!$B$5)+(V17*'Ind.Sostenib.'!$C$5)+(AA17*'Ind.Sostenib.'!$D$5)+(AD17*'Ind.Sostenib.'!$E$5)+(AO17*'Ind.Sostenib.'!$F$5)+(AV17*'Ind.Sostenib.'!$G$5)+(BD17*'Ind.Sostenib.'!$H$5)+(BH17*'Ind.Sostenib.'!$I$5)+(BI17*'Ind.Sostenib.'!$J$5))*100,"")</f>
        <v/>
      </c>
      <c r="BK17" s="714" t="str">
        <f aca="false">IF(AND($G17=$BK$4,$F17="MABE"),((O17*'Ind.Sostenib.'!$B$6)+(V17*'Ind.Sostenib.'!$C$5)+(AA17*'Ind.Sostenib.'!$D$5)+(AD17*'Ind.Sostenib.'!$E$5)+(AO17*'Ind.Sostenib.'!$F$5)+(AV17*'Ind.Sostenib.'!$G$5)+(BD17*'Ind.Sostenib.'!$H$5)+(BH17*'Ind.Sostenib.'!$I$5)+(BI17*'Ind.Sostenib.'!$J$5))*100,"")</f>
        <v/>
      </c>
      <c r="BL17" s="714" t="str">
        <f aca="false">IF(AND(G17=$BL$4,F17="MABE"),((O17*'Ind.Sostenib.'!$B$7)+(V17*'Ind.Sostenib.'!$C$7)+(AA17*'Ind.Sostenib.'!$D$7)+(AD17*'Ind.Sostenib.'!$E$7)+(AO17*'Ind.Sostenib.'!$F$7)+(AV17*'Ind.Sostenib.'!$G$7)+(BD17*'Ind.Sostenib.'!$H$7)+(BH17*'Ind.Sostenib.'!$I$7)+(BI17*'Ind.Sostenib.'!$J$7))*100,"")</f>
        <v/>
      </c>
      <c r="BM17" s="714" t="str">
        <f aca="false">IF(AND(G17=$BM$4,F17="MAG"),((O17*'Ind.Sostenib.'!$B$12)+(V17*'Ind.Sostenib.'!$C$12)+(AA17*'Ind.Sostenib.'!$D$12)+(AD17*'Ind.Sostenib.'!$E$12)+(AO17*'Ind.Sostenib.'!$F$12)+(AV17*'Ind.Sostenib.'!$G$12)+(AW17*'Ind.Sostenib.'!$H$12)+(BH17*'Ind.Sostenib.'!$I$12)+(BI17*'Ind.Sostenib.'!$J$12))*100,"")</f>
        <v/>
      </c>
      <c r="BN17" s="714" t="str">
        <f aca="false">IF(AND(G17=$BN$4,F17="MAG"),((O17*'Ind.Sostenib.'!$B$13)+(V17*'Ind.Sostenib.'!$C$13)+(AA17*'Ind.Sostenib.'!$D$13)+(AD17*'Ind.Sostenib.'!$E$13)+(AO17*'Ind.Sostenib.'!$F$13)+(AV17*'Ind.Sostenib.'!$G$13)+(AW17*'Ind.Sostenib.'!$H$13)+(BH17*'Ind.Sostenib.'!$I$13)+(BI17*'Ind.Sostenib.'!$J$13))*100,"")</f>
        <v/>
      </c>
      <c r="BO17" s="714" t="str">
        <f aca="false">IF(AND(G17=$BO$4,F17="MAG"),((O17*'Ind.Sostenib.'!$B$14)+(V17*'Ind.Sostenib.'!$C$14)+(AA17*'Ind.Sostenib.'!$D$14)+(AD17*'Ind.Sostenib.'!$E$14)+(AO17*'Ind.Sostenib.'!$F$14)+(AV17*'Ind.Sostenib.'!$G$14)+(AW17*'Ind.Sostenib.'!$H$14)+(BH17*'Ind.Sostenib.'!$I$14)+(BI17*'Ind.Sostenib.'!$J$14))*100,"")</f>
        <v/>
      </c>
      <c r="BP17" s="715"/>
      <c r="BQ17" s="714" t="str">
        <f aca="false">IF(AND(G17=$BQ$4,F17&lt;&gt;"MAG",F17&lt;&gt;"MABE"),((O17*'Ind.Sostenib.'!$B$12)+(V17*'Ind.Sostenib.'!$C$12)+(AA17*'Ind.Sostenib.'!$D$12)+(AD17*'Ind.Sostenib.'!$E$12)+(AO17*'Ind.Sostenib.'!$F$12)+(AV17*'Ind.Sostenib.'!$G$12)+(BE17*'Ind.Sostenib.'!$H$12)+(BH17*'Ind.Sostenib.'!$I$12)+(BI17*'Ind.Sostenib.'!$J$12))*100,"")</f>
        <v/>
      </c>
      <c r="BR17" s="714" t="str">
        <f aca="false">IF(AND(G17=$BR$4,F17&lt;&gt;"MABE",F17&lt;&gt;"MAG"),((O17*'Ind.Sostenib.'!$B$13)+(V17*'Ind.Sostenib.'!$C$13)+(AA17*'Ind.Sostenib.'!$D$13)+(AD17*'Ind.Sostenib.'!$E$13)+(AO17*'Ind.Sostenib.'!$F$13)+(AV17*'Ind.Sostenib.'!$G$13)+(BE17*'Ind.Sostenib.'!$H$13)+(BH17*'Ind.Sostenib.'!$I$13)+(BI17*'Ind.Sostenib.'!$J$13))*100,"")</f>
        <v/>
      </c>
      <c r="BS17" s="714" t="str">
        <f aca="false">IF(AND(G17=$BS$4,F17&lt;&gt;"MAG",F17&lt;&gt;"MABE"),((O17*'Ind.Sostenib.'!$B$14)+(V17*'Ind.Sostenib.'!$C$14)+(AA17*'Ind.Sostenib.'!$D$14)+(AD17*'Ind.Sostenib.'!$E$14)+(AO17*'Ind.Sostenib.'!$F$14)+(AV17*'Ind.Sostenib.'!$G$14)+(BE17*'Ind.Sostenib.'!$H$14)+(BH17*'Ind.Sostenib.'!$I$14)+(BI17*'Ind.Sostenib.'!$J$14))*100,"")</f>
        <v/>
      </c>
      <c r="BT17" s="657"/>
      <c r="BU17" s="657"/>
      <c r="BV17" s="657"/>
      <c r="BW17" s="657"/>
    </row>
    <row r="18" s="99" customFormat="true" ht="22.5" hidden="false" customHeight="true" outlineLevel="0" collapsed="false">
      <c r="A18" s="701" t="n">
        <f aca="false">'Listado CAPS'!A16</f>
        <v>0</v>
      </c>
      <c r="B18" s="701" t="n">
        <f aca="false">'Listado CAPS'!B16</f>
        <v>0</v>
      </c>
      <c r="C18" s="701" t="n">
        <f aca="false">'Listado CAPS'!C16</f>
        <v>0</v>
      </c>
      <c r="D18" s="719"/>
      <c r="E18" s="701" t="str">
        <f aca="false">'Listado CAPS'!D16</f>
        <v>N</v>
      </c>
      <c r="F18" s="701" t="n">
        <f aca="false">'Listado CAPS'!E16</f>
        <v>0</v>
      </c>
      <c r="G18" s="702" t="n">
        <f aca="false">'Listado CAPS'!F16</f>
        <v>0</v>
      </c>
      <c r="H18" s="703" t="n">
        <f aca="false">'A.Org_CAPS'!AD198</f>
        <v>0</v>
      </c>
      <c r="I18" s="683" t="n">
        <f aca="false">IF(H18&gt;=60%,1,IF(H18&lt;4,0))</f>
        <v>0</v>
      </c>
      <c r="J18" s="683" t="n">
        <f aca="false">+' A.Legalización '!K19</f>
        <v>0</v>
      </c>
      <c r="K18" s="703" t="n">
        <f aca="false">'A.Org_CAPS'!AG198</f>
        <v>0</v>
      </c>
      <c r="L18" s="683" t="n">
        <f aca="false">IF(K18&gt;=0.5,1,0)</f>
        <v>0</v>
      </c>
      <c r="M18" s="704" t="n">
        <f aca="false">'A.Org_CAPS'!J198</f>
        <v>0</v>
      </c>
      <c r="N18" s="683" t="n">
        <f aca="false">IF(M18&gt;=0.5,1,0)</f>
        <v>0</v>
      </c>
      <c r="O18" s="685" t="n">
        <f aca="false">SUM(I18*0.25+J18*0.25+L18*0.25+N18*0.25)</f>
        <v>0</v>
      </c>
      <c r="P18" s="686" t="n">
        <f aca="false">IF('C.Nivel de Servicio'!F19="Mejorada",1,0)</f>
        <v>0</v>
      </c>
      <c r="Q18" s="686" t="n">
        <f aca="false">IF('C.Nivel de Servicio'!G19="Dentro de la vivienda",1,0)</f>
        <v>0</v>
      </c>
      <c r="R18" s="686" t="n">
        <f aca="false">IF('C.Nivel de Servicio'!H19="Menos de 30 min.",1,0)</f>
        <v>0</v>
      </c>
      <c r="S18" s="686" t="n">
        <f aca="false">IF('C.Nivel de Servicio'!I19="Todo el tiempo tenemos agua",1,0)</f>
        <v>0</v>
      </c>
      <c r="T18" s="686" t="n">
        <f aca="false">IF('C.Nivel de Servicio'!N19="Todo el tiempo tenemos agua",1,0)</f>
        <v>0</v>
      </c>
      <c r="U18" s="686" t="n">
        <f aca="false">IF('C.Nivel de Servicio'!O19="Negativo en E. coli",1,0)</f>
        <v>0</v>
      </c>
      <c r="V18" s="687" t="n">
        <f aca="false">IF('C.Nivel de Servicio'!T19="SEGURA",1,IF('C.Nivel de Servicio'!T19="BÁSICO",0.5,0))</f>
        <v>0.5</v>
      </c>
      <c r="W18" s="688" t="n">
        <f aca="false">'D.RecuperacióndeCostes'!E18</f>
        <v>0</v>
      </c>
      <c r="X18" s="688" t="n">
        <f aca="false">'D.RecuperacióndeCostes'!H18</f>
        <v>0</v>
      </c>
      <c r="Y18" s="688" t="n">
        <f aca="false">'D.RecuperacióndeCostes'!H18</f>
        <v>0</v>
      </c>
      <c r="Z18" s="688" t="n">
        <f aca="false">IF('D.RecuperacióndeCostes'!I18="&lt;5%",1,0)</f>
        <v>0</v>
      </c>
      <c r="AA18" s="687" t="n">
        <f aca="false">0.25*W18+0.25*X18+0.25*Y18+0.25*Z18</f>
        <v>0</v>
      </c>
      <c r="AB18" s="688" t="n">
        <f aca="false">'E.OperaciónyMantenimiento'!E18</f>
        <v>0</v>
      </c>
      <c r="AC18" s="688" t="n">
        <f aca="false">'E.OperaciónyMantenimiento'!F18</f>
        <v>0</v>
      </c>
      <c r="AD18" s="687" t="n">
        <f aca="false">AB18*AC18</f>
        <v>0</v>
      </c>
      <c r="AE18" s="688" t="n">
        <f aca="false">'F.Gestión de riesgos hídricos'!E18</f>
        <v>0</v>
      </c>
      <c r="AF18" s="688" t="n">
        <f aca="false">'F.Gestión de riesgos hídricos'!F18</f>
        <v>0</v>
      </c>
      <c r="AG18" s="688" t="n">
        <f aca="false">'F.Gestión de riesgos hídricos'!G18</f>
        <v>0</v>
      </c>
      <c r="AH18" s="688" t="n">
        <f aca="false">'F.Gestión de riesgos hídricos'!H18</f>
        <v>0</v>
      </c>
      <c r="AI18" s="688" t="n">
        <f aca="false">'F.Gestión de riesgos hídricos'!I18</f>
        <v>0</v>
      </c>
      <c r="AJ18" s="688" t="n">
        <f aca="false">'F.Gestión de riesgos hídricos'!J18</f>
        <v>0</v>
      </c>
      <c r="AK18" s="688" t="n">
        <f aca="false">'F.Gestión de riesgos hídricos'!K18</f>
        <v>0</v>
      </c>
      <c r="AL18" s="688" t="n">
        <f aca="false">'F.Gestión de riesgos hídricos'!L18</f>
        <v>0</v>
      </c>
      <c r="AM18" s="688" t="n">
        <f aca="false">'F.Gestión de riesgos hídricos'!M18</f>
        <v>0</v>
      </c>
      <c r="AN18" s="688" t="n">
        <f aca="false">'F.Gestión de riesgos hídricos'!N18</f>
        <v>0</v>
      </c>
      <c r="AO18" s="705" t="n">
        <f aca="false">SUM(AE18:AN18)/10</f>
        <v>0</v>
      </c>
      <c r="AP18" s="688" t="n">
        <f aca="false">'G.Rendición de cuentas'!E18</f>
        <v>0</v>
      </c>
      <c r="AQ18" s="688" t="n">
        <f aca="false">'G.Rendición de cuentas'!F18</f>
        <v>0</v>
      </c>
      <c r="AR18" s="688" t="n">
        <f aca="false">'G.Rendición de cuentas'!G18</f>
        <v>0</v>
      </c>
      <c r="AS18" s="688" t="n">
        <f aca="false">'G.Rendición de cuentas'!H18</f>
        <v>0</v>
      </c>
      <c r="AT18" s="688" t="n">
        <f aca="false">'G.Rendición de cuentas'!I18</f>
        <v>0</v>
      </c>
      <c r="AU18" s="688" t="n">
        <f aca="false">'G.Rendición de cuentas'!J18</f>
        <v>0</v>
      </c>
      <c r="AV18" s="706" t="n">
        <f aca="false">(AP18*0.25)+(AQ18*0.25)+(AR18*0.125)+(AS18*0.125)+(AT18*0.125)+(AU18*0.125)</f>
        <v>0</v>
      </c>
      <c r="AW18" s="707" t="n">
        <f aca="false">'H.2.Estado_Conserv.MAG'!AC18</f>
        <v>0</v>
      </c>
      <c r="AX18" s="690" t="n">
        <f aca="false">'H.1.Estado_Conserv MABE'!K18</f>
        <v>0</v>
      </c>
      <c r="AY18" s="690" t="n">
        <f aca="false">IF(AX18&gt;=3,1,0)</f>
        <v>0</v>
      </c>
      <c r="AZ18" s="690" t="n">
        <f aca="false">'H.1.Estado_Conserv MABE'!R34</f>
        <v>0</v>
      </c>
      <c r="BA18" s="690" t="n">
        <f aca="false">IF(AZ18&gt;=4,1,0)</f>
        <v>0</v>
      </c>
      <c r="BB18" s="690" t="n">
        <f aca="false">'H.1.Estado_Conserv MABE'!T18</f>
        <v>0</v>
      </c>
      <c r="BC18" s="690" t="n">
        <f aca="false">'H.1.Estado_Conserv MABE'!V18</f>
        <v>0</v>
      </c>
      <c r="BD18" s="708" t="n">
        <f aca="false">(AY18*0.25)+(BA18*0.25)+(BB18*0.25)+(BC18*0.25)</f>
        <v>0</v>
      </c>
      <c r="BE18" s="709" t="n">
        <f aca="false">'H.3.Estado_Conserv.Pozos'!AB18</f>
        <v>0</v>
      </c>
      <c r="BF18" s="710" t="n">
        <f aca="false">+'I.Genero '!H20</f>
        <v>0</v>
      </c>
      <c r="BG18" s="711" t="n">
        <f aca="false">+'I.Genero '!K20</f>
        <v>0</v>
      </c>
      <c r="BH18" s="712" t="n">
        <f aca="false">+(BF18*0.5)+(BG18*0.5)</f>
        <v>0</v>
      </c>
      <c r="BI18" s="713" t="n">
        <f aca="false">IF(+'J.AutoGestionCAPS'!G28&gt;=0.5,1,0)</f>
        <v>0</v>
      </c>
      <c r="BJ18" s="714" t="str">
        <f aca="false">IF(AND($G18=$BJ$4,$F18="MABE"),((O18*'Ind.Sostenib.'!$B$5)+(V18*'Ind.Sostenib.'!$C$5)+(AA18*'Ind.Sostenib.'!$D$5)+(AD18*'Ind.Sostenib.'!$E$5)+(AO18*'Ind.Sostenib.'!$F$5)+(AV18*'Ind.Sostenib.'!$G$5)+(BD18*'Ind.Sostenib.'!$H$5)+(BH18*'Ind.Sostenib.'!$I$5)+(BI18*'Ind.Sostenib.'!$J$5))*100,"")</f>
        <v/>
      </c>
      <c r="BK18" s="714" t="str">
        <f aca="false">IF(AND($G18=$BK$4,$F18="MABE"),((O18*'Ind.Sostenib.'!$B$6)+(V18*'Ind.Sostenib.'!$C$5)+(AA18*'Ind.Sostenib.'!$D$5)+(AD18*'Ind.Sostenib.'!$E$5)+(AO18*'Ind.Sostenib.'!$F$5)+(AV18*'Ind.Sostenib.'!$G$5)+(BD18*'Ind.Sostenib.'!$H$5)+(BH18*'Ind.Sostenib.'!$I$5)+(BI18*'Ind.Sostenib.'!$J$5))*100,"")</f>
        <v/>
      </c>
      <c r="BL18" s="714" t="str">
        <f aca="false">IF(AND(G18=$BL$4,F18="MABE"),((O18*'Ind.Sostenib.'!$B$7)+(V18*'Ind.Sostenib.'!$C$7)+(AA18*'Ind.Sostenib.'!$D$7)+(AD18*'Ind.Sostenib.'!$E$7)+(AO18*'Ind.Sostenib.'!$F$7)+(AV18*'Ind.Sostenib.'!$G$7)+(BD18*'Ind.Sostenib.'!$H$7)+(BH18*'Ind.Sostenib.'!$I$7)+(BI18*'Ind.Sostenib.'!$J$7))*100,"")</f>
        <v/>
      </c>
      <c r="BM18" s="714" t="str">
        <f aca="false">IF(AND(G18=$BM$4,F18="MAG"),((O18*'Ind.Sostenib.'!$B$12)+(V18*'Ind.Sostenib.'!$C$12)+(AA18*'Ind.Sostenib.'!$D$12)+(AD18*'Ind.Sostenib.'!$E$12)+(AO18*'Ind.Sostenib.'!$F$12)+(AV18*'Ind.Sostenib.'!$G$12)+(AW18*'Ind.Sostenib.'!$H$12)+(BH18*'Ind.Sostenib.'!$I$12)+(BI18*'Ind.Sostenib.'!$J$12))*100,"")</f>
        <v/>
      </c>
      <c r="BN18" s="714" t="str">
        <f aca="false">IF(AND(G18=$BN$4,F18="MAG"),((O18*'Ind.Sostenib.'!$B$13)+(V18*'Ind.Sostenib.'!$C$13)+(AA18*'Ind.Sostenib.'!$D$13)+(AD18*'Ind.Sostenib.'!$E$13)+(AO18*'Ind.Sostenib.'!$F$13)+(AV18*'Ind.Sostenib.'!$G$13)+(AW18*'Ind.Sostenib.'!$H$13)+(BH18*'Ind.Sostenib.'!$I$13)+(BI18*'Ind.Sostenib.'!$J$13))*100,"")</f>
        <v/>
      </c>
      <c r="BO18" s="714" t="str">
        <f aca="false">IF(AND(G18=$BO$4,F18="MAG"),((O18*'Ind.Sostenib.'!$B$14)+(V18*'Ind.Sostenib.'!$C$14)+(AA18*'Ind.Sostenib.'!$D$14)+(AD18*'Ind.Sostenib.'!$E$14)+(AO18*'Ind.Sostenib.'!$F$14)+(AV18*'Ind.Sostenib.'!$G$14)+(AW18*'Ind.Sostenib.'!$H$14)+(BH18*'Ind.Sostenib.'!$I$14)+(BI18*'Ind.Sostenib.'!$J$14))*100,"")</f>
        <v/>
      </c>
      <c r="BP18" s="715"/>
      <c r="BQ18" s="714" t="str">
        <f aca="false">IF(AND(G18=$BQ$4,F18&lt;&gt;"MAG",F18&lt;&gt;"MABE"),((O18*'Ind.Sostenib.'!$B$12)+(V18*'Ind.Sostenib.'!$C$12)+(AA18*'Ind.Sostenib.'!$D$12)+(AD18*'Ind.Sostenib.'!$E$12)+(AO18*'Ind.Sostenib.'!$F$12)+(AV18*'Ind.Sostenib.'!$G$12)+(BE18*'Ind.Sostenib.'!$H$12)+(BH18*'Ind.Sostenib.'!$I$12)+(BI18*'Ind.Sostenib.'!$J$12))*100,"")</f>
        <v/>
      </c>
      <c r="BR18" s="714" t="str">
        <f aca="false">IF(AND(G18=$BR$4,F18&lt;&gt;"MABE",F18&lt;&gt;"MAG"),((O18*'Ind.Sostenib.'!$B$13)+(V18*'Ind.Sostenib.'!$C$13)+(AA18*'Ind.Sostenib.'!$D$13)+(AD18*'Ind.Sostenib.'!$E$13)+(AO18*'Ind.Sostenib.'!$F$13)+(AV18*'Ind.Sostenib.'!$G$13)+(BE18*'Ind.Sostenib.'!$H$13)+(BH18*'Ind.Sostenib.'!$I$13)+(BI18*'Ind.Sostenib.'!$J$13))*100,"")</f>
        <v/>
      </c>
      <c r="BS18" s="714" t="str">
        <f aca="false">IF(AND(G18=$BS$4,F18&lt;&gt;"MAG",F18&lt;&gt;"MABE"),((O18*'Ind.Sostenib.'!$B$14)+(V18*'Ind.Sostenib.'!$C$14)+(AA18*'Ind.Sostenib.'!$D$14)+(AD18*'Ind.Sostenib.'!$E$14)+(AO18*'Ind.Sostenib.'!$F$14)+(AV18*'Ind.Sostenib.'!$G$14)+(BE18*'Ind.Sostenib.'!$H$14)+(BH18*'Ind.Sostenib.'!$I$14)+(BI18*'Ind.Sostenib.'!$J$14))*100,"")</f>
        <v/>
      </c>
      <c r="BT18" s="657"/>
      <c r="BU18" s="657"/>
      <c r="BV18" s="657"/>
      <c r="BW18" s="657"/>
    </row>
    <row r="19" s="99" customFormat="true" ht="22.5" hidden="false" customHeight="true" outlineLevel="0" collapsed="false">
      <c r="A19" s="701" t="n">
        <f aca="false">'Listado CAPS'!A17</f>
        <v>0</v>
      </c>
      <c r="B19" s="701" t="n">
        <f aca="false">'Listado CAPS'!B17</f>
        <v>0</v>
      </c>
      <c r="C19" s="701" t="n">
        <f aca="false">'Listado CAPS'!C17</f>
        <v>0</v>
      </c>
      <c r="D19" s="719"/>
      <c r="E19" s="701" t="str">
        <f aca="false">'Listado CAPS'!D17</f>
        <v>Ñ</v>
      </c>
      <c r="F19" s="701" t="n">
        <f aca="false">'Listado CAPS'!E17</f>
        <v>0</v>
      </c>
      <c r="G19" s="702" t="n">
        <f aca="false">'Listado CAPS'!F17</f>
        <v>0</v>
      </c>
      <c r="H19" s="703" t="n">
        <f aca="false">'A.Org_CAPS'!AD212</f>
        <v>0</v>
      </c>
      <c r="I19" s="683" t="n">
        <f aca="false">IF(H19&gt;=60%,1,IF(H19&lt;4,0))</f>
        <v>0</v>
      </c>
      <c r="J19" s="683" t="n">
        <f aca="false">+' A.Legalización '!K20</f>
        <v>0</v>
      </c>
      <c r="K19" s="703" t="n">
        <f aca="false">'A.Org_CAPS'!AG212</f>
        <v>0</v>
      </c>
      <c r="L19" s="683" t="n">
        <f aca="false">IF(K19&gt;=0.5,1,0)</f>
        <v>0</v>
      </c>
      <c r="M19" s="704" t="n">
        <f aca="false">'A.Org_CAPS'!J212</f>
        <v>0</v>
      </c>
      <c r="N19" s="683" t="n">
        <f aca="false">IF(M19&gt;=0.5,1,0)</f>
        <v>0</v>
      </c>
      <c r="O19" s="685" t="n">
        <f aca="false">SUM(I19*0.25+J19*0.25+L19*0.25+N19*0.25)</f>
        <v>0</v>
      </c>
      <c r="P19" s="686" t="n">
        <f aca="false">IF('C.Nivel de Servicio'!F20="Mejorada",1,0)</f>
        <v>0</v>
      </c>
      <c r="Q19" s="686" t="n">
        <f aca="false">IF('C.Nivel de Servicio'!G20="Dentro de la vivienda",1,0)</f>
        <v>0</v>
      </c>
      <c r="R19" s="686" t="n">
        <f aca="false">IF('C.Nivel de Servicio'!H20="Menos de 30 min.",1,0)</f>
        <v>0</v>
      </c>
      <c r="S19" s="686" t="n">
        <f aca="false">IF('C.Nivel de Servicio'!I20="Todo el tiempo tenemos agua",1,0)</f>
        <v>0</v>
      </c>
      <c r="T19" s="686" t="n">
        <f aca="false">IF('C.Nivel de Servicio'!N20="Todo el tiempo tenemos agua",1,0)</f>
        <v>0</v>
      </c>
      <c r="U19" s="686" t="n">
        <f aca="false">IF('C.Nivel de Servicio'!O20="Negativo en E. coli",1,0)</f>
        <v>0</v>
      </c>
      <c r="V19" s="687" t="n">
        <f aca="false">IF('C.Nivel de Servicio'!T20="SEGURA",1,IF('C.Nivel de Servicio'!T20="BÁSICO",0.5,0))</f>
        <v>0.5</v>
      </c>
      <c r="W19" s="688" t="n">
        <f aca="false">'D.RecuperacióndeCostes'!E19</f>
        <v>0</v>
      </c>
      <c r="X19" s="688" t="n">
        <f aca="false">'D.RecuperacióndeCostes'!H19</f>
        <v>0</v>
      </c>
      <c r="Y19" s="688" t="n">
        <f aca="false">'D.RecuperacióndeCostes'!H19</f>
        <v>0</v>
      </c>
      <c r="Z19" s="688" t="n">
        <f aca="false">IF('D.RecuperacióndeCostes'!I19="&lt;5%",1,0)</f>
        <v>0</v>
      </c>
      <c r="AA19" s="687" t="n">
        <f aca="false">0.25*W19+0.25*X19+0.25*Y19+0.25*Z19</f>
        <v>0</v>
      </c>
      <c r="AB19" s="688" t="n">
        <f aca="false">'E.OperaciónyMantenimiento'!E19</f>
        <v>0</v>
      </c>
      <c r="AC19" s="688" t="n">
        <f aca="false">'E.OperaciónyMantenimiento'!F19</f>
        <v>0</v>
      </c>
      <c r="AD19" s="687" t="n">
        <f aca="false">AB19*AC19</f>
        <v>0</v>
      </c>
      <c r="AE19" s="688" t="n">
        <f aca="false">'F.Gestión de riesgos hídricos'!E19</f>
        <v>0</v>
      </c>
      <c r="AF19" s="688" t="n">
        <f aca="false">'F.Gestión de riesgos hídricos'!F19</f>
        <v>0</v>
      </c>
      <c r="AG19" s="688" t="n">
        <f aca="false">'F.Gestión de riesgos hídricos'!G19</f>
        <v>0</v>
      </c>
      <c r="AH19" s="688" t="n">
        <f aca="false">'F.Gestión de riesgos hídricos'!H19</f>
        <v>0</v>
      </c>
      <c r="AI19" s="688" t="n">
        <f aca="false">'F.Gestión de riesgos hídricos'!I19</f>
        <v>0</v>
      </c>
      <c r="AJ19" s="688" t="n">
        <f aca="false">'F.Gestión de riesgos hídricos'!J19</f>
        <v>0</v>
      </c>
      <c r="AK19" s="688" t="n">
        <f aca="false">'F.Gestión de riesgos hídricos'!K19</f>
        <v>0</v>
      </c>
      <c r="AL19" s="688" t="n">
        <f aca="false">'F.Gestión de riesgos hídricos'!L19</f>
        <v>0</v>
      </c>
      <c r="AM19" s="688" t="n">
        <f aca="false">'F.Gestión de riesgos hídricos'!M19</f>
        <v>0</v>
      </c>
      <c r="AN19" s="688" t="n">
        <f aca="false">'F.Gestión de riesgos hídricos'!N19</f>
        <v>0</v>
      </c>
      <c r="AO19" s="705" t="n">
        <f aca="false">SUM(AE19:AN19)/10</f>
        <v>0</v>
      </c>
      <c r="AP19" s="688" t="n">
        <f aca="false">'G.Rendición de cuentas'!E19</f>
        <v>0</v>
      </c>
      <c r="AQ19" s="688" t="n">
        <f aca="false">'G.Rendición de cuentas'!F19</f>
        <v>0</v>
      </c>
      <c r="AR19" s="688" t="n">
        <f aca="false">'G.Rendición de cuentas'!G19</f>
        <v>0</v>
      </c>
      <c r="AS19" s="688" t="n">
        <f aca="false">'G.Rendición de cuentas'!H19</f>
        <v>0</v>
      </c>
      <c r="AT19" s="688" t="n">
        <f aca="false">'G.Rendición de cuentas'!I19</f>
        <v>0</v>
      </c>
      <c r="AU19" s="688" t="n">
        <f aca="false">'G.Rendición de cuentas'!J19</f>
        <v>0</v>
      </c>
      <c r="AV19" s="706" t="n">
        <f aca="false">(AP19*0.25)+(AQ19*0.25)+(AR19*0.125)+(AS19*0.125)+(AT19*0.125)+(AU19*0.125)</f>
        <v>0</v>
      </c>
      <c r="AW19" s="707" t="n">
        <f aca="false">'H.2.Estado_Conserv.MAG'!AC19</f>
        <v>0</v>
      </c>
      <c r="AX19" s="690" t="n">
        <f aca="false">'H.1.Estado_Conserv MABE'!K19</f>
        <v>0</v>
      </c>
      <c r="AY19" s="690" t="n">
        <f aca="false">IF(AX19&gt;=3,1,0)</f>
        <v>0</v>
      </c>
      <c r="AZ19" s="690" t="n">
        <f aca="false">'H.1.Estado_Conserv MABE'!R35</f>
        <v>0</v>
      </c>
      <c r="BA19" s="690" t="n">
        <f aca="false">IF(AZ19&gt;=4,1,0)</f>
        <v>0</v>
      </c>
      <c r="BB19" s="690" t="n">
        <f aca="false">'H.1.Estado_Conserv MABE'!T19</f>
        <v>0</v>
      </c>
      <c r="BC19" s="690" t="n">
        <f aca="false">'H.1.Estado_Conserv MABE'!V19</f>
        <v>0</v>
      </c>
      <c r="BD19" s="708" t="n">
        <f aca="false">(AY19*0.25)+(BA19*0.25)+(BB19*0.25)+(BC19*0.25)</f>
        <v>0</v>
      </c>
      <c r="BE19" s="709" t="n">
        <f aca="false">'H.3.Estado_Conserv.Pozos'!AB19</f>
        <v>0</v>
      </c>
      <c r="BF19" s="710" t="n">
        <f aca="false">+'I.Genero '!H21</f>
        <v>0</v>
      </c>
      <c r="BG19" s="711" t="n">
        <f aca="false">+'I.Genero '!K21</f>
        <v>0</v>
      </c>
      <c r="BH19" s="712" t="n">
        <f aca="false">+(BF19*0.5)+(BG19*0.5)</f>
        <v>0</v>
      </c>
      <c r="BI19" s="713" t="n">
        <f aca="false">IF(+'J.AutoGestionCAPS'!G29&gt;=0.5,1,0)</f>
        <v>0</v>
      </c>
      <c r="BJ19" s="714" t="str">
        <f aca="false">IF(AND($G19=$BJ$4,$F19="MABE"),((O19*'Ind.Sostenib.'!$B$5)+(V19*'Ind.Sostenib.'!$C$5)+(AA19*'Ind.Sostenib.'!$D$5)+(AD19*'Ind.Sostenib.'!$E$5)+(AO19*'Ind.Sostenib.'!$F$5)+(AV19*'Ind.Sostenib.'!$G$5)+(BD19*'Ind.Sostenib.'!$H$5)+(BH19*'Ind.Sostenib.'!$I$5)+(BI19*'Ind.Sostenib.'!$J$5))*100,"")</f>
        <v/>
      </c>
      <c r="BK19" s="714" t="str">
        <f aca="false">IF(AND($G19=$BK$4,$F19="MABE"),((O19*'Ind.Sostenib.'!$B$6)+(V19*'Ind.Sostenib.'!$C$5)+(AA19*'Ind.Sostenib.'!$D$5)+(AD19*'Ind.Sostenib.'!$E$5)+(AO19*'Ind.Sostenib.'!$F$5)+(AV19*'Ind.Sostenib.'!$G$5)+(BD19*'Ind.Sostenib.'!$H$5)+(BH19*'Ind.Sostenib.'!$I$5)+(BI19*'Ind.Sostenib.'!$J$5))*100,"")</f>
        <v/>
      </c>
      <c r="BL19" s="714" t="str">
        <f aca="false">IF(AND(G19=$BL$4,F19="MABE"),((O19*'Ind.Sostenib.'!$B$7)+(V19*'Ind.Sostenib.'!$C$7)+(AA19*'Ind.Sostenib.'!$D$7)+(AD19*'Ind.Sostenib.'!$E$7)+(AO19*'Ind.Sostenib.'!$F$7)+(AV19*'Ind.Sostenib.'!$G$7)+(BD19*'Ind.Sostenib.'!$H$7)+(BH19*'Ind.Sostenib.'!$I$7)+(BI19*'Ind.Sostenib.'!$J$7))*100,"")</f>
        <v/>
      </c>
      <c r="BM19" s="714" t="str">
        <f aca="false">IF(AND(G19=$BM$4,F19="MAG"),((O19*'Ind.Sostenib.'!$B$12)+(V19*'Ind.Sostenib.'!$C$12)+(AA19*'Ind.Sostenib.'!$D$12)+(AD19*'Ind.Sostenib.'!$E$12)+(AO19*'Ind.Sostenib.'!$F$12)+(AV19*'Ind.Sostenib.'!$G$12)+(AW19*'Ind.Sostenib.'!$H$12)+(BH19*'Ind.Sostenib.'!$I$12)+(BI19*'Ind.Sostenib.'!$J$12))*100,"")</f>
        <v/>
      </c>
      <c r="BN19" s="714" t="str">
        <f aca="false">IF(AND(G19=$BN$4,F19="MAG"),((O19*'Ind.Sostenib.'!$B$13)+(V19*'Ind.Sostenib.'!$C$13)+(AA19*'Ind.Sostenib.'!$D$13)+(AD19*'Ind.Sostenib.'!$E$13)+(AO19*'Ind.Sostenib.'!$F$13)+(AV19*'Ind.Sostenib.'!$G$13)+(AW19*'Ind.Sostenib.'!$H$13)+(BH19*'Ind.Sostenib.'!$I$13)+(BI19*'Ind.Sostenib.'!$J$13))*100,"")</f>
        <v/>
      </c>
      <c r="BO19" s="714" t="str">
        <f aca="false">IF(AND(G19=$BO$4,F19="MAG"),((O19*'Ind.Sostenib.'!$B$14)+(V19*'Ind.Sostenib.'!$C$14)+(AA19*'Ind.Sostenib.'!$D$14)+(AD19*'Ind.Sostenib.'!$E$14)+(AO19*'Ind.Sostenib.'!$F$14)+(AV19*'Ind.Sostenib.'!$G$14)+(AW19*'Ind.Sostenib.'!$H$14)+(BH19*'Ind.Sostenib.'!$I$14)+(BI19*'Ind.Sostenib.'!$J$14))*100,"")</f>
        <v/>
      </c>
      <c r="BP19" s="715"/>
      <c r="BQ19" s="714" t="str">
        <f aca="false">IF(AND(G19=$BQ$4,F19&lt;&gt;"MAG",F19&lt;&gt;"MABE"),((O19*'Ind.Sostenib.'!$B$12)+(V19*'Ind.Sostenib.'!$C$12)+(AA19*'Ind.Sostenib.'!$D$12)+(AD19*'Ind.Sostenib.'!$E$12)+(AO19*'Ind.Sostenib.'!$F$12)+(AV19*'Ind.Sostenib.'!$G$12)+(BE19*'Ind.Sostenib.'!$H$12)+(BH19*'Ind.Sostenib.'!$I$12)+(BI19*'Ind.Sostenib.'!$J$12))*100,"")</f>
        <v/>
      </c>
      <c r="BR19" s="714" t="str">
        <f aca="false">IF(AND(G19=$BR$4,F19&lt;&gt;"MABE",F19&lt;&gt;"MAG"),((O19*'Ind.Sostenib.'!$B$13)+(V19*'Ind.Sostenib.'!$C$13)+(AA19*'Ind.Sostenib.'!$D$13)+(AD19*'Ind.Sostenib.'!$E$13)+(AO19*'Ind.Sostenib.'!$F$13)+(AV19*'Ind.Sostenib.'!$G$13)+(BE19*'Ind.Sostenib.'!$H$13)+(BH19*'Ind.Sostenib.'!$I$13)+(BI19*'Ind.Sostenib.'!$J$13))*100,"")</f>
        <v/>
      </c>
      <c r="BS19" s="714" t="str">
        <f aca="false">IF(AND(G19=$BS$4,F19&lt;&gt;"MAG",F19&lt;&gt;"MABE"),((O19*'Ind.Sostenib.'!$B$14)+(V19*'Ind.Sostenib.'!$C$14)+(AA19*'Ind.Sostenib.'!$D$14)+(AD19*'Ind.Sostenib.'!$E$14)+(AO19*'Ind.Sostenib.'!$F$14)+(AV19*'Ind.Sostenib.'!$G$14)+(BE19*'Ind.Sostenib.'!$H$14)+(BH19*'Ind.Sostenib.'!$I$14)+(BI19*'Ind.Sostenib.'!$J$14))*100,"")</f>
        <v/>
      </c>
      <c r="BT19" s="657"/>
      <c r="BU19" s="657"/>
      <c r="BV19" s="657"/>
      <c r="BW19" s="657"/>
    </row>
    <row r="20" s="99" customFormat="true" ht="22.5" hidden="false" customHeight="true" outlineLevel="0" collapsed="false">
      <c r="A20" s="701" t="n">
        <f aca="false">'Listado CAPS'!A18</f>
        <v>0</v>
      </c>
      <c r="B20" s="701" t="n">
        <f aca="false">'Listado CAPS'!B18</f>
        <v>0</v>
      </c>
      <c r="C20" s="701" t="n">
        <f aca="false">'Listado CAPS'!C18</f>
        <v>0</v>
      </c>
      <c r="D20" s="719"/>
      <c r="E20" s="701" t="str">
        <f aca="false">'Listado CAPS'!D18</f>
        <v>O</v>
      </c>
      <c r="F20" s="701" t="n">
        <f aca="false">'Listado CAPS'!E18</f>
        <v>0</v>
      </c>
      <c r="G20" s="702" t="n">
        <f aca="false">'Listado CAPS'!F18</f>
        <v>0</v>
      </c>
      <c r="H20" s="703" t="n">
        <f aca="false">'A.Org_CAPS'!AD226</f>
        <v>0</v>
      </c>
      <c r="I20" s="683" t="n">
        <f aca="false">IF(H20&gt;=60%,1,IF(H20&lt;4,0))</f>
        <v>0</v>
      </c>
      <c r="J20" s="683" t="n">
        <f aca="false">+' A.Legalización '!K21</f>
        <v>0</v>
      </c>
      <c r="K20" s="703" t="n">
        <f aca="false">'A.Org_CAPS'!AG226</f>
        <v>0</v>
      </c>
      <c r="L20" s="683" t="n">
        <f aca="false">IF(K20&gt;=0.5,1,0)</f>
        <v>0</v>
      </c>
      <c r="M20" s="704" t="n">
        <f aca="false">'A.Org_CAPS'!J226</f>
        <v>0</v>
      </c>
      <c r="N20" s="683" t="n">
        <f aca="false">IF(M20&gt;=0.5,1,0)</f>
        <v>0</v>
      </c>
      <c r="O20" s="685" t="n">
        <f aca="false">SUM(I20*0.25+J20*0.25+L20*0.25+N20*0.25)</f>
        <v>0</v>
      </c>
      <c r="P20" s="686" t="n">
        <f aca="false">IF('C.Nivel de Servicio'!F21="Mejorada",1,0)</f>
        <v>0</v>
      </c>
      <c r="Q20" s="686" t="n">
        <f aca="false">IF('C.Nivel de Servicio'!G21="Dentro de la vivienda",1,0)</f>
        <v>0</v>
      </c>
      <c r="R20" s="686" t="n">
        <f aca="false">IF('C.Nivel de Servicio'!H21="Menos de 30 min.",1,0)</f>
        <v>0</v>
      </c>
      <c r="S20" s="686" t="n">
        <f aca="false">IF('C.Nivel de Servicio'!I21="Todo el tiempo tenemos agua",1,0)</f>
        <v>0</v>
      </c>
      <c r="T20" s="686" t="n">
        <f aca="false">IF('C.Nivel de Servicio'!N21="Todo el tiempo tenemos agua",1,0)</f>
        <v>0</v>
      </c>
      <c r="U20" s="686" t="n">
        <f aca="false">IF('C.Nivel de Servicio'!O21="Negativo en E. coli",1,0)</f>
        <v>0</v>
      </c>
      <c r="V20" s="687" t="n">
        <f aca="false">IF('C.Nivel de Servicio'!T21="SEGURA",1,IF('C.Nivel de Servicio'!T21="BÁSICO",0.5,0))</f>
        <v>0.5</v>
      </c>
      <c r="W20" s="688" t="n">
        <f aca="false">'D.RecuperacióndeCostes'!E20</f>
        <v>0</v>
      </c>
      <c r="X20" s="688" t="n">
        <f aca="false">'D.RecuperacióndeCostes'!H20</f>
        <v>0</v>
      </c>
      <c r="Y20" s="688" t="n">
        <f aca="false">'D.RecuperacióndeCostes'!H20</f>
        <v>0</v>
      </c>
      <c r="Z20" s="688" t="n">
        <f aca="false">IF('D.RecuperacióndeCostes'!I20="&lt;5%",1,0)</f>
        <v>0</v>
      </c>
      <c r="AA20" s="687" t="n">
        <f aca="false">0.25*W20+0.25*X20+0.25*Y20+0.25*Z20</f>
        <v>0</v>
      </c>
      <c r="AB20" s="688" t="n">
        <f aca="false">'E.OperaciónyMantenimiento'!E20</f>
        <v>0</v>
      </c>
      <c r="AC20" s="688" t="n">
        <f aca="false">'E.OperaciónyMantenimiento'!F20</f>
        <v>0</v>
      </c>
      <c r="AD20" s="687" t="n">
        <f aca="false">AB20*AC20</f>
        <v>0</v>
      </c>
      <c r="AE20" s="688" t="n">
        <f aca="false">'F.Gestión de riesgos hídricos'!E20</f>
        <v>0</v>
      </c>
      <c r="AF20" s="688" t="n">
        <f aca="false">'F.Gestión de riesgos hídricos'!F20</f>
        <v>0</v>
      </c>
      <c r="AG20" s="688" t="n">
        <f aca="false">'F.Gestión de riesgos hídricos'!G20</f>
        <v>0</v>
      </c>
      <c r="AH20" s="688" t="n">
        <f aca="false">'F.Gestión de riesgos hídricos'!H20</f>
        <v>0</v>
      </c>
      <c r="AI20" s="688" t="n">
        <f aca="false">'F.Gestión de riesgos hídricos'!I20</f>
        <v>0</v>
      </c>
      <c r="AJ20" s="688" t="n">
        <f aca="false">'F.Gestión de riesgos hídricos'!J20</f>
        <v>0</v>
      </c>
      <c r="AK20" s="688" t="n">
        <f aca="false">'F.Gestión de riesgos hídricos'!K20</f>
        <v>0</v>
      </c>
      <c r="AL20" s="688" t="n">
        <f aca="false">'F.Gestión de riesgos hídricos'!L20</f>
        <v>0</v>
      </c>
      <c r="AM20" s="688" t="n">
        <f aca="false">'F.Gestión de riesgos hídricos'!M20</f>
        <v>0</v>
      </c>
      <c r="AN20" s="688" t="n">
        <f aca="false">'F.Gestión de riesgos hídricos'!N20</f>
        <v>0</v>
      </c>
      <c r="AO20" s="705" t="n">
        <f aca="false">SUM(AE20:AN20)/10</f>
        <v>0</v>
      </c>
      <c r="AP20" s="688" t="n">
        <f aca="false">'G.Rendición de cuentas'!E20</f>
        <v>0</v>
      </c>
      <c r="AQ20" s="688" t="n">
        <f aca="false">'G.Rendición de cuentas'!F20</f>
        <v>0</v>
      </c>
      <c r="AR20" s="688" t="n">
        <f aca="false">'G.Rendición de cuentas'!G20</f>
        <v>0</v>
      </c>
      <c r="AS20" s="688" t="n">
        <f aca="false">'G.Rendición de cuentas'!H20</f>
        <v>0</v>
      </c>
      <c r="AT20" s="688" t="n">
        <f aca="false">'G.Rendición de cuentas'!I20</f>
        <v>0</v>
      </c>
      <c r="AU20" s="688" t="n">
        <f aca="false">'G.Rendición de cuentas'!J20</f>
        <v>0</v>
      </c>
      <c r="AV20" s="706" t="n">
        <f aca="false">(AP20*0.25)+(AQ20*0.25)+(AR20*0.125)+(AS20*0.125)+(AT20*0.125)+(AU20*0.125)</f>
        <v>0</v>
      </c>
      <c r="AW20" s="707" t="n">
        <f aca="false">'H.2.Estado_Conserv.MAG'!AC20</f>
        <v>0</v>
      </c>
      <c r="AX20" s="690" t="n">
        <f aca="false">'H.1.Estado_Conserv MABE'!K20</f>
        <v>0</v>
      </c>
      <c r="AY20" s="690" t="n">
        <f aca="false">IF(AX20&gt;=3,1,0)</f>
        <v>0</v>
      </c>
      <c r="AZ20" s="690" t="n">
        <f aca="false">'H.1.Estado_Conserv MABE'!R36</f>
        <v>0</v>
      </c>
      <c r="BA20" s="690" t="n">
        <f aca="false">IF(AZ20&gt;=4,1,0)</f>
        <v>0</v>
      </c>
      <c r="BB20" s="690" t="n">
        <f aca="false">'H.1.Estado_Conserv MABE'!T20</f>
        <v>0</v>
      </c>
      <c r="BC20" s="690" t="n">
        <f aca="false">'H.1.Estado_Conserv MABE'!V20</f>
        <v>0</v>
      </c>
      <c r="BD20" s="708" t="n">
        <f aca="false">(AY20*0.25)+(BA20*0.25)+(BB20*0.25)+(BC20*0.25)</f>
        <v>0</v>
      </c>
      <c r="BE20" s="709" t="n">
        <f aca="false">'H.3.Estado_Conserv.Pozos'!AB20</f>
        <v>0</v>
      </c>
      <c r="BF20" s="710" t="n">
        <f aca="false">+'I.Genero '!H22</f>
        <v>0</v>
      </c>
      <c r="BG20" s="711" t="n">
        <f aca="false">+'I.Genero '!K22</f>
        <v>0</v>
      </c>
      <c r="BH20" s="712" t="n">
        <f aca="false">+(BF20*0.5)+(BG20*0.5)</f>
        <v>0</v>
      </c>
      <c r="BI20" s="713" t="n">
        <f aca="false">IF(+'J.AutoGestionCAPS'!G30&gt;=0.5,1,0)</f>
        <v>0</v>
      </c>
      <c r="BJ20" s="714" t="str">
        <f aca="false">IF(AND($G20=$BJ$4,$F20="MABE"),((O20*'Ind.Sostenib.'!$B$5)+(V20*'Ind.Sostenib.'!$C$5)+(AA20*'Ind.Sostenib.'!$D$5)+(AD20*'Ind.Sostenib.'!$E$5)+(AO20*'Ind.Sostenib.'!$F$5)+(AV20*'Ind.Sostenib.'!$G$5)+(BD20*'Ind.Sostenib.'!$H$5)+(BH20*'Ind.Sostenib.'!$I$5)+(BI20*'Ind.Sostenib.'!$J$5))*100,"")</f>
        <v/>
      </c>
      <c r="BK20" s="714" t="str">
        <f aca="false">IF(AND($G20=$BK$4,$F20="MABE"),((O20*'Ind.Sostenib.'!$B$6)+(V20*'Ind.Sostenib.'!$C$5)+(AA20*'Ind.Sostenib.'!$D$5)+(AD20*'Ind.Sostenib.'!$E$5)+(AO20*'Ind.Sostenib.'!$F$5)+(AV20*'Ind.Sostenib.'!$G$5)+(BD20*'Ind.Sostenib.'!$H$5)+(BH20*'Ind.Sostenib.'!$I$5)+(BI20*'Ind.Sostenib.'!$J$5))*100,"")</f>
        <v/>
      </c>
      <c r="BL20" s="714" t="str">
        <f aca="false">IF(AND(G20=$BL$4,F20="MABE"),((O20*'Ind.Sostenib.'!$B$7)+(V20*'Ind.Sostenib.'!$C$7)+(AA20*'Ind.Sostenib.'!$D$7)+(AD20*'Ind.Sostenib.'!$E$7)+(AO20*'Ind.Sostenib.'!$F$7)+(AV20*'Ind.Sostenib.'!$G$7)+(BD20*'Ind.Sostenib.'!$H$7)+(BH20*'Ind.Sostenib.'!$I$7)+(BI20*'Ind.Sostenib.'!$J$7))*100,"")</f>
        <v/>
      </c>
      <c r="BM20" s="714" t="str">
        <f aca="false">IF(AND(G20=$BM$4,F20="MAG"),((O20*'Ind.Sostenib.'!$B$12)+(V20*'Ind.Sostenib.'!$C$12)+(AA20*'Ind.Sostenib.'!$D$12)+(AD20*'Ind.Sostenib.'!$E$12)+(AO20*'Ind.Sostenib.'!$F$12)+(AV20*'Ind.Sostenib.'!$G$12)+(AW20*'Ind.Sostenib.'!$H$12)+(BH20*'Ind.Sostenib.'!$I$12)+(BI20*'Ind.Sostenib.'!$J$12))*100,"")</f>
        <v/>
      </c>
      <c r="BN20" s="714" t="str">
        <f aca="false">IF(AND(G20=$BN$4,F20="MAG"),((O20*'Ind.Sostenib.'!$B$13)+(V20*'Ind.Sostenib.'!$C$13)+(AA20*'Ind.Sostenib.'!$D$13)+(AD20*'Ind.Sostenib.'!$E$13)+(AO20*'Ind.Sostenib.'!$F$13)+(AV20*'Ind.Sostenib.'!$G$13)+(AW20*'Ind.Sostenib.'!$H$13)+(BH20*'Ind.Sostenib.'!$I$13)+(BI20*'Ind.Sostenib.'!$J$13))*100,"")</f>
        <v/>
      </c>
      <c r="BO20" s="714" t="str">
        <f aca="false">IF(AND(G20=$BO$4,F20="MAG"),((O20*'Ind.Sostenib.'!$B$14)+(V20*'Ind.Sostenib.'!$C$14)+(AA20*'Ind.Sostenib.'!$D$14)+(AD20*'Ind.Sostenib.'!$E$14)+(AO20*'Ind.Sostenib.'!$F$14)+(AV20*'Ind.Sostenib.'!$G$14)+(AW20*'Ind.Sostenib.'!$H$14)+(BH20*'Ind.Sostenib.'!$I$14)+(BI20*'Ind.Sostenib.'!$J$14))*100,"")</f>
        <v/>
      </c>
      <c r="BP20" s="715"/>
      <c r="BQ20" s="714" t="str">
        <f aca="false">IF(AND(G20=$BQ$4,F20&lt;&gt;"MAG",F20&lt;&gt;"MABE"),((O20*'Ind.Sostenib.'!$B$12)+(V20*'Ind.Sostenib.'!$C$12)+(AA20*'Ind.Sostenib.'!$D$12)+(AD20*'Ind.Sostenib.'!$E$12)+(AO20*'Ind.Sostenib.'!$F$12)+(AV20*'Ind.Sostenib.'!$G$12)+(BE20*'Ind.Sostenib.'!$H$12)+(BH20*'Ind.Sostenib.'!$I$12)+(BI20*'Ind.Sostenib.'!$J$12))*100,"")</f>
        <v/>
      </c>
      <c r="BR20" s="714" t="str">
        <f aca="false">IF(AND(G20=$BR$4,F20&lt;&gt;"MABE",F20&lt;&gt;"MAG"),((O20*'Ind.Sostenib.'!$B$13)+(V20*'Ind.Sostenib.'!$C$13)+(AA20*'Ind.Sostenib.'!$D$13)+(AD20*'Ind.Sostenib.'!$E$13)+(AO20*'Ind.Sostenib.'!$F$13)+(AV20*'Ind.Sostenib.'!$G$13)+(BE20*'Ind.Sostenib.'!$H$13)+(BH20*'Ind.Sostenib.'!$I$13)+(BI20*'Ind.Sostenib.'!$J$13))*100,"")</f>
        <v/>
      </c>
      <c r="BS20" s="714" t="str">
        <f aca="false">IF(AND(G20=$BS$4,F20&lt;&gt;"MAG",F20&lt;&gt;"MABE"),((O20*'Ind.Sostenib.'!$B$14)+(V20*'Ind.Sostenib.'!$C$14)+(AA20*'Ind.Sostenib.'!$D$14)+(AD20*'Ind.Sostenib.'!$E$14)+(AO20*'Ind.Sostenib.'!$F$14)+(AV20*'Ind.Sostenib.'!$G$14)+(BE20*'Ind.Sostenib.'!$H$14)+(BH20*'Ind.Sostenib.'!$I$14)+(BI20*'Ind.Sostenib.'!$J$14))*100,"")</f>
        <v/>
      </c>
      <c r="BT20" s="657"/>
      <c r="BU20" s="657"/>
      <c r="BV20" s="657"/>
      <c r="BW20" s="657"/>
    </row>
    <row r="21" s="99" customFormat="true" ht="22.5" hidden="false" customHeight="true" outlineLevel="0" collapsed="false">
      <c r="A21" s="701" t="n">
        <f aca="false">'Listado CAPS'!A19</f>
        <v>0</v>
      </c>
      <c r="B21" s="701" t="n">
        <f aca="false">'Listado CAPS'!B19</f>
        <v>0</v>
      </c>
      <c r="C21" s="701" t="n">
        <f aca="false">'Listado CAPS'!C19</f>
        <v>0</v>
      </c>
      <c r="D21" s="719"/>
      <c r="E21" s="701" t="str">
        <f aca="false">'Listado CAPS'!D19</f>
        <v>P</v>
      </c>
      <c r="F21" s="701" t="n">
        <f aca="false">'Listado CAPS'!E19</f>
        <v>0</v>
      </c>
      <c r="G21" s="702" t="n">
        <f aca="false">'Listado CAPS'!F19</f>
        <v>0</v>
      </c>
      <c r="H21" s="703" t="n">
        <f aca="false">'A.Org_CAPS'!AD240</f>
        <v>0</v>
      </c>
      <c r="I21" s="683" t="n">
        <f aca="false">IF(H21&gt;=60%,1,IF(H21&lt;4,0))</f>
        <v>0</v>
      </c>
      <c r="J21" s="683" t="n">
        <f aca="false">+' A.Legalización '!K22</f>
        <v>0</v>
      </c>
      <c r="K21" s="703" t="n">
        <f aca="false">'A.Org_CAPS'!AG240</f>
        <v>0</v>
      </c>
      <c r="L21" s="683" t="n">
        <f aca="false">IF(K21&gt;=0.5,1,0)</f>
        <v>0</v>
      </c>
      <c r="M21" s="704" t="n">
        <f aca="false">'A.Org_CAPS'!J240</f>
        <v>0</v>
      </c>
      <c r="N21" s="683" t="n">
        <f aca="false">IF(M21&gt;=0.5,1,0)</f>
        <v>0</v>
      </c>
      <c r="O21" s="685" t="n">
        <f aca="false">SUM(I21*0.25+J21*0.25+L21*0.25+N21*0.25)</f>
        <v>0</v>
      </c>
      <c r="P21" s="686" t="n">
        <f aca="false">IF('C.Nivel de Servicio'!F22="Mejorada",1,0)</f>
        <v>0</v>
      </c>
      <c r="Q21" s="686" t="n">
        <f aca="false">IF('C.Nivel de Servicio'!G22="Dentro de la vivienda",1,0)</f>
        <v>0</v>
      </c>
      <c r="R21" s="686" t="n">
        <f aca="false">IF('C.Nivel de Servicio'!H22="Menos de 30 min.",1,0)</f>
        <v>0</v>
      </c>
      <c r="S21" s="686" t="n">
        <f aca="false">IF('C.Nivel de Servicio'!I22="Todo el tiempo tenemos agua",1,0)</f>
        <v>0</v>
      </c>
      <c r="T21" s="686" t="n">
        <f aca="false">IF('C.Nivel de Servicio'!N22="Todo el tiempo tenemos agua",1,0)</f>
        <v>0</v>
      </c>
      <c r="U21" s="686" t="n">
        <f aca="false">IF('C.Nivel de Servicio'!O22="Negativo en E. coli",1,0)</f>
        <v>0</v>
      </c>
      <c r="V21" s="687" t="n">
        <f aca="false">IF('C.Nivel de Servicio'!T22="SEGURA",1,IF('C.Nivel de Servicio'!T22="BÁSICO",0.5,0))</f>
        <v>0.5</v>
      </c>
      <c r="W21" s="688" t="n">
        <f aca="false">'D.RecuperacióndeCostes'!E21</f>
        <v>0</v>
      </c>
      <c r="X21" s="688" t="n">
        <f aca="false">'D.RecuperacióndeCostes'!H21</f>
        <v>0</v>
      </c>
      <c r="Y21" s="688" t="n">
        <f aca="false">'D.RecuperacióndeCostes'!H21</f>
        <v>0</v>
      </c>
      <c r="Z21" s="688" t="n">
        <f aca="false">IF('D.RecuperacióndeCostes'!I21="&lt;5%",1,0)</f>
        <v>0</v>
      </c>
      <c r="AA21" s="687" t="n">
        <f aca="false">0.25*W21+0.25*X21+0.25*Y21+0.25*Z21</f>
        <v>0</v>
      </c>
      <c r="AB21" s="688" t="n">
        <f aca="false">'E.OperaciónyMantenimiento'!E21</f>
        <v>0</v>
      </c>
      <c r="AC21" s="688" t="n">
        <f aca="false">'E.OperaciónyMantenimiento'!F21</f>
        <v>0</v>
      </c>
      <c r="AD21" s="687" t="n">
        <f aca="false">AB21*AC21</f>
        <v>0</v>
      </c>
      <c r="AE21" s="688" t="n">
        <f aca="false">'F.Gestión de riesgos hídricos'!E21</f>
        <v>0</v>
      </c>
      <c r="AF21" s="688" t="n">
        <f aca="false">'F.Gestión de riesgos hídricos'!F21</f>
        <v>0</v>
      </c>
      <c r="AG21" s="688" t="n">
        <f aca="false">'F.Gestión de riesgos hídricos'!G21</f>
        <v>0</v>
      </c>
      <c r="AH21" s="688" t="n">
        <f aca="false">'F.Gestión de riesgos hídricos'!H21</f>
        <v>0</v>
      </c>
      <c r="AI21" s="688" t="n">
        <f aca="false">'F.Gestión de riesgos hídricos'!I21</f>
        <v>0</v>
      </c>
      <c r="AJ21" s="688" t="n">
        <f aca="false">'F.Gestión de riesgos hídricos'!J21</f>
        <v>0</v>
      </c>
      <c r="AK21" s="688" t="n">
        <f aca="false">'F.Gestión de riesgos hídricos'!K21</f>
        <v>0</v>
      </c>
      <c r="AL21" s="688" t="n">
        <f aca="false">'F.Gestión de riesgos hídricos'!L21</f>
        <v>0</v>
      </c>
      <c r="AM21" s="688" t="n">
        <f aca="false">'F.Gestión de riesgos hídricos'!M21</f>
        <v>0</v>
      </c>
      <c r="AN21" s="688" t="n">
        <f aca="false">'F.Gestión de riesgos hídricos'!N21</f>
        <v>0</v>
      </c>
      <c r="AO21" s="705" t="n">
        <f aca="false">SUM(AE21:AN21)/10</f>
        <v>0</v>
      </c>
      <c r="AP21" s="688" t="n">
        <f aca="false">'G.Rendición de cuentas'!E21</f>
        <v>0</v>
      </c>
      <c r="AQ21" s="688" t="n">
        <f aca="false">'G.Rendición de cuentas'!F21</f>
        <v>0</v>
      </c>
      <c r="AR21" s="688" t="n">
        <f aca="false">'G.Rendición de cuentas'!G21</f>
        <v>0</v>
      </c>
      <c r="AS21" s="688" t="n">
        <f aca="false">'G.Rendición de cuentas'!H21</f>
        <v>0</v>
      </c>
      <c r="AT21" s="688" t="n">
        <f aca="false">'G.Rendición de cuentas'!I21</f>
        <v>0</v>
      </c>
      <c r="AU21" s="688" t="n">
        <f aca="false">'G.Rendición de cuentas'!J21</f>
        <v>0</v>
      </c>
      <c r="AV21" s="706" t="n">
        <f aca="false">(AP21*0.25)+(AQ21*0.25)+(AR21*0.125)+(AS21*0.125)+(AT21*0.125)+(AU21*0.125)</f>
        <v>0</v>
      </c>
      <c r="AW21" s="707" t="n">
        <f aca="false">'H.2.Estado_Conserv.MAG'!AC21</f>
        <v>0</v>
      </c>
      <c r="AX21" s="690" t="n">
        <f aca="false">'H.1.Estado_Conserv MABE'!K21</f>
        <v>0</v>
      </c>
      <c r="AY21" s="690" t="n">
        <f aca="false">IF(AX21&gt;=3,1,0)</f>
        <v>0</v>
      </c>
      <c r="AZ21" s="690" t="n">
        <f aca="false">'H.1.Estado_Conserv MABE'!R37</f>
        <v>0</v>
      </c>
      <c r="BA21" s="690" t="n">
        <f aca="false">IF(AZ21&gt;=4,1,0)</f>
        <v>0</v>
      </c>
      <c r="BB21" s="690" t="n">
        <f aca="false">'H.1.Estado_Conserv MABE'!T21</f>
        <v>0</v>
      </c>
      <c r="BC21" s="690" t="n">
        <f aca="false">'H.1.Estado_Conserv MABE'!V21</f>
        <v>0</v>
      </c>
      <c r="BD21" s="708" t="n">
        <f aca="false">(AY21*0.25)+(BA21*0.25)+(BB21*0.25)+(BC21*0.25)</f>
        <v>0</v>
      </c>
      <c r="BE21" s="709" t="n">
        <f aca="false">'H.3.Estado_Conserv.Pozos'!AB21</f>
        <v>0</v>
      </c>
      <c r="BF21" s="710" t="n">
        <f aca="false">+'I.Genero '!H23</f>
        <v>0</v>
      </c>
      <c r="BG21" s="711" t="n">
        <f aca="false">+'I.Genero '!K23</f>
        <v>0</v>
      </c>
      <c r="BH21" s="712" t="n">
        <f aca="false">+(BF21*0.5)+(BG21*0.5)</f>
        <v>0</v>
      </c>
      <c r="BI21" s="713" t="n">
        <f aca="false">IF(+'J.AutoGestionCAPS'!G31&gt;=0.5,1,0)</f>
        <v>0</v>
      </c>
      <c r="BJ21" s="714" t="str">
        <f aca="false">IF(AND($G21=$BJ$4,$F21="MABE"),((O21*'Ind.Sostenib.'!$B$5)+(V21*'Ind.Sostenib.'!$C$5)+(AA21*'Ind.Sostenib.'!$D$5)+(AD21*'Ind.Sostenib.'!$E$5)+(AO21*'Ind.Sostenib.'!$F$5)+(AV21*'Ind.Sostenib.'!$G$5)+(BD21*'Ind.Sostenib.'!$H$5)+(BH21*'Ind.Sostenib.'!$I$5)+(BI21*'Ind.Sostenib.'!$J$5))*100,"")</f>
        <v/>
      </c>
      <c r="BK21" s="714" t="str">
        <f aca="false">IF(AND($G21=$BK$4,$F21="MABE"),((O21*'Ind.Sostenib.'!$B$6)+(V21*'Ind.Sostenib.'!$C$5)+(AA21*'Ind.Sostenib.'!$D$5)+(AD21*'Ind.Sostenib.'!$E$5)+(AO21*'Ind.Sostenib.'!$F$5)+(AV21*'Ind.Sostenib.'!$G$5)+(BD21*'Ind.Sostenib.'!$H$5)+(BH21*'Ind.Sostenib.'!$I$5)+(BI21*'Ind.Sostenib.'!$J$5))*100,"")</f>
        <v/>
      </c>
      <c r="BL21" s="714" t="str">
        <f aca="false">IF(AND(G21=$BL$4,F21="MABE"),((O21*'Ind.Sostenib.'!$B$7)+(V21*'Ind.Sostenib.'!$C$7)+(AA21*'Ind.Sostenib.'!$D$7)+(AD21*'Ind.Sostenib.'!$E$7)+(AO21*'Ind.Sostenib.'!$F$7)+(AV21*'Ind.Sostenib.'!$G$7)+(BD21*'Ind.Sostenib.'!$H$7)+(BH21*'Ind.Sostenib.'!$I$7)+(BI21*'Ind.Sostenib.'!$J$7))*100,"")</f>
        <v/>
      </c>
      <c r="BM21" s="714" t="str">
        <f aca="false">IF(AND(G21=$BM$4,F21="MAG"),((O21*'Ind.Sostenib.'!$B$12)+(V21*'Ind.Sostenib.'!$C$12)+(AA21*'Ind.Sostenib.'!$D$12)+(AD21*'Ind.Sostenib.'!$E$12)+(AO21*'Ind.Sostenib.'!$F$12)+(AV21*'Ind.Sostenib.'!$G$12)+(AW21*'Ind.Sostenib.'!$H$12)+(BH21*'Ind.Sostenib.'!$I$12)+(BI21*'Ind.Sostenib.'!$J$12))*100,"")</f>
        <v/>
      </c>
      <c r="BN21" s="714" t="str">
        <f aca="false">IF(AND(G21=$BN$4,F21="MAG"),((O21*'Ind.Sostenib.'!$B$13)+(V21*'Ind.Sostenib.'!$C$13)+(AA21*'Ind.Sostenib.'!$D$13)+(AD21*'Ind.Sostenib.'!$E$13)+(AO21*'Ind.Sostenib.'!$F$13)+(AV21*'Ind.Sostenib.'!$G$13)+(AW21*'Ind.Sostenib.'!$H$13)+(BH21*'Ind.Sostenib.'!$I$13)+(BI21*'Ind.Sostenib.'!$J$13))*100,"")</f>
        <v/>
      </c>
      <c r="BO21" s="714" t="str">
        <f aca="false">IF(AND(G21=$BO$4,F21="MAG"),((O21*'Ind.Sostenib.'!$B$14)+(V21*'Ind.Sostenib.'!$C$14)+(AA21*'Ind.Sostenib.'!$D$14)+(AD21*'Ind.Sostenib.'!$E$14)+(AO21*'Ind.Sostenib.'!$F$14)+(AV21*'Ind.Sostenib.'!$G$14)+(AW21*'Ind.Sostenib.'!$H$14)+(BH21*'Ind.Sostenib.'!$I$14)+(BI21*'Ind.Sostenib.'!$J$14))*100,"")</f>
        <v/>
      </c>
      <c r="BP21" s="715"/>
      <c r="BQ21" s="714" t="str">
        <f aca="false">IF(AND(G21=$BQ$4,F21&lt;&gt;"MAG",F21&lt;&gt;"MABE"),((O21*'Ind.Sostenib.'!$B$12)+(V21*'Ind.Sostenib.'!$C$12)+(AA21*'Ind.Sostenib.'!$D$12)+(AD21*'Ind.Sostenib.'!$E$12)+(AO21*'Ind.Sostenib.'!$F$12)+(AV21*'Ind.Sostenib.'!$G$12)+(BE21*'Ind.Sostenib.'!$H$12)+(BH21*'Ind.Sostenib.'!$I$12)+(BI21*'Ind.Sostenib.'!$J$12))*100,"")</f>
        <v/>
      </c>
      <c r="BR21" s="714" t="str">
        <f aca="false">IF(AND(G21=$BR$4,F21&lt;&gt;"MABE",F21&lt;&gt;"MAG"),((O21*'Ind.Sostenib.'!$B$13)+(V21*'Ind.Sostenib.'!$C$13)+(AA21*'Ind.Sostenib.'!$D$13)+(AD21*'Ind.Sostenib.'!$E$13)+(AO21*'Ind.Sostenib.'!$F$13)+(AV21*'Ind.Sostenib.'!$G$13)+(BE21*'Ind.Sostenib.'!$H$13)+(BH21*'Ind.Sostenib.'!$I$13)+(BI21*'Ind.Sostenib.'!$J$13))*100,"")</f>
        <v/>
      </c>
      <c r="BS21" s="714" t="str">
        <f aca="false">IF(AND(G21=$BS$4,F21&lt;&gt;"MAG",F21&lt;&gt;"MABE"),((O21*'Ind.Sostenib.'!$B$14)+(V21*'Ind.Sostenib.'!$C$14)+(AA21*'Ind.Sostenib.'!$D$14)+(AD21*'Ind.Sostenib.'!$E$14)+(AO21*'Ind.Sostenib.'!$F$14)+(AV21*'Ind.Sostenib.'!$G$14)+(BE21*'Ind.Sostenib.'!$H$14)+(BH21*'Ind.Sostenib.'!$I$14)+(BI21*'Ind.Sostenib.'!$J$14))*100,"")</f>
        <v/>
      </c>
      <c r="BT21" s="657"/>
      <c r="BU21" s="657"/>
      <c r="BV21" s="657"/>
      <c r="BW21" s="657"/>
    </row>
    <row r="22" s="99" customFormat="true" ht="22.5" hidden="false" customHeight="true" outlineLevel="0" collapsed="false">
      <c r="A22" s="701" t="n">
        <f aca="false">'Listado CAPS'!A20</f>
        <v>0</v>
      </c>
      <c r="B22" s="701" t="n">
        <f aca="false">'Listado CAPS'!B20</f>
        <v>0</v>
      </c>
      <c r="C22" s="701" t="n">
        <f aca="false">'Listado CAPS'!C20</f>
        <v>0</v>
      </c>
      <c r="D22" s="719"/>
      <c r="E22" s="701" t="str">
        <f aca="false">'Listado CAPS'!D20</f>
        <v>Q</v>
      </c>
      <c r="F22" s="701" t="n">
        <f aca="false">'Listado CAPS'!E20</f>
        <v>0</v>
      </c>
      <c r="G22" s="702" t="n">
        <f aca="false">'Listado CAPS'!F20</f>
        <v>0</v>
      </c>
      <c r="H22" s="703" t="n">
        <f aca="false">'A.Org_CAPS'!AD254</f>
        <v>0</v>
      </c>
      <c r="I22" s="683" t="n">
        <f aca="false">IF(H22&gt;=60%,1,IF(H22&lt;4,0))</f>
        <v>0</v>
      </c>
      <c r="J22" s="683" t="n">
        <f aca="false">+' A.Legalización '!K23</f>
        <v>0</v>
      </c>
      <c r="K22" s="703" t="n">
        <f aca="false">'A.Org_CAPS'!AG254</f>
        <v>0</v>
      </c>
      <c r="L22" s="683" t="n">
        <f aca="false">IF(K22&gt;=0.5,1,0)</f>
        <v>0</v>
      </c>
      <c r="M22" s="704" t="n">
        <f aca="false">'A.Org_CAPS'!J254</f>
        <v>0</v>
      </c>
      <c r="N22" s="683" t="n">
        <f aca="false">IF(M22&gt;=0.5,1,0)</f>
        <v>0</v>
      </c>
      <c r="O22" s="685" t="n">
        <f aca="false">SUM(I22*0.25+J22*0.25+L22*0.25+N22*0.25)</f>
        <v>0</v>
      </c>
      <c r="P22" s="686" t="n">
        <f aca="false">IF('C.Nivel de Servicio'!F23="Mejorada",1,0)</f>
        <v>0</v>
      </c>
      <c r="Q22" s="686" t="n">
        <f aca="false">IF('C.Nivel de Servicio'!G23="Dentro de la vivienda",1,0)</f>
        <v>0</v>
      </c>
      <c r="R22" s="686" t="n">
        <f aca="false">IF('C.Nivel de Servicio'!H23="Menos de 30 min.",1,0)</f>
        <v>0</v>
      </c>
      <c r="S22" s="686" t="n">
        <f aca="false">IF('C.Nivel de Servicio'!I23="Todo el tiempo tenemos agua",1,0)</f>
        <v>0</v>
      </c>
      <c r="T22" s="686" t="n">
        <f aca="false">IF('C.Nivel de Servicio'!N23="Todo el tiempo tenemos agua",1,0)</f>
        <v>0</v>
      </c>
      <c r="U22" s="686" t="n">
        <f aca="false">IF('C.Nivel de Servicio'!O23="Negativo en E. coli",1,0)</f>
        <v>0</v>
      </c>
      <c r="V22" s="687" t="n">
        <f aca="false">IF('C.Nivel de Servicio'!T23="SEGURA",1,IF('C.Nivel de Servicio'!T23="BÁSICO",0.5,0))</f>
        <v>0.5</v>
      </c>
      <c r="W22" s="688" t="n">
        <f aca="false">'D.RecuperacióndeCostes'!E22</f>
        <v>0</v>
      </c>
      <c r="X22" s="688" t="n">
        <f aca="false">'D.RecuperacióndeCostes'!H22</f>
        <v>0</v>
      </c>
      <c r="Y22" s="688" t="n">
        <f aca="false">'D.RecuperacióndeCostes'!H22</f>
        <v>0</v>
      </c>
      <c r="Z22" s="688" t="n">
        <f aca="false">IF('D.RecuperacióndeCostes'!I22="&lt;5%",1,0)</f>
        <v>0</v>
      </c>
      <c r="AA22" s="687" t="n">
        <f aca="false">0.25*W22+0.25*X22+0.25*Y22+0.25*Z22</f>
        <v>0</v>
      </c>
      <c r="AB22" s="688" t="n">
        <f aca="false">'E.OperaciónyMantenimiento'!E22</f>
        <v>0</v>
      </c>
      <c r="AC22" s="688" t="n">
        <f aca="false">'E.OperaciónyMantenimiento'!F22</f>
        <v>0</v>
      </c>
      <c r="AD22" s="687" t="n">
        <f aca="false">AB22*AC22</f>
        <v>0</v>
      </c>
      <c r="AE22" s="688" t="n">
        <f aca="false">'F.Gestión de riesgos hídricos'!E22</f>
        <v>0</v>
      </c>
      <c r="AF22" s="688" t="n">
        <f aca="false">'F.Gestión de riesgos hídricos'!F22</f>
        <v>0</v>
      </c>
      <c r="AG22" s="688" t="n">
        <f aca="false">'F.Gestión de riesgos hídricos'!G22</f>
        <v>0</v>
      </c>
      <c r="AH22" s="688" t="n">
        <f aca="false">'F.Gestión de riesgos hídricos'!H22</f>
        <v>0</v>
      </c>
      <c r="AI22" s="688" t="n">
        <f aca="false">'F.Gestión de riesgos hídricos'!I22</f>
        <v>0</v>
      </c>
      <c r="AJ22" s="688" t="n">
        <f aca="false">'F.Gestión de riesgos hídricos'!J22</f>
        <v>0</v>
      </c>
      <c r="AK22" s="688" t="n">
        <f aca="false">'F.Gestión de riesgos hídricos'!K22</f>
        <v>0</v>
      </c>
      <c r="AL22" s="688" t="n">
        <f aca="false">'F.Gestión de riesgos hídricos'!L22</f>
        <v>0</v>
      </c>
      <c r="AM22" s="688" t="n">
        <f aca="false">'F.Gestión de riesgos hídricos'!M22</f>
        <v>0</v>
      </c>
      <c r="AN22" s="688" t="n">
        <f aca="false">'F.Gestión de riesgos hídricos'!N22</f>
        <v>0</v>
      </c>
      <c r="AO22" s="705" t="n">
        <f aca="false">SUM(AE22:AN22)/10</f>
        <v>0</v>
      </c>
      <c r="AP22" s="688" t="n">
        <f aca="false">'G.Rendición de cuentas'!E22</f>
        <v>0</v>
      </c>
      <c r="AQ22" s="688" t="n">
        <f aca="false">'G.Rendición de cuentas'!F22</f>
        <v>0</v>
      </c>
      <c r="AR22" s="688" t="n">
        <f aca="false">'G.Rendición de cuentas'!G22</f>
        <v>0</v>
      </c>
      <c r="AS22" s="688" t="n">
        <f aca="false">'G.Rendición de cuentas'!H22</f>
        <v>0</v>
      </c>
      <c r="AT22" s="688" t="n">
        <f aca="false">'G.Rendición de cuentas'!I22</f>
        <v>0</v>
      </c>
      <c r="AU22" s="688" t="n">
        <f aca="false">'G.Rendición de cuentas'!J22</f>
        <v>0</v>
      </c>
      <c r="AV22" s="706" t="n">
        <f aca="false">(AP22*0.25)+(AQ22*0.25)+(AR22*0.125)+(AS22*0.125)+(AT22*0.125)+(AU22*0.125)</f>
        <v>0</v>
      </c>
      <c r="AW22" s="707" t="n">
        <f aca="false">'H.2.Estado_Conserv.MAG'!AC22</f>
        <v>0</v>
      </c>
      <c r="AX22" s="690" t="n">
        <f aca="false">'H.1.Estado_Conserv MABE'!K22</f>
        <v>0</v>
      </c>
      <c r="AY22" s="690" t="n">
        <f aca="false">IF(AX22&gt;=3,1,0)</f>
        <v>0</v>
      </c>
      <c r="AZ22" s="690" t="n">
        <f aca="false">'H.1.Estado_Conserv MABE'!R38</f>
        <v>0</v>
      </c>
      <c r="BA22" s="690" t="n">
        <f aca="false">IF(AZ22&gt;=4,1,0)</f>
        <v>0</v>
      </c>
      <c r="BB22" s="690" t="n">
        <f aca="false">'H.1.Estado_Conserv MABE'!T22</f>
        <v>0</v>
      </c>
      <c r="BC22" s="690" t="n">
        <f aca="false">'H.1.Estado_Conserv MABE'!V22</f>
        <v>0</v>
      </c>
      <c r="BD22" s="708" t="n">
        <f aca="false">(AY22*0.25)+(BA22*0.25)+(BB22*0.25)+(BC22*0.25)</f>
        <v>0</v>
      </c>
      <c r="BE22" s="709" t="n">
        <f aca="false">'H.3.Estado_Conserv.Pozos'!AB22</f>
        <v>0</v>
      </c>
      <c r="BF22" s="710" t="n">
        <f aca="false">+'I.Genero '!H24</f>
        <v>0</v>
      </c>
      <c r="BG22" s="711" t="n">
        <f aca="false">+'I.Genero '!K24</f>
        <v>0</v>
      </c>
      <c r="BH22" s="712" t="n">
        <f aca="false">+(BF22*0.5)+(BG22*0.5)</f>
        <v>0</v>
      </c>
      <c r="BI22" s="713" t="n">
        <f aca="false">IF(+'J.AutoGestionCAPS'!G32&gt;=0.5,1,0)</f>
        <v>0</v>
      </c>
      <c r="BJ22" s="714" t="str">
        <f aca="false">IF(AND($G22=$BJ$4,$F22="MABE"),((O22*'Ind.Sostenib.'!$B$5)+(V22*'Ind.Sostenib.'!$C$5)+(AA22*'Ind.Sostenib.'!$D$5)+(AD22*'Ind.Sostenib.'!$E$5)+(AO22*'Ind.Sostenib.'!$F$5)+(AV22*'Ind.Sostenib.'!$G$5)+(BD22*'Ind.Sostenib.'!$H$5)+(BH22*'Ind.Sostenib.'!$I$5)+(BI22*'Ind.Sostenib.'!$J$5))*100,"")</f>
        <v/>
      </c>
      <c r="BK22" s="714" t="str">
        <f aca="false">IF(AND($G22=$BK$4,$F22="MABE"),((O22*'Ind.Sostenib.'!$B$6)+(V22*'Ind.Sostenib.'!$C$5)+(AA22*'Ind.Sostenib.'!$D$5)+(AD22*'Ind.Sostenib.'!$E$5)+(AO22*'Ind.Sostenib.'!$F$5)+(AV22*'Ind.Sostenib.'!$G$5)+(BD22*'Ind.Sostenib.'!$H$5)+(BH22*'Ind.Sostenib.'!$I$5)+(BI22*'Ind.Sostenib.'!$J$5))*100,"")</f>
        <v/>
      </c>
      <c r="BL22" s="714" t="str">
        <f aca="false">IF(AND(G22=$BL$4,F22="MABE"),((O22*'Ind.Sostenib.'!$B$7)+(V22*'Ind.Sostenib.'!$C$7)+(AA22*'Ind.Sostenib.'!$D$7)+(AD22*'Ind.Sostenib.'!$E$7)+(AO22*'Ind.Sostenib.'!$F$7)+(AV22*'Ind.Sostenib.'!$G$7)+(BD22*'Ind.Sostenib.'!$H$7)+(BH22*'Ind.Sostenib.'!$I$7)+(BI22*'Ind.Sostenib.'!$J$7))*100,"")</f>
        <v/>
      </c>
      <c r="BM22" s="714" t="str">
        <f aca="false">IF(AND(G22=$BM$4,F22="MAG"),((O22*'Ind.Sostenib.'!$B$12)+(V22*'Ind.Sostenib.'!$C$12)+(AA22*'Ind.Sostenib.'!$D$12)+(AD22*'Ind.Sostenib.'!$E$12)+(AO22*'Ind.Sostenib.'!$F$12)+(AV22*'Ind.Sostenib.'!$G$12)+(AW22*'Ind.Sostenib.'!$H$12)+(BH22*'Ind.Sostenib.'!$I$12)+(BI22*'Ind.Sostenib.'!$J$12))*100,"")</f>
        <v/>
      </c>
      <c r="BN22" s="714" t="str">
        <f aca="false">IF(AND(G22=$BN$4,F22="MAG"),((O22*'Ind.Sostenib.'!$B$13)+(V22*'Ind.Sostenib.'!$C$13)+(AA22*'Ind.Sostenib.'!$D$13)+(AD22*'Ind.Sostenib.'!$E$13)+(AO22*'Ind.Sostenib.'!$F$13)+(AV22*'Ind.Sostenib.'!$G$13)+(AW22*'Ind.Sostenib.'!$H$13)+(BH22*'Ind.Sostenib.'!$I$13)+(BI22*'Ind.Sostenib.'!$J$13))*100,"")</f>
        <v/>
      </c>
      <c r="BO22" s="714" t="str">
        <f aca="false">IF(AND(G22=$BO$4,F22="MAG"),((O22*'Ind.Sostenib.'!$B$14)+(V22*'Ind.Sostenib.'!$C$14)+(AA22*'Ind.Sostenib.'!$D$14)+(AD22*'Ind.Sostenib.'!$E$14)+(AO22*'Ind.Sostenib.'!$F$14)+(AV22*'Ind.Sostenib.'!$G$14)+(AW22*'Ind.Sostenib.'!$H$14)+(BH22*'Ind.Sostenib.'!$I$14)+(BI22*'Ind.Sostenib.'!$J$14))*100,"")</f>
        <v/>
      </c>
      <c r="BP22" s="715"/>
      <c r="BQ22" s="714" t="str">
        <f aca="false">IF(AND(G22=$BQ$4,F22&lt;&gt;"MAG",F22&lt;&gt;"MABE"),((O22*'Ind.Sostenib.'!$B$12)+(V22*'Ind.Sostenib.'!$C$12)+(AA22*'Ind.Sostenib.'!$D$12)+(AD22*'Ind.Sostenib.'!$E$12)+(AO22*'Ind.Sostenib.'!$F$12)+(AV22*'Ind.Sostenib.'!$G$12)+(BE22*'Ind.Sostenib.'!$H$12)+(BH22*'Ind.Sostenib.'!$I$12)+(BI22*'Ind.Sostenib.'!$J$12))*100,"")</f>
        <v/>
      </c>
      <c r="BR22" s="714" t="str">
        <f aca="false">IF(AND(G22=$BR$4,F22&lt;&gt;"MABE",F22&lt;&gt;"MAG"),((O22*'Ind.Sostenib.'!$B$13)+(V22*'Ind.Sostenib.'!$C$13)+(AA22*'Ind.Sostenib.'!$D$13)+(AD22*'Ind.Sostenib.'!$E$13)+(AO22*'Ind.Sostenib.'!$F$13)+(AV22*'Ind.Sostenib.'!$G$13)+(BE22*'Ind.Sostenib.'!$H$13)+(BH22*'Ind.Sostenib.'!$I$13)+(BI22*'Ind.Sostenib.'!$J$13))*100,"")</f>
        <v/>
      </c>
      <c r="BS22" s="714" t="str">
        <f aca="false">IF(AND(G22=$BS$4,F22&lt;&gt;"MAG",F22&lt;&gt;"MABE"),((O22*'Ind.Sostenib.'!$B$14)+(V22*'Ind.Sostenib.'!$C$14)+(AA22*'Ind.Sostenib.'!$D$14)+(AD22*'Ind.Sostenib.'!$E$14)+(AO22*'Ind.Sostenib.'!$F$14)+(AV22*'Ind.Sostenib.'!$G$14)+(BE22*'Ind.Sostenib.'!$H$14)+(BH22*'Ind.Sostenib.'!$I$14)+(BI22*'Ind.Sostenib.'!$J$14))*100,"")</f>
        <v/>
      </c>
      <c r="BT22" s="657"/>
      <c r="BU22" s="657"/>
      <c r="BV22" s="657"/>
      <c r="BW22" s="657"/>
    </row>
    <row r="23" s="99" customFormat="true" ht="22.5" hidden="false" customHeight="true" outlineLevel="0" collapsed="false">
      <c r="A23" s="701" t="n">
        <f aca="false">'Listado CAPS'!A21</f>
        <v>0</v>
      </c>
      <c r="B23" s="701" t="n">
        <f aca="false">'Listado CAPS'!B21</f>
        <v>0</v>
      </c>
      <c r="C23" s="701" t="n">
        <f aca="false">'Listado CAPS'!C21</f>
        <v>0</v>
      </c>
      <c r="D23" s="719"/>
      <c r="E23" s="701" t="str">
        <f aca="false">'Listado CAPS'!D21</f>
        <v>R</v>
      </c>
      <c r="F23" s="701" t="n">
        <f aca="false">'Listado CAPS'!E21</f>
        <v>0</v>
      </c>
      <c r="G23" s="702" t="n">
        <f aca="false">'Listado CAPS'!F21</f>
        <v>0</v>
      </c>
      <c r="H23" s="703" t="n">
        <f aca="false">'A.Org_CAPS'!AD268</f>
        <v>0</v>
      </c>
      <c r="I23" s="683" t="n">
        <f aca="false">IF(H23&gt;=60%,1,IF(H23&lt;4,0))</f>
        <v>0</v>
      </c>
      <c r="J23" s="683" t="n">
        <f aca="false">+' A.Legalización '!K24</f>
        <v>0</v>
      </c>
      <c r="K23" s="703" t="n">
        <f aca="false">'A.Org_CAPS'!AG268</f>
        <v>0</v>
      </c>
      <c r="L23" s="683" t="n">
        <f aca="false">IF(K23&gt;=0.5,1,0)</f>
        <v>0</v>
      </c>
      <c r="M23" s="704" t="n">
        <f aca="false">'A.Org_CAPS'!J268</f>
        <v>0</v>
      </c>
      <c r="N23" s="683" t="n">
        <f aca="false">IF(M23&gt;=0.5,1,0)</f>
        <v>0</v>
      </c>
      <c r="O23" s="685" t="n">
        <f aca="false">SUM(I23*0.25+J23*0.25+L23*0.25+N23*0.25)</f>
        <v>0</v>
      </c>
      <c r="P23" s="686" t="n">
        <f aca="false">IF('C.Nivel de Servicio'!F24="Mejorada",1,0)</f>
        <v>0</v>
      </c>
      <c r="Q23" s="686" t="n">
        <f aca="false">IF('C.Nivel de Servicio'!G24="Dentro de la vivienda",1,0)</f>
        <v>0</v>
      </c>
      <c r="R23" s="686" t="n">
        <f aca="false">IF('C.Nivel de Servicio'!H24="Menos de 30 min.",1,0)</f>
        <v>0</v>
      </c>
      <c r="S23" s="686" t="n">
        <f aca="false">IF('C.Nivel de Servicio'!I24="Todo el tiempo tenemos agua",1,0)</f>
        <v>0</v>
      </c>
      <c r="T23" s="686" t="n">
        <f aca="false">IF('C.Nivel de Servicio'!N24="Todo el tiempo tenemos agua",1,0)</f>
        <v>0</v>
      </c>
      <c r="U23" s="686" t="n">
        <f aca="false">IF('C.Nivel de Servicio'!O24="Negativo en E. coli",1,0)</f>
        <v>0</v>
      </c>
      <c r="V23" s="687" t="n">
        <f aca="false">IF('C.Nivel de Servicio'!T24="SEGURA",1,IF('C.Nivel de Servicio'!T24="BÁSICO",0.5,0))</f>
        <v>0.5</v>
      </c>
      <c r="W23" s="688" t="n">
        <f aca="false">'D.RecuperacióndeCostes'!E23</f>
        <v>0</v>
      </c>
      <c r="X23" s="688" t="n">
        <f aca="false">'D.RecuperacióndeCostes'!H23</f>
        <v>0</v>
      </c>
      <c r="Y23" s="688" t="n">
        <f aca="false">'D.RecuperacióndeCostes'!H23</f>
        <v>0</v>
      </c>
      <c r="Z23" s="688" t="n">
        <f aca="false">IF('D.RecuperacióndeCostes'!I23="&lt;5%",1,0)</f>
        <v>0</v>
      </c>
      <c r="AA23" s="687" t="n">
        <f aca="false">0.25*W23+0.25*X23+0.25*Y23+0.25*Z23</f>
        <v>0</v>
      </c>
      <c r="AB23" s="688" t="n">
        <f aca="false">'E.OperaciónyMantenimiento'!E23</f>
        <v>0</v>
      </c>
      <c r="AC23" s="688" t="n">
        <f aca="false">'E.OperaciónyMantenimiento'!F23</f>
        <v>0</v>
      </c>
      <c r="AD23" s="687" t="n">
        <f aca="false">AB23*AC23</f>
        <v>0</v>
      </c>
      <c r="AE23" s="688" t="n">
        <f aca="false">'F.Gestión de riesgos hídricos'!E23</f>
        <v>0</v>
      </c>
      <c r="AF23" s="688" t="n">
        <f aca="false">'F.Gestión de riesgos hídricos'!F23</f>
        <v>0</v>
      </c>
      <c r="AG23" s="688" t="n">
        <f aca="false">'F.Gestión de riesgos hídricos'!G23</f>
        <v>0</v>
      </c>
      <c r="AH23" s="688" t="n">
        <f aca="false">'F.Gestión de riesgos hídricos'!H23</f>
        <v>0</v>
      </c>
      <c r="AI23" s="688" t="n">
        <f aca="false">'F.Gestión de riesgos hídricos'!I23</f>
        <v>0</v>
      </c>
      <c r="AJ23" s="688" t="n">
        <f aca="false">'F.Gestión de riesgos hídricos'!J23</f>
        <v>0</v>
      </c>
      <c r="AK23" s="688" t="n">
        <f aca="false">'F.Gestión de riesgos hídricos'!K23</f>
        <v>0</v>
      </c>
      <c r="AL23" s="688" t="n">
        <f aca="false">'F.Gestión de riesgos hídricos'!L23</f>
        <v>0</v>
      </c>
      <c r="AM23" s="688" t="n">
        <f aca="false">'F.Gestión de riesgos hídricos'!M23</f>
        <v>0</v>
      </c>
      <c r="AN23" s="688" t="n">
        <f aca="false">'F.Gestión de riesgos hídricos'!N23</f>
        <v>0</v>
      </c>
      <c r="AO23" s="705" t="n">
        <f aca="false">SUM(AE23:AN23)/10</f>
        <v>0</v>
      </c>
      <c r="AP23" s="688" t="n">
        <f aca="false">'G.Rendición de cuentas'!E23</f>
        <v>0</v>
      </c>
      <c r="AQ23" s="688" t="n">
        <f aca="false">'G.Rendición de cuentas'!F23</f>
        <v>0</v>
      </c>
      <c r="AR23" s="688" t="n">
        <f aca="false">'G.Rendición de cuentas'!G23</f>
        <v>0</v>
      </c>
      <c r="AS23" s="688" t="n">
        <f aca="false">'G.Rendición de cuentas'!H23</f>
        <v>0</v>
      </c>
      <c r="AT23" s="688" t="n">
        <f aca="false">'G.Rendición de cuentas'!I23</f>
        <v>0</v>
      </c>
      <c r="AU23" s="688" t="n">
        <f aca="false">'G.Rendición de cuentas'!J23</f>
        <v>0</v>
      </c>
      <c r="AV23" s="706" t="n">
        <f aca="false">(AP23*0.25)+(AQ23*0.25)+(AR23*0.125)+(AS23*0.125)+(AT23*0.125)+(AU23*0.125)</f>
        <v>0</v>
      </c>
      <c r="AW23" s="707" t="n">
        <f aca="false">'H.2.Estado_Conserv.MAG'!AC23</f>
        <v>0</v>
      </c>
      <c r="AX23" s="690" t="n">
        <f aca="false">'H.1.Estado_Conserv MABE'!K23</f>
        <v>0</v>
      </c>
      <c r="AY23" s="690" t="n">
        <f aca="false">IF(AX23&gt;=3,1,0)</f>
        <v>0</v>
      </c>
      <c r="AZ23" s="690" t="n">
        <f aca="false">'H.1.Estado_Conserv MABE'!R39</f>
        <v>0</v>
      </c>
      <c r="BA23" s="690" t="n">
        <f aca="false">IF(AZ23&gt;=4,1,0)</f>
        <v>0</v>
      </c>
      <c r="BB23" s="690" t="n">
        <f aca="false">'H.1.Estado_Conserv MABE'!T23</f>
        <v>0</v>
      </c>
      <c r="BC23" s="690" t="n">
        <f aca="false">'H.1.Estado_Conserv MABE'!V23</f>
        <v>0</v>
      </c>
      <c r="BD23" s="708" t="n">
        <f aca="false">(AY23*0.25)+(BA23*0.25)+(BB23*0.25)+(BC23*0.25)</f>
        <v>0</v>
      </c>
      <c r="BE23" s="709" t="n">
        <f aca="false">'H.3.Estado_Conserv.Pozos'!AB23</f>
        <v>0</v>
      </c>
      <c r="BF23" s="710" t="n">
        <f aca="false">+'I.Genero '!H25</f>
        <v>0</v>
      </c>
      <c r="BG23" s="711" t="n">
        <f aca="false">+'I.Genero '!K25</f>
        <v>0</v>
      </c>
      <c r="BH23" s="712" t="n">
        <f aca="false">+(BF23*0.5)+(BG23*0.5)</f>
        <v>0</v>
      </c>
      <c r="BI23" s="713" t="n">
        <f aca="false">IF(+'J.AutoGestionCAPS'!G33&gt;=0.5,1,0)</f>
        <v>0</v>
      </c>
      <c r="BJ23" s="714" t="str">
        <f aca="false">IF(AND($G23=$BJ$4,$F23="MABE"),((O23*'Ind.Sostenib.'!$B$5)+(V23*'Ind.Sostenib.'!$C$5)+(AA23*'Ind.Sostenib.'!$D$5)+(AD23*'Ind.Sostenib.'!$E$5)+(AO23*'Ind.Sostenib.'!$F$5)+(AV23*'Ind.Sostenib.'!$G$5)+(BD23*'Ind.Sostenib.'!$H$5)+(BH23*'Ind.Sostenib.'!$I$5)+(BI23*'Ind.Sostenib.'!$J$5))*100,"")</f>
        <v/>
      </c>
      <c r="BK23" s="714" t="str">
        <f aca="false">IF(AND($G23=$BK$4,$F23="MABE"),((O23*'Ind.Sostenib.'!$B$6)+(V23*'Ind.Sostenib.'!$C$5)+(AA23*'Ind.Sostenib.'!$D$5)+(AD23*'Ind.Sostenib.'!$E$5)+(AO23*'Ind.Sostenib.'!$F$5)+(AV23*'Ind.Sostenib.'!$G$5)+(BD23*'Ind.Sostenib.'!$H$5)+(BH23*'Ind.Sostenib.'!$I$5)+(BI23*'Ind.Sostenib.'!$J$5))*100,"")</f>
        <v/>
      </c>
      <c r="BL23" s="714" t="str">
        <f aca="false">IF(AND(G23=$BL$4,F23="MABE"),((O23*'Ind.Sostenib.'!$B$7)+(V23*'Ind.Sostenib.'!$C$7)+(AA23*'Ind.Sostenib.'!$D$7)+(AD23*'Ind.Sostenib.'!$E$7)+(AO23*'Ind.Sostenib.'!$F$7)+(AV23*'Ind.Sostenib.'!$G$7)+(BD23*'Ind.Sostenib.'!$H$7)+(BH23*'Ind.Sostenib.'!$I$7)+(BI23*'Ind.Sostenib.'!$J$7))*100,"")</f>
        <v/>
      </c>
      <c r="BM23" s="714" t="str">
        <f aca="false">IF(AND(G23=$BM$4,F23="MAG"),((O23*'Ind.Sostenib.'!$B$12)+(V23*'Ind.Sostenib.'!$C$12)+(AA23*'Ind.Sostenib.'!$D$12)+(AD23*'Ind.Sostenib.'!$E$12)+(AO23*'Ind.Sostenib.'!$F$12)+(AV23*'Ind.Sostenib.'!$G$12)+(AW23*'Ind.Sostenib.'!$H$12)+(BH23*'Ind.Sostenib.'!$I$12)+(BI23*'Ind.Sostenib.'!$J$12))*100,"")</f>
        <v/>
      </c>
      <c r="BN23" s="714" t="str">
        <f aca="false">IF(AND(G23=$BN$4,F23="MAG"),((O23*'Ind.Sostenib.'!$B$13)+(V23*'Ind.Sostenib.'!$C$13)+(AA23*'Ind.Sostenib.'!$D$13)+(AD23*'Ind.Sostenib.'!$E$13)+(AO23*'Ind.Sostenib.'!$F$13)+(AV23*'Ind.Sostenib.'!$G$13)+(AW23*'Ind.Sostenib.'!$H$13)+(BH23*'Ind.Sostenib.'!$I$13)+(BI23*'Ind.Sostenib.'!$J$13))*100,"")</f>
        <v/>
      </c>
      <c r="BO23" s="714" t="str">
        <f aca="false">IF(AND(G23=$BO$4,F23="MAG"),((O23*'Ind.Sostenib.'!$B$14)+(V23*'Ind.Sostenib.'!$C$14)+(AA23*'Ind.Sostenib.'!$D$14)+(AD23*'Ind.Sostenib.'!$E$14)+(AO23*'Ind.Sostenib.'!$F$14)+(AV23*'Ind.Sostenib.'!$G$14)+(AW23*'Ind.Sostenib.'!$H$14)+(BH23*'Ind.Sostenib.'!$I$14)+(BI23*'Ind.Sostenib.'!$J$14))*100,"")</f>
        <v/>
      </c>
      <c r="BP23" s="715"/>
      <c r="BQ23" s="714" t="str">
        <f aca="false">IF(AND(G23=$BQ$4,F23&lt;&gt;"MAG",F23&lt;&gt;"MABE"),((O23*'Ind.Sostenib.'!$B$12)+(V23*'Ind.Sostenib.'!$C$12)+(AA23*'Ind.Sostenib.'!$D$12)+(AD23*'Ind.Sostenib.'!$E$12)+(AO23*'Ind.Sostenib.'!$F$12)+(AV23*'Ind.Sostenib.'!$G$12)+(BE23*'Ind.Sostenib.'!$H$12)+(BH23*'Ind.Sostenib.'!$I$12)+(BI23*'Ind.Sostenib.'!$J$12))*100,"")</f>
        <v/>
      </c>
      <c r="BR23" s="714" t="str">
        <f aca="false">IF(AND(G23=$BR$4,F23&lt;&gt;"MABE",F23&lt;&gt;"MAG"),((O23*'Ind.Sostenib.'!$B$13)+(V23*'Ind.Sostenib.'!$C$13)+(AA23*'Ind.Sostenib.'!$D$13)+(AD23*'Ind.Sostenib.'!$E$13)+(AO23*'Ind.Sostenib.'!$F$13)+(AV23*'Ind.Sostenib.'!$G$13)+(BE23*'Ind.Sostenib.'!$H$13)+(BH23*'Ind.Sostenib.'!$I$13)+(BI23*'Ind.Sostenib.'!$J$13))*100,"")</f>
        <v/>
      </c>
      <c r="BS23" s="714" t="str">
        <f aca="false">IF(AND(G23=$BS$4,F23&lt;&gt;"MAG",F23&lt;&gt;"MABE"),((O23*'Ind.Sostenib.'!$B$14)+(V23*'Ind.Sostenib.'!$C$14)+(AA23*'Ind.Sostenib.'!$D$14)+(AD23*'Ind.Sostenib.'!$E$14)+(AO23*'Ind.Sostenib.'!$F$14)+(AV23*'Ind.Sostenib.'!$G$14)+(BE23*'Ind.Sostenib.'!$H$14)+(BH23*'Ind.Sostenib.'!$I$14)+(BI23*'Ind.Sostenib.'!$J$14))*100,"")</f>
        <v/>
      </c>
      <c r="BT23" s="657"/>
      <c r="BU23" s="657"/>
      <c r="BV23" s="657"/>
      <c r="BW23" s="657"/>
    </row>
    <row r="24" s="99" customFormat="true" ht="22.5" hidden="false" customHeight="true" outlineLevel="0" collapsed="false">
      <c r="A24" s="701" t="n">
        <f aca="false">'Listado CAPS'!A22</f>
        <v>0</v>
      </c>
      <c r="B24" s="701" t="n">
        <f aca="false">'Listado CAPS'!B22</f>
        <v>0</v>
      </c>
      <c r="C24" s="701" t="n">
        <f aca="false">'Listado CAPS'!C22</f>
        <v>0</v>
      </c>
      <c r="D24" s="719"/>
      <c r="E24" s="701" t="str">
        <f aca="false">'Listado CAPS'!D22</f>
        <v>S</v>
      </c>
      <c r="F24" s="701" t="n">
        <f aca="false">'Listado CAPS'!E22</f>
        <v>0</v>
      </c>
      <c r="G24" s="702" t="n">
        <f aca="false">'Listado CAPS'!F22</f>
        <v>0</v>
      </c>
      <c r="H24" s="703" t="n">
        <f aca="false">'A.Org_CAPS'!AD282</f>
        <v>0</v>
      </c>
      <c r="I24" s="683" t="n">
        <f aca="false">IF(H24&gt;=60%,1,IF(H24&lt;4,0))</f>
        <v>0</v>
      </c>
      <c r="J24" s="683" t="n">
        <f aca="false">+' A.Legalización '!K25</f>
        <v>0</v>
      </c>
      <c r="K24" s="703" t="n">
        <f aca="false">'A.Org_CAPS'!AG282</f>
        <v>0</v>
      </c>
      <c r="L24" s="683" t="n">
        <f aca="false">IF(K24&gt;=0.5,1,0)</f>
        <v>0</v>
      </c>
      <c r="M24" s="704" t="n">
        <f aca="false">'A.Org_CAPS'!J282</f>
        <v>0</v>
      </c>
      <c r="N24" s="683" t="n">
        <f aca="false">IF(M24&gt;=0.5,1,0)</f>
        <v>0</v>
      </c>
      <c r="O24" s="685" t="n">
        <f aca="false">SUM(I24*0.25+J24*0.25+L24*0.25+N24*0.25)</f>
        <v>0</v>
      </c>
      <c r="P24" s="686" t="n">
        <f aca="false">IF('C.Nivel de Servicio'!F25="Mejorada",1,0)</f>
        <v>0</v>
      </c>
      <c r="Q24" s="686" t="n">
        <f aca="false">IF('C.Nivel de Servicio'!G25="Dentro de la vivienda",1,0)</f>
        <v>0</v>
      </c>
      <c r="R24" s="686" t="n">
        <f aca="false">IF('C.Nivel de Servicio'!H25="Menos de 30 min.",1,0)</f>
        <v>0</v>
      </c>
      <c r="S24" s="686" t="n">
        <f aca="false">IF('C.Nivel de Servicio'!I25="Todo el tiempo tenemos agua",1,0)</f>
        <v>0</v>
      </c>
      <c r="T24" s="686" t="n">
        <f aca="false">IF('C.Nivel de Servicio'!N25="Todo el tiempo tenemos agua",1,0)</f>
        <v>0</v>
      </c>
      <c r="U24" s="686" t="n">
        <f aca="false">IF('C.Nivel de Servicio'!O25="Negativo en E. coli",1,0)</f>
        <v>0</v>
      </c>
      <c r="V24" s="687" t="n">
        <f aca="false">IF('C.Nivel de Servicio'!T25="SEGURA",1,IF('C.Nivel de Servicio'!T25="BÁSICO",0.5,0))</f>
        <v>0.5</v>
      </c>
      <c r="W24" s="688" t="n">
        <f aca="false">'D.RecuperacióndeCostes'!E24</f>
        <v>0</v>
      </c>
      <c r="X24" s="688" t="n">
        <f aca="false">'D.RecuperacióndeCostes'!H24</f>
        <v>0</v>
      </c>
      <c r="Y24" s="688" t="n">
        <f aca="false">'D.RecuperacióndeCostes'!H24</f>
        <v>0</v>
      </c>
      <c r="Z24" s="688" t="n">
        <f aca="false">IF('D.RecuperacióndeCostes'!I24="&lt;5%",1,0)</f>
        <v>0</v>
      </c>
      <c r="AA24" s="687" t="n">
        <f aca="false">0.25*W24+0.25*X24+0.25*Y24+0.25*Z24</f>
        <v>0</v>
      </c>
      <c r="AB24" s="688" t="n">
        <f aca="false">'E.OperaciónyMantenimiento'!E24</f>
        <v>0</v>
      </c>
      <c r="AC24" s="688" t="n">
        <f aca="false">'E.OperaciónyMantenimiento'!F24</f>
        <v>0</v>
      </c>
      <c r="AD24" s="687" t="n">
        <f aca="false">AB24*AC24</f>
        <v>0</v>
      </c>
      <c r="AE24" s="688" t="n">
        <f aca="false">'F.Gestión de riesgos hídricos'!E24</f>
        <v>0</v>
      </c>
      <c r="AF24" s="688" t="n">
        <f aca="false">'F.Gestión de riesgos hídricos'!F24</f>
        <v>0</v>
      </c>
      <c r="AG24" s="688" t="n">
        <f aca="false">'F.Gestión de riesgos hídricos'!G24</f>
        <v>0</v>
      </c>
      <c r="AH24" s="688" t="n">
        <f aca="false">'F.Gestión de riesgos hídricos'!H24</f>
        <v>0</v>
      </c>
      <c r="AI24" s="688" t="n">
        <f aca="false">'F.Gestión de riesgos hídricos'!I24</f>
        <v>0</v>
      </c>
      <c r="AJ24" s="688" t="n">
        <f aca="false">'F.Gestión de riesgos hídricos'!J24</f>
        <v>0</v>
      </c>
      <c r="AK24" s="688" t="n">
        <f aca="false">'F.Gestión de riesgos hídricos'!K24</f>
        <v>0</v>
      </c>
      <c r="AL24" s="688" t="n">
        <f aca="false">'F.Gestión de riesgos hídricos'!L24</f>
        <v>0</v>
      </c>
      <c r="AM24" s="688" t="n">
        <f aca="false">'F.Gestión de riesgos hídricos'!M24</f>
        <v>0</v>
      </c>
      <c r="AN24" s="688" t="n">
        <f aca="false">'F.Gestión de riesgos hídricos'!N24</f>
        <v>0</v>
      </c>
      <c r="AO24" s="705" t="n">
        <f aca="false">SUM(AE24:AN24)/10</f>
        <v>0</v>
      </c>
      <c r="AP24" s="688" t="n">
        <f aca="false">'G.Rendición de cuentas'!E24</f>
        <v>0</v>
      </c>
      <c r="AQ24" s="688" t="n">
        <f aca="false">'G.Rendición de cuentas'!F24</f>
        <v>0</v>
      </c>
      <c r="AR24" s="688" t="n">
        <f aca="false">'G.Rendición de cuentas'!G24</f>
        <v>0</v>
      </c>
      <c r="AS24" s="688" t="n">
        <f aca="false">'G.Rendición de cuentas'!H24</f>
        <v>0</v>
      </c>
      <c r="AT24" s="688" t="n">
        <f aca="false">'G.Rendición de cuentas'!I24</f>
        <v>0</v>
      </c>
      <c r="AU24" s="688" t="n">
        <f aca="false">'G.Rendición de cuentas'!J24</f>
        <v>0</v>
      </c>
      <c r="AV24" s="706" t="n">
        <f aca="false">(AP24*0.25)+(AQ24*0.25)+(AR24*0.125)+(AS24*0.125)+(AT24*0.125)+(AU24*0.125)</f>
        <v>0</v>
      </c>
      <c r="AW24" s="707" t="n">
        <f aca="false">'H.2.Estado_Conserv.MAG'!AC24</f>
        <v>0</v>
      </c>
      <c r="AX24" s="690" t="n">
        <f aca="false">'H.1.Estado_Conserv MABE'!K24</f>
        <v>0</v>
      </c>
      <c r="AY24" s="690" t="n">
        <f aca="false">IF(AX24&gt;=3,1,0)</f>
        <v>0</v>
      </c>
      <c r="AZ24" s="690" t="n">
        <f aca="false">'H.1.Estado_Conserv MABE'!R40</f>
        <v>0</v>
      </c>
      <c r="BA24" s="690" t="n">
        <f aca="false">IF(AZ24&gt;=4,1,0)</f>
        <v>0</v>
      </c>
      <c r="BB24" s="690" t="n">
        <f aca="false">'H.1.Estado_Conserv MABE'!T24</f>
        <v>0</v>
      </c>
      <c r="BC24" s="690" t="n">
        <f aca="false">'H.1.Estado_Conserv MABE'!V24</f>
        <v>0</v>
      </c>
      <c r="BD24" s="708" t="n">
        <f aca="false">(AY24*0.25)+(BA24*0.25)+(BB24*0.25)+(BC24*0.25)</f>
        <v>0</v>
      </c>
      <c r="BE24" s="709" t="n">
        <f aca="false">'H.3.Estado_Conserv.Pozos'!AB24</f>
        <v>0</v>
      </c>
      <c r="BF24" s="710" t="n">
        <f aca="false">+'I.Genero '!H26</f>
        <v>0</v>
      </c>
      <c r="BG24" s="711" t="n">
        <f aca="false">+'I.Genero '!K26</f>
        <v>0</v>
      </c>
      <c r="BH24" s="712" t="n">
        <f aca="false">+(BF24*0.5)+(BG24*0.5)</f>
        <v>0</v>
      </c>
      <c r="BI24" s="713" t="n">
        <f aca="false">IF(+'J.AutoGestionCAPS'!G34&gt;=0.5,1,0)</f>
        <v>0</v>
      </c>
      <c r="BJ24" s="714" t="str">
        <f aca="false">IF(AND($G24=$BJ$4,$F24="MABE"),((O24*'Ind.Sostenib.'!$B$5)+(V24*'Ind.Sostenib.'!$C$5)+(AA24*'Ind.Sostenib.'!$D$5)+(AD24*'Ind.Sostenib.'!$E$5)+(AO24*'Ind.Sostenib.'!$F$5)+(AV24*'Ind.Sostenib.'!$G$5)+(BD24*'Ind.Sostenib.'!$H$5)+(BH24*'Ind.Sostenib.'!$I$5)+(BI24*'Ind.Sostenib.'!$J$5))*100,"")</f>
        <v/>
      </c>
      <c r="BK24" s="714" t="str">
        <f aca="false">IF(AND($G24=$BK$4,$F24="MABE"),((O24*'Ind.Sostenib.'!$B$6)+(V24*'Ind.Sostenib.'!$C$5)+(AA24*'Ind.Sostenib.'!$D$5)+(AD24*'Ind.Sostenib.'!$E$5)+(AO24*'Ind.Sostenib.'!$F$5)+(AV24*'Ind.Sostenib.'!$G$5)+(BD24*'Ind.Sostenib.'!$H$5)+(BH24*'Ind.Sostenib.'!$I$5)+(BI24*'Ind.Sostenib.'!$J$5))*100,"")</f>
        <v/>
      </c>
      <c r="BL24" s="714" t="str">
        <f aca="false">IF(AND(G24=$BL$4,F24="MABE"),((O24*'Ind.Sostenib.'!$B$7)+(V24*'Ind.Sostenib.'!$C$7)+(AA24*'Ind.Sostenib.'!$D$7)+(AD24*'Ind.Sostenib.'!$E$7)+(AO24*'Ind.Sostenib.'!$F$7)+(AV24*'Ind.Sostenib.'!$G$7)+(BD24*'Ind.Sostenib.'!$H$7)+(BH24*'Ind.Sostenib.'!$I$7)+(BI24*'Ind.Sostenib.'!$J$7))*100,"")</f>
        <v/>
      </c>
      <c r="BM24" s="714" t="str">
        <f aca="false">IF(AND(G24=$BM$4,F24="MAG"),((O24*'Ind.Sostenib.'!$B$12)+(V24*'Ind.Sostenib.'!$C$12)+(AA24*'Ind.Sostenib.'!$D$12)+(AD24*'Ind.Sostenib.'!$E$12)+(AO24*'Ind.Sostenib.'!$F$12)+(AV24*'Ind.Sostenib.'!$G$12)+(AW24*'Ind.Sostenib.'!$H$12)+(BH24*'Ind.Sostenib.'!$I$12)+(BI24*'Ind.Sostenib.'!$J$12))*100,"")</f>
        <v/>
      </c>
      <c r="BN24" s="714" t="str">
        <f aca="false">IF(AND(G24=$BN$4,F24="MAG"),((O24*'Ind.Sostenib.'!$B$13)+(V24*'Ind.Sostenib.'!$C$13)+(AA24*'Ind.Sostenib.'!$D$13)+(AD24*'Ind.Sostenib.'!$E$13)+(AO24*'Ind.Sostenib.'!$F$13)+(AV24*'Ind.Sostenib.'!$G$13)+(AW24*'Ind.Sostenib.'!$H$13)+(BH24*'Ind.Sostenib.'!$I$13)+(BI24*'Ind.Sostenib.'!$J$13))*100,"")</f>
        <v/>
      </c>
      <c r="BO24" s="714" t="str">
        <f aca="false">IF(AND(G24=$BO$4,F24="MAG"),((O24*'Ind.Sostenib.'!$B$14)+(V24*'Ind.Sostenib.'!$C$14)+(AA24*'Ind.Sostenib.'!$D$14)+(AD24*'Ind.Sostenib.'!$E$14)+(AO24*'Ind.Sostenib.'!$F$14)+(AV24*'Ind.Sostenib.'!$G$14)+(AW24*'Ind.Sostenib.'!$H$14)+(BH24*'Ind.Sostenib.'!$I$14)+(BI24*'Ind.Sostenib.'!$J$14))*100,"")</f>
        <v/>
      </c>
      <c r="BP24" s="715"/>
      <c r="BQ24" s="714" t="str">
        <f aca="false">IF(AND(G24=$BQ$4,F24&lt;&gt;"MAG",F24&lt;&gt;"MABE"),((O24*'Ind.Sostenib.'!$B$12)+(V24*'Ind.Sostenib.'!$C$12)+(AA24*'Ind.Sostenib.'!$D$12)+(AD24*'Ind.Sostenib.'!$E$12)+(AO24*'Ind.Sostenib.'!$F$12)+(AV24*'Ind.Sostenib.'!$G$12)+(BE24*'Ind.Sostenib.'!$H$12)+(BH24*'Ind.Sostenib.'!$I$12)+(BI24*'Ind.Sostenib.'!$J$12))*100,"")</f>
        <v/>
      </c>
      <c r="BR24" s="714" t="str">
        <f aca="false">IF(AND(G24=$BR$4,F24&lt;&gt;"MABE",F24&lt;&gt;"MAG"),((O24*'Ind.Sostenib.'!$B$13)+(V24*'Ind.Sostenib.'!$C$13)+(AA24*'Ind.Sostenib.'!$D$13)+(AD24*'Ind.Sostenib.'!$E$13)+(AO24*'Ind.Sostenib.'!$F$13)+(AV24*'Ind.Sostenib.'!$G$13)+(BE24*'Ind.Sostenib.'!$H$13)+(BH24*'Ind.Sostenib.'!$I$13)+(BI24*'Ind.Sostenib.'!$J$13))*100,"")</f>
        <v/>
      </c>
      <c r="BS24" s="714" t="str">
        <f aca="false">IF(AND(G24=$BS$4,F24&lt;&gt;"MAG",F24&lt;&gt;"MABE"),((O24*'Ind.Sostenib.'!$B$14)+(V24*'Ind.Sostenib.'!$C$14)+(AA24*'Ind.Sostenib.'!$D$14)+(AD24*'Ind.Sostenib.'!$E$14)+(AO24*'Ind.Sostenib.'!$F$14)+(AV24*'Ind.Sostenib.'!$G$14)+(BE24*'Ind.Sostenib.'!$H$14)+(BH24*'Ind.Sostenib.'!$I$14)+(BI24*'Ind.Sostenib.'!$J$14))*100,"")</f>
        <v/>
      </c>
      <c r="BT24" s="657"/>
      <c r="BU24" s="657"/>
      <c r="BV24" s="657"/>
      <c r="BW24" s="657"/>
    </row>
    <row r="25" s="99" customFormat="true" ht="22.5" hidden="false" customHeight="true" outlineLevel="0" collapsed="false">
      <c r="A25" s="701" t="n">
        <f aca="false">'Listado CAPS'!A23</f>
        <v>0</v>
      </c>
      <c r="B25" s="701" t="n">
        <f aca="false">'Listado CAPS'!B23</f>
        <v>0</v>
      </c>
      <c r="C25" s="701" t="n">
        <f aca="false">'Listado CAPS'!C23</f>
        <v>0</v>
      </c>
      <c r="D25" s="719"/>
      <c r="E25" s="701" t="str">
        <f aca="false">'Listado CAPS'!D23</f>
        <v>T</v>
      </c>
      <c r="F25" s="701" t="n">
        <f aca="false">'Listado CAPS'!E23</f>
        <v>0</v>
      </c>
      <c r="G25" s="702" t="n">
        <f aca="false">'Listado CAPS'!F23</f>
        <v>0</v>
      </c>
      <c r="H25" s="703" t="n">
        <f aca="false">'A.Org_CAPS'!AD296</f>
        <v>0</v>
      </c>
      <c r="I25" s="683" t="n">
        <f aca="false">IF(H25&gt;=60%,1,IF(H25&lt;4,0))</f>
        <v>0</v>
      </c>
      <c r="J25" s="683" t="n">
        <f aca="false">+' A.Legalización '!K26</f>
        <v>0</v>
      </c>
      <c r="K25" s="703" t="n">
        <f aca="false">'A.Org_CAPS'!AG296</f>
        <v>0</v>
      </c>
      <c r="L25" s="683" t="n">
        <f aca="false">IF(K25&gt;=0.5,1,0)</f>
        <v>0</v>
      </c>
      <c r="M25" s="704" t="n">
        <f aca="false">'A.Org_CAPS'!J296</f>
        <v>0</v>
      </c>
      <c r="N25" s="683" t="n">
        <f aca="false">IF(M25&gt;=0.5,1,0)</f>
        <v>0</v>
      </c>
      <c r="O25" s="685" t="n">
        <f aca="false">SUM(I25*0.25+J25*0.25+L25*0.25+N25*0.25)</f>
        <v>0</v>
      </c>
      <c r="P25" s="686" t="n">
        <f aca="false">IF('C.Nivel de Servicio'!F26="Mejorada",1,0)</f>
        <v>0</v>
      </c>
      <c r="Q25" s="686" t="n">
        <f aca="false">IF('C.Nivel de Servicio'!G26="Dentro de la vivienda",1,0)</f>
        <v>0</v>
      </c>
      <c r="R25" s="686" t="n">
        <f aca="false">IF('C.Nivel de Servicio'!H26="Menos de 30 min.",1,0)</f>
        <v>0</v>
      </c>
      <c r="S25" s="686" t="n">
        <f aca="false">IF('C.Nivel de Servicio'!I26="Todo el tiempo tenemos agua",1,0)</f>
        <v>0</v>
      </c>
      <c r="T25" s="686" t="n">
        <f aca="false">IF('C.Nivel de Servicio'!N26="Todo el tiempo tenemos agua",1,0)</f>
        <v>0</v>
      </c>
      <c r="U25" s="686" t="n">
        <f aca="false">IF('C.Nivel de Servicio'!O26="Negativo en E. coli",1,0)</f>
        <v>0</v>
      </c>
      <c r="V25" s="687" t="n">
        <f aca="false">IF('C.Nivel de Servicio'!T26="SEGURA",1,IF('C.Nivel de Servicio'!T26="BÁSICO",0.5,0))</f>
        <v>0.5</v>
      </c>
      <c r="W25" s="688" t="n">
        <f aca="false">'D.RecuperacióndeCostes'!E25</f>
        <v>0</v>
      </c>
      <c r="X25" s="688" t="n">
        <f aca="false">'D.RecuperacióndeCostes'!H25</f>
        <v>0</v>
      </c>
      <c r="Y25" s="688" t="n">
        <f aca="false">'D.RecuperacióndeCostes'!H25</f>
        <v>0</v>
      </c>
      <c r="Z25" s="688" t="n">
        <f aca="false">IF('D.RecuperacióndeCostes'!I25="&lt;5%",1,0)</f>
        <v>0</v>
      </c>
      <c r="AA25" s="687" t="n">
        <f aca="false">0.25*W25+0.25*X25+0.25*Y25+0.25*Z25</f>
        <v>0</v>
      </c>
      <c r="AB25" s="688" t="n">
        <f aca="false">'E.OperaciónyMantenimiento'!E25</f>
        <v>0</v>
      </c>
      <c r="AC25" s="688" t="n">
        <f aca="false">'E.OperaciónyMantenimiento'!F25</f>
        <v>0</v>
      </c>
      <c r="AD25" s="687" t="n">
        <f aca="false">AB25*AC25</f>
        <v>0</v>
      </c>
      <c r="AE25" s="688" t="n">
        <f aca="false">'F.Gestión de riesgos hídricos'!E25</f>
        <v>0</v>
      </c>
      <c r="AF25" s="688" t="n">
        <f aca="false">'F.Gestión de riesgos hídricos'!F25</f>
        <v>0</v>
      </c>
      <c r="AG25" s="688" t="n">
        <f aca="false">'F.Gestión de riesgos hídricos'!G25</f>
        <v>0</v>
      </c>
      <c r="AH25" s="688" t="n">
        <f aca="false">'F.Gestión de riesgos hídricos'!H25</f>
        <v>0</v>
      </c>
      <c r="AI25" s="688" t="n">
        <f aca="false">'F.Gestión de riesgos hídricos'!I25</f>
        <v>0</v>
      </c>
      <c r="AJ25" s="688" t="n">
        <f aca="false">'F.Gestión de riesgos hídricos'!J25</f>
        <v>0</v>
      </c>
      <c r="AK25" s="688" t="n">
        <f aca="false">'F.Gestión de riesgos hídricos'!K25</f>
        <v>0</v>
      </c>
      <c r="AL25" s="688" t="n">
        <f aca="false">'F.Gestión de riesgos hídricos'!L25</f>
        <v>0</v>
      </c>
      <c r="AM25" s="688" t="n">
        <f aca="false">'F.Gestión de riesgos hídricos'!M25</f>
        <v>0</v>
      </c>
      <c r="AN25" s="688" t="n">
        <f aca="false">'F.Gestión de riesgos hídricos'!N25</f>
        <v>0</v>
      </c>
      <c r="AO25" s="705" t="n">
        <f aca="false">SUM(AE25:AN25)/10</f>
        <v>0</v>
      </c>
      <c r="AP25" s="688" t="n">
        <f aca="false">'G.Rendición de cuentas'!E25</f>
        <v>0</v>
      </c>
      <c r="AQ25" s="688" t="n">
        <f aca="false">'G.Rendición de cuentas'!F25</f>
        <v>0</v>
      </c>
      <c r="AR25" s="688" t="n">
        <f aca="false">'G.Rendición de cuentas'!G25</f>
        <v>0</v>
      </c>
      <c r="AS25" s="688" t="n">
        <f aca="false">'G.Rendición de cuentas'!H25</f>
        <v>0</v>
      </c>
      <c r="AT25" s="688" t="n">
        <f aca="false">'G.Rendición de cuentas'!I25</f>
        <v>0</v>
      </c>
      <c r="AU25" s="688" t="n">
        <f aca="false">'G.Rendición de cuentas'!J25</f>
        <v>0</v>
      </c>
      <c r="AV25" s="706" t="n">
        <f aca="false">(AP25*0.25)+(AQ25*0.25)+(AR25*0.125)+(AS25*0.125)+(AT25*0.125)+(AU25*0.125)</f>
        <v>0</v>
      </c>
      <c r="AW25" s="707" t="n">
        <f aca="false">'H.2.Estado_Conserv.MAG'!AC25</f>
        <v>0</v>
      </c>
      <c r="AX25" s="690" t="n">
        <f aca="false">'H.1.Estado_Conserv MABE'!K25</f>
        <v>0</v>
      </c>
      <c r="AY25" s="690" t="n">
        <f aca="false">IF(AX25&gt;=3,1,0)</f>
        <v>0</v>
      </c>
      <c r="AZ25" s="690" t="n">
        <f aca="false">'H.1.Estado_Conserv MABE'!R41</f>
        <v>0</v>
      </c>
      <c r="BA25" s="690" t="n">
        <f aca="false">IF(AZ25&gt;=4,1,0)</f>
        <v>0</v>
      </c>
      <c r="BB25" s="690" t="n">
        <f aca="false">'H.1.Estado_Conserv MABE'!T25</f>
        <v>0</v>
      </c>
      <c r="BC25" s="690" t="n">
        <f aca="false">'H.1.Estado_Conserv MABE'!V25</f>
        <v>0</v>
      </c>
      <c r="BD25" s="708" t="n">
        <f aca="false">(AY25*0.25)+(BA25*0.25)+(BB25*0.25)+(BC25*0.25)</f>
        <v>0</v>
      </c>
      <c r="BE25" s="709" t="n">
        <f aca="false">'H.3.Estado_Conserv.Pozos'!AB25</f>
        <v>0</v>
      </c>
      <c r="BF25" s="710" t="n">
        <f aca="false">+'I.Genero '!H27</f>
        <v>0</v>
      </c>
      <c r="BG25" s="711" t="n">
        <f aca="false">+'I.Genero '!K27</f>
        <v>0</v>
      </c>
      <c r="BH25" s="712" t="n">
        <f aca="false">+(BF25*0.5)+(BG25*0.5)</f>
        <v>0</v>
      </c>
      <c r="BI25" s="713" t="n">
        <f aca="false">IF(+'J.AutoGestionCAPS'!G35&gt;=0.5,1,0)</f>
        <v>0</v>
      </c>
      <c r="BJ25" s="714" t="str">
        <f aca="false">IF(AND($G25=$BJ$4,$F25="MABE"),((O25*'Ind.Sostenib.'!$B$5)+(V25*'Ind.Sostenib.'!$C$5)+(AA25*'Ind.Sostenib.'!$D$5)+(AD25*'Ind.Sostenib.'!$E$5)+(AO25*'Ind.Sostenib.'!$F$5)+(AV25*'Ind.Sostenib.'!$G$5)+(BD25*'Ind.Sostenib.'!$H$5)+(BH25*'Ind.Sostenib.'!$I$5)+(BI25*'Ind.Sostenib.'!$J$5))*100,"")</f>
        <v/>
      </c>
      <c r="BK25" s="714" t="str">
        <f aca="false">IF(AND($G25=$BK$4,$F25="MABE"),((O25*'Ind.Sostenib.'!$B$6)+(V25*'Ind.Sostenib.'!$C$5)+(AA25*'Ind.Sostenib.'!$D$5)+(AD25*'Ind.Sostenib.'!$E$5)+(AO25*'Ind.Sostenib.'!$F$5)+(AV25*'Ind.Sostenib.'!$G$5)+(BD25*'Ind.Sostenib.'!$H$5)+(BH25*'Ind.Sostenib.'!$I$5)+(BI25*'Ind.Sostenib.'!$J$5))*100,"")</f>
        <v/>
      </c>
      <c r="BL25" s="714" t="str">
        <f aca="false">IF(AND(G25=$BL$4,F25="MABE"),((O25*'Ind.Sostenib.'!$B$7)+(V25*'Ind.Sostenib.'!$C$7)+(AA25*'Ind.Sostenib.'!$D$7)+(AD25*'Ind.Sostenib.'!$E$7)+(AO25*'Ind.Sostenib.'!$F$7)+(AV25*'Ind.Sostenib.'!$G$7)+(BD25*'Ind.Sostenib.'!$H$7)+(BH25*'Ind.Sostenib.'!$I$7)+(BI25*'Ind.Sostenib.'!$J$7))*100,"")</f>
        <v/>
      </c>
      <c r="BM25" s="714" t="str">
        <f aca="false">IF(AND(G25=$BM$4,F25="MAG"),((O25*'Ind.Sostenib.'!$B$12)+(V25*'Ind.Sostenib.'!$C$12)+(AA25*'Ind.Sostenib.'!$D$12)+(AD25*'Ind.Sostenib.'!$E$12)+(AO25*'Ind.Sostenib.'!$F$12)+(AV25*'Ind.Sostenib.'!$G$12)+(AW25*'Ind.Sostenib.'!$H$12)+(BH25*'Ind.Sostenib.'!$I$12)+(BI25*'Ind.Sostenib.'!$J$12))*100,"")</f>
        <v/>
      </c>
      <c r="BN25" s="714" t="str">
        <f aca="false">IF(AND(G25=$BN$4,F25="MAG"),((O25*'Ind.Sostenib.'!$B$13)+(V25*'Ind.Sostenib.'!$C$13)+(AA25*'Ind.Sostenib.'!$D$13)+(AD25*'Ind.Sostenib.'!$E$13)+(AO25*'Ind.Sostenib.'!$F$13)+(AV25*'Ind.Sostenib.'!$G$13)+(AW25*'Ind.Sostenib.'!$H$13)+(BH25*'Ind.Sostenib.'!$I$13)+(BI25*'Ind.Sostenib.'!$J$13))*100,"")</f>
        <v/>
      </c>
      <c r="BO25" s="714" t="str">
        <f aca="false">IF(AND(G25=$BO$4,F25="MAG"),((O25*'Ind.Sostenib.'!$B$14)+(V25*'Ind.Sostenib.'!$C$14)+(AA25*'Ind.Sostenib.'!$D$14)+(AD25*'Ind.Sostenib.'!$E$14)+(AO25*'Ind.Sostenib.'!$F$14)+(AV25*'Ind.Sostenib.'!$G$14)+(AW25*'Ind.Sostenib.'!$H$14)+(BH25*'Ind.Sostenib.'!$I$14)+(BI25*'Ind.Sostenib.'!$J$14))*100,"")</f>
        <v/>
      </c>
      <c r="BP25" s="715"/>
      <c r="BQ25" s="714" t="str">
        <f aca="false">IF(AND(G25=$BQ$4,F25&lt;&gt;"MAG",F25&lt;&gt;"MABE"),((O25*'Ind.Sostenib.'!$B$12)+(V25*'Ind.Sostenib.'!$C$12)+(AA25*'Ind.Sostenib.'!$D$12)+(AD25*'Ind.Sostenib.'!$E$12)+(AO25*'Ind.Sostenib.'!$F$12)+(AV25*'Ind.Sostenib.'!$G$12)+(BE25*'Ind.Sostenib.'!$H$12)+(BH25*'Ind.Sostenib.'!$I$12)+(BI25*'Ind.Sostenib.'!$J$12))*100,"")</f>
        <v/>
      </c>
      <c r="BR25" s="714" t="str">
        <f aca="false">IF(AND(G25=$BR$4,F25&lt;&gt;"MABE",F25&lt;&gt;"MAG"),((O25*'Ind.Sostenib.'!$B$13)+(V25*'Ind.Sostenib.'!$C$13)+(AA25*'Ind.Sostenib.'!$D$13)+(AD25*'Ind.Sostenib.'!$E$13)+(AO25*'Ind.Sostenib.'!$F$13)+(AV25*'Ind.Sostenib.'!$G$13)+(BE25*'Ind.Sostenib.'!$H$13)+(BH25*'Ind.Sostenib.'!$I$13)+(BI25*'Ind.Sostenib.'!$J$13))*100,"")</f>
        <v/>
      </c>
      <c r="BS25" s="714" t="str">
        <f aca="false">IF(AND(G25=$BS$4,F25&lt;&gt;"MAG",F25&lt;&gt;"MABE"),((O25*'Ind.Sostenib.'!$B$14)+(V25*'Ind.Sostenib.'!$C$14)+(AA25*'Ind.Sostenib.'!$D$14)+(AD25*'Ind.Sostenib.'!$E$14)+(AO25*'Ind.Sostenib.'!$F$14)+(AV25*'Ind.Sostenib.'!$G$14)+(BE25*'Ind.Sostenib.'!$H$14)+(BH25*'Ind.Sostenib.'!$I$14)+(BI25*'Ind.Sostenib.'!$J$14))*100,"")</f>
        <v/>
      </c>
      <c r="BT25" s="657"/>
      <c r="BU25" s="657"/>
      <c r="BV25" s="657"/>
      <c r="BW25" s="657"/>
    </row>
    <row r="26" s="99" customFormat="true" ht="22.5" hidden="false" customHeight="true" outlineLevel="0" collapsed="false">
      <c r="A26" s="701" t="n">
        <f aca="false">'Listado CAPS'!A24</f>
        <v>0</v>
      </c>
      <c r="B26" s="701" t="n">
        <f aca="false">'Listado CAPS'!B24</f>
        <v>0</v>
      </c>
      <c r="C26" s="701" t="n">
        <f aca="false">'Listado CAPS'!C24</f>
        <v>0</v>
      </c>
      <c r="D26" s="719"/>
      <c r="E26" s="701" t="str">
        <f aca="false">'Listado CAPS'!D24</f>
        <v>U</v>
      </c>
      <c r="F26" s="701" t="n">
        <f aca="false">'Listado CAPS'!E24</f>
        <v>0</v>
      </c>
      <c r="G26" s="702" t="n">
        <f aca="false">'Listado CAPS'!F24</f>
        <v>0</v>
      </c>
      <c r="H26" s="703" t="n">
        <f aca="false">'A.Org_CAPS'!AD310</f>
        <v>0</v>
      </c>
      <c r="I26" s="683" t="n">
        <f aca="false">IF(H26&gt;=60%,1,IF(H26&lt;4,0))</f>
        <v>0</v>
      </c>
      <c r="J26" s="683" t="n">
        <f aca="false">+' A.Legalización '!K27</f>
        <v>0</v>
      </c>
      <c r="K26" s="703" t="n">
        <f aca="false">'A.Org_CAPS'!AG310</f>
        <v>0</v>
      </c>
      <c r="L26" s="683" t="n">
        <f aca="false">IF(K26&gt;=0.5,1,0)</f>
        <v>0</v>
      </c>
      <c r="M26" s="704" t="n">
        <f aca="false">'A.Org_CAPS'!J310</f>
        <v>0</v>
      </c>
      <c r="N26" s="683" t="n">
        <f aca="false">IF(M26&gt;=0.5,1,0)</f>
        <v>0</v>
      </c>
      <c r="O26" s="685" t="n">
        <f aca="false">SUM(I26*0.25+J26*0.25+L26*0.25+N26*0.25)</f>
        <v>0</v>
      </c>
      <c r="P26" s="686" t="n">
        <f aca="false">IF('C.Nivel de Servicio'!F27="Mejorada",1,0)</f>
        <v>0</v>
      </c>
      <c r="Q26" s="686" t="n">
        <f aca="false">IF('C.Nivel de Servicio'!G27="Dentro de la vivienda",1,0)</f>
        <v>0</v>
      </c>
      <c r="R26" s="686" t="n">
        <f aca="false">IF('C.Nivel de Servicio'!H27="Menos de 30 min.",1,0)</f>
        <v>0</v>
      </c>
      <c r="S26" s="686" t="n">
        <f aca="false">IF('C.Nivel de Servicio'!I27="Todo el tiempo tenemos agua",1,0)</f>
        <v>0</v>
      </c>
      <c r="T26" s="686" t="n">
        <f aca="false">IF('C.Nivel de Servicio'!N27="Todo el tiempo tenemos agua",1,0)</f>
        <v>0</v>
      </c>
      <c r="U26" s="686" t="n">
        <f aca="false">IF('C.Nivel de Servicio'!O27="Negativo en E. coli",1,0)</f>
        <v>0</v>
      </c>
      <c r="V26" s="687" t="n">
        <f aca="false">IF('C.Nivel de Servicio'!T27="SEGURA",1,IF('C.Nivel de Servicio'!T27="BÁSICO",0.5,0))</f>
        <v>0.5</v>
      </c>
      <c r="W26" s="688" t="n">
        <f aca="false">'D.RecuperacióndeCostes'!E26</f>
        <v>0</v>
      </c>
      <c r="X26" s="688" t="n">
        <f aca="false">'D.RecuperacióndeCostes'!H26</f>
        <v>0</v>
      </c>
      <c r="Y26" s="688" t="n">
        <f aca="false">'D.RecuperacióndeCostes'!H26</f>
        <v>0</v>
      </c>
      <c r="Z26" s="688" t="n">
        <f aca="false">IF('D.RecuperacióndeCostes'!I26="&lt;5%",1,0)</f>
        <v>0</v>
      </c>
      <c r="AA26" s="687" t="n">
        <f aca="false">0.25*W26+0.25*X26+0.25*Y26+0.25*Z26</f>
        <v>0</v>
      </c>
      <c r="AB26" s="688" t="n">
        <f aca="false">'E.OperaciónyMantenimiento'!E26</f>
        <v>0</v>
      </c>
      <c r="AC26" s="688" t="n">
        <f aca="false">'E.OperaciónyMantenimiento'!F26</f>
        <v>0</v>
      </c>
      <c r="AD26" s="687" t="n">
        <f aca="false">AB26*AC26</f>
        <v>0</v>
      </c>
      <c r="AE26" s="688" t="n">
        <f aca="false">'F.Gestión de riesgos hídricos'!E26</f>
        <v>0</v>
      </c>
      <c r="AF26" s="688" t="n">
        <f aca="false">'F.Gestión de riesgos hídricos'!F26</f>
        <v>0</v>
      </c>
      <c r="AG26" s="688" t="n">
        <f aca="false">'F.Gestión de riesgos hídricos'!G26</f>
        <v>0</v>
      </c>
      <c r="AH26" s="688" t="n">
        <f aca="false">'F.Gestión de riesgos hídricos'!H26</f>
        <v>0</v>
      </c>
      <c r="AI26" s="688" t="n">
        <f aca="false">'F.Gestión de riesgos hídricos'!I26</f>
        <v>0</v>
      </c>
      <c r="AJ26" s="688" t="n">
        <f aca="false">'F.Gestión de riesgos hídricos'!J26</f>
        <v>0</v>
      </c>
      <c r="AK26" s="688" t="n">
        <f aca="false">'F.Gestión de riesgos hídricos'!K26</f>
        <v>0</v>
      </c>
      <c r="AL26" s="688" t="n">
        <f aca="false">'F.Gestión de riesgos hídricos'!L26</f>
        <v>0</v>
      </c>
      <c r="AM26" s="688" t="n">
        <f aca="false">'F.Gestión de riesgos hídricos'!M26</f>
        <v>0</v>
      </c>
      <c r="AN26" s="688" t="n">
        <f aca="false">'F.Gestión de riesgos hídricos'!N26</f>
        <v>0</v>
      </c>
      <c r="AO26" s="705" t="n">
        <f aca="false">SUM(AE26:AN26)/10</f>
        <v>0</v>
      </c>
      <c r="AP26" s="688" t="n">
        <f aca="false">'G.Rendición de cuentas'!E26</f>
        <v>0</v>
      </c>
      <c r="AQ26" s="688" t="n">
        <f aca="false">'G.Rendición de cuentas'!F26</f>
        <v>0</v>
      </c>
      <c r="AR26" s="688" t="n">
        <f aca="false">'G.Rendición de cuentas'!G26</f>
        <v>0</v>
      </c>
      <c r="AS26" s="688" t="n">
        <f aca="false">'G.Rendición de cuentas'!H26</f>
        <v>0</v>
      </c>
      <c r="AT26" s="688" t="n">
        <f aca="false">'G.Rendición de cuentas'!I26</f>
        <v>0</v>
      </c>
      <c r="AU26" s="688" t="n">
        <f aca="false">'G.Rendición de cuentas'!J26</f>
        <v>0</v>
      </c>
      <c r="AV26" s="706" t="n">
        <f aca="false">(AP26*0.25)+(AQ26*0.25)+(AR26*0.125)+(AS26*0.125)+(AT26*0.125)+(AU26*0.125)</f>
        <v>0</v>
      </c>
      <c r="AW26" s="707" t="n">
        <f aca="false">'H.2.Estado_Conserv.MAG'!AC26</f>
        <v>0</v>
      </c>
      <c r="AX26" s="690" t="n">
        <f aca="false">'H.1.Estado_Conserv MABE'!K26</f>
        <v>0</v>
      </c>
      <c r="AY26" s="690" t="n">
        <f aca="false">IF(AX26&gt;=3,1,0)</f>
        <v>0</v>
      </c>
      <c r="AZ26" s="690" t="n">
        <f aca="false">'H.1.Estado_Conserv MABE'!R42</f>
        <v>0</v>
      </c>
      <c r="BA26" s="690" t="n">
        <f aca="false">IF(AZ26&gt;=4,1,0)</f>
        <v>0</v>
      </c>
      <c r="BB26" s="690" t="n">
        <f aca="false">'H.1.Estado_Conserv MABE'!T26</f>
        <v>0</v>
      </c>
      <c r="BC26" s="690" t="n">
        <f aca="false">'H.1.Estado_Conserv MABE'!V26</f>
        <v>0</v>
      </c>
      <c r="BD26" s="708" t="n">
        <f aca="false">(AY26*0.25)+(BA26*0.25)+(BB26*0.25)+(BC26*0.25)</f>
        <v>0</v>
      </c>
      <c r="BE26" s="709" t="n">
        <f aca="false">'H.3.Estado_Conserv.Pozos'!AB26</f>
        <v>0</v>
      </c>
      <c r="BF26" s="710" t="n">
        <f aca="false">+'I.Genero '!H28</f>
        <v>0</v>
      </c>
      <c r="BG26" s="711" t="n">
        <f aca="false">+'I.Genero '!K28</f>
        <v>0</v>
      </c>
      <c r="BH26" s="712" t="n">
        <f aca="false">+(BF26*0.5)+(BG26*0.5)</f>
        <v>0</v>
      </c>
      <c r="BI26" s="713" t="n">
        <f aca="false">IF(+'J.AutoGestionCAPS'!G36&gt;=0.5,1,0)</f>
        <v>0</v>
      </c>
      <c r="BJ26" s="714" t="str">
        <f aca="false">IF(AND($G26=$BJ$4,$F26="MABE"),((O26*'Ind.Sostenib.'!$B$5)+(V26*'Ind.Sostenib.'!$C$5)+(AA26*'Ind.Sostenib.'!$D$5)+(AD26*'Ind.Sostenib.'!$E$5)+(AO26*'Ind.Sostenib.'!$F$5)+(AV26*'Ind.Sostenib.'!$G$5)+(BD26*'Ind.Sostenib.'!$H$5)+(BH26*'Ind.Sostenib.'!$I$5)+(BI26*'Ind.Sostenib.'!$J$5))*100,"")</f>
        <v/>
      </c>
      <c r="BK26" s="714" t="str">
        <f aca="false">IF(AND($G26=$BK$4,$F26="MABE"),((O26*'Ind.Sostenib.'!$B$6)+(V26*'Ind.Sostenib.'!$C$5)+(AA26*'Ind.Sostenib.'!$D$5)+(AD26*'Ind.Sostenib.'!$E$5)+(AO26*'Ind.Sostenib.'!$F$5)+(AV26*'Ind.Sostenib.'!$G$5)+(BD26*'Ind.Sostenib.'!$H$5)+(BH26*'Ind.Sostenib.'!$I$5)+(BI26*'Ind.Sostenib.'!$J$5))*100,"")</f>
        <v/>
      </c>
      <c r="BL26" s="714" t="str">
        <f aca="false">IF(AND(G26=$BL$4,F26="MABE"),((O26*'Ind.Sostenib.'!$B$7)+(V26*'Ind.Sostenib.'!$C$7)+(AA26*'Ind.Sostenib.'!$D$7)+(AD26*'Ind.Sostenib.'!$E$7)+(AO26*'Ind.Sostenib.'!$F$7)+(AV26*'Ind.Sostenib.'!$G$7)+(BD26*'Ind.Sostenib.'!$H$7)+(BH26*'Ind.Sostenib.'!$I$7)+(BI26*'Ind.Sostenib.'!$J$7))*100,"")</f>
        <v/>
      </c>
      <c r="BM26" s="714" t="str">
        <f aca="false">IF(AND(G26=$BM$4,F26="MAG"),((O26*'Ind.Sostenib.'!$B$12)+(V26*'Ind.Sostenib.'!$C$12)+(AA26*'Ind.Sostenib.'!$D$12)+(AD26*'Ind.Sostenib.'!$E$12)+(AO26*'Ind.Sostenib.'!$F$12)+(AV26*'Ind.Sostenib.'!$G$12)+(AW26*'Ind.Sostenib.'!$H$12)+(BH26*'Ind.Sostenib.'!$I$12)+(BI26*'Ind.Sostenib.'!$J$12))*100,"")</f>
        <v/>
      </c>
      <c r="BN26" s="714" t="str">
        <f aca="false">IF(AND(G26=$BN$4,F26="MAG"),((O26*'Ind.Sostenib.'!$B$13)+(V26*'Ind.Sostenib.'!$C$13)+(AA26*'Ind.Sostenib.'!$D$13)+(AD26*'Ind.Sostenib.'!$E$13)+(AO26*'Ind.Sostenib.'!$F$13)+(AV26*'Ind.Sostenib.'!$G$13)+(AW26*'Ind.Sostenib.'!$H$13)+(BH26*'Ind.Sostenib.'!$I$13)+(BI26*'Ind.Sostenib.'!$J$13))*100,"")</f>
        <v/>
      </c>
      <c r="BO26" s="714" t="str">
        <f aca="false">IF(AND(G26=$BO$4,F26="MAG"),((O26*'Ind.Sostenib.'!$B$14)+(V26*'Ind.Sostenib.'!$C$14)+(AA26*'Ind.Sostenib.'!$D$14)+(AD26*'Ind.Sostenib.'!$E$14)+(AO26*'Ind.Sostenib.'!$F$14)+(AV26*'Ind.Sostenib.'!$G$14)+(AW26*'Ind.Sostenib.'!$H$14)+(BH26*'Ind.Sostenib.'!$I$14)+(BI26*'Ind.Sostenib.'!$J$14))*100,"")</f>
        <v/>
      </c>
      <c r="BP26" s="715"/>
      <c r="BQ26" s="714" t="str">
        <f aca="false">IF(AND(G26=$BQ$4,F26&lt;&gt;"MAG",F26&lt;&gt;"MABE"),((O26*'Ind.Sostenib.'!$B$12)+(V26*'Ind.Sostenib.'!$C$12)+(AA26*'Ind.Sostenib.'!$D$12)+(AD26*'Ind.Sostenib.'!$E$12)+(AO26*'Ind.Sostenib.'!$F$12)+(AV26*'Ind.Sostenib.'!$G$12)+(BE26*'Ind.Sostenib.'!$H$12)+(BH26*'Ind.Sostenib.'!$I$12)+(BI26*'Ind.Sostenib.'!$J$12))*100,"")</f>
        <v/>
      </c>
      <c r="BR26" s="714" t="str">
        <f aca="false">IF(AND(G26=$BR$4,F26&lt;&gt;"MABE",F26&lt;&gt;"MAG"),((O26*'Ind.Sostenib.'!$B$13)+(V26*'Ind.Sostenib.'!$C$13)+(AA26*'Ind.Sostenib.'!$D$13)+(AD26*'Ind.Sostenib.'!$E$13)+(AO26*'Ind.Sostenib.'!$F$13)+(AV26*'Ind.Sostenib.'!$G$13)+(BE26*'Ind.Sostenib.'!$H$13)+(BH26*'Ind.Sostenib.'!$I$13)+(BI26*'Ind.Sostenib.'!$J$13))*100,"")</f>
        <v/>
      </c>
      <c r="BS26" s="714" t="str">
        <f aca="false">IF(AND(G26=$BS$4,F26&lt;&gt;"MAG",F26&lt;&gt;"MABE"),((O26*'Ind.Sostenib.'!$B$14)+(V26*'Ind.Sostenib.'!$C$14)+(AA26*'Ind.Sostenib.'!$D$14)+(AD26*'Ind.Sostenib.'!$E$14)+(AO26*'Ind.Sostenib.'!$F$14)+(AV26*'Ind.Sostenib.'!$G$14)+(BE26*'Ind.Sostenib.'!$H$14)+(BH26*'Ind.Sostenib.'!$I$14)+(BI26*'Ind.Sostenib.'!$J$14))*100,"")</f>
        <v/>
      </c>
      <c r="BT26" s="657"/>
      <c r="BU26" s="657"/>
      <c r="BV26" s="657"/>
      <c r="BW26" s="657"/>
    </row>
    <row r="27" s="99" customFormat="true" ht="22.5" hidden="false" customHeight="true" outlineLevel="0" collapsed="false">
      <c r="A27" s="701" t="n">
        <f aca="false">'Listado CAPS'!A25</f>
        <v>0</v>
      </c>
      <c r="B27" s="701" t="n">
        <f aca="false">'Listado CAPS'!B25</f>
        <v>0</v>
      </c>
      <c r="C27" s="701" t="n">
        <f aca="false">'Listado CAPS'!C25</f>
        <v>0</v>
      </c>
      <c r="D27" s="719"/>
      <c r="E27" s="701" t="str">
        <f aca="false">'Listado CAPS'!D25</f>
        <v>V</v>
      </c>
      <c r="F27" s="701" t="n">
        <f aca="false">'Listado CAPS'!E25</f>
        <v>0</v>
      </c>
      <c r="G27" s="702" t="n">
        <f aca="false">'Listado CAPS'!F25</f>
        <v>0</v>
      </c>
      <c r="H27" s="703" t="n">
        <f aca="false">'A.Org_CAPS'!AD324</f>
        <v>0</v>
      </c>
      <c r="I27" s="683" t="n">
        <f aca="false">IF(H27&gt;=60%,1,IF(H27&lt;4,0))</f>
        <v>0</v>
      </c>
      <c r="J27" s="683" t="n">
        <f aca="false">+' A.Legalización '!K28</f>
        <v>0</v>
      </c>
      <c r="K27" s="703" t="n">
        <f aca="false">'A.Org_CAPS'!AG324</f>
        <v>0</v>
      </c>
      <c r="L27" s="683" t="n">
        <f aca="false">IF(K27&gt;=0.5,1,0)</f>
        <v>0</v>
      </c>
      <c r="M27" s="704" t="n">
        <f aca="false">'A.Org_CAPS'!J324</f>
        <v>0</v>
      </c>
      <c r="N27" s="683" t="n">
        <f aca="false">IF(M27&gt;=0.5,1,0)</f>
        <v>0</v>
      </c>
      <c r="O27" s="685" t="n">
        <f aca="false">SUM(I27*0.25+J27*0.25+L27*0.25+N27*0.25)</f>
        <v>0</v>
      </c>
      <c r="P27" s="686" t="n">
        <f aca="false">IF('C.Nivel de Servicio'!F28="Mejorada",1,0)</f>
        <v>0</v>
      </c>
      <c r="Q27" s="686" t="n">
        <f aca="false">IF('C.Nivel de Servicio'!G28="Dentro de la vivienda",1,0)</f>
        <v>0</v>
      </c>
      <c r="R27" s="686" t="n">
        <f aca="false">IF('C.Nivel de Servicio'!H28="Menos de 30 min.",1,0)</f>
        <v>0</v>
      </c>
      <c r="S27" s="686" t="n">
        <f aca="false">IF('C.Nivel de Servicio'!I28="Todo el tiempo tenemos agua",1,0)</f>
        <v>0</v>
      </c>
      <c r="T27" s="686" t="n">
        <f aca="false">IF('C.Nivel de Servicio'!N28="Todo el tiempo tenemos agua",1,0)</f>
        <v>0</v>
      </c>
      <c r="U27" s="686" t="n">
        <f aca="false">IF('C.Nivel de Servicio'!O28="Negativo en E. coli",1,0)</f>
        <v>0</v>
      </c>
      <c r="V27" s="687" t="n">
        <f aca="false">IF('C.Nivel de Servicio'!T28="SEGURA",1,IF('C.Nivel de Servicio'!T28="BÁSICO",0.5,0))</f>
        <v>0.5</v>
      </c>
      <c r="W27" s="688" t="n">
        <f aca="false">'D.RecuperacióndeCostes'!E27</f>
        <v>0</v>
      </c>
      <c r="X27" s="688" t="n">
        <f aca="false">'D.RecuperacióndeCostes'!H27</f>
        <v>0</v>
      </c>
      <c r="Y27" s="688" t="n">
        <f aca="false">'D.RecuperacióndeCostes'!H27</f>
        <v>0</v>
      </c>
      <c r="Z27" s="688" t="n">
        <f aca="false">IF('D.RecuperacióndeCostes'!I27="&lt;5%",1,0)</f>
        <v>0</v>
      </c>
      <c r="AA27" s="687" t="n">
        <f aca="false">0.25*W27+0.25*X27+0.25*Y27+0.25*Z27</f>
        <v>0</v>
      </c>
      <c r="AB27" s="688" t="n">
        <f aca="false">'E.OperaciónyMantenimiento'!E27</f>
        <v>0</v>
      </c>
      <c r="AC27" s="688" t="n">
        <f aca="false">'E.OperaciónyMantenimiento'!F27</f>
        <v>0</v>
      </c>
      <c r="AD27" s="687" t="n">
        <f aca="false">AB27*AC27</f>
        <v>0</v>
      </c>
      <c r="AE27" s="688" t="n">
        <f aca="false">'F.Gestión de riesgos hídricos'!E27</f>
        <v>0</v>
      </c>
      <c r="AF27" s="688" t="n">
        <f aca="false">'F.Gestión de riesgos hídricos'!F27</f>
        <v>0</v>
      </c>
      <c r="AG27" s="688" t="n">
        <f aca="false">'F.Gestión de riesgos hídricos'!G27</f>
        <v>0</v>
      </c>
      <c r="AH27" s="688" t="n">
        <f aca="false">'F.Gestión de riesgos hídricos'!H27</f>
        <v>0</v>
      </c>
      <c r="AI27" s="688" t="n">
        <f aca="false">'F.Gestión de riesgos hídricos'!I27</f>
        <v>0</v>
      </c>
      <c r="AJ27" s="688" t="n">
        <f aca="false">'F.Gestión de riesgos hídricos'!J27</f>
        <v>0</v>
      </c>
      <c r="AK27" s="688" t="n">
        <f aca="false">'F.Gestión de riesgos hídricos'!K27</f>
        <v>0</v>
      </c>
      <c r="AL27" s="688" t="n">
        <f aca="false">'F.Gestión de riesgos hídricos'!L27</f>
        <v>0</v>
      </c>
      <c r="AM27" s="688" t="n">
        <f aca="false">'F.Gestión de riesgos hídricos'!M27</f>
        <v>0</v>
      </c>
      <c r="AN27" s="688" t="n">
        <f aca="false">'F.Gestión de riesgos hídricos'!N27</f>
        <v>0</v>
      </c>
      <c r="AO27" s="705" t="n">
        <f aca="false">SUM(AE27:AN27)/10</f>
        <v>0</v>
      </c>
      <c r="AP27" s="688" t="n">
        <f aca="false">'G.Rendición de cuentas'!E27</f>
        <v>0</v>
      </c>
      <c r="AQ27" s="688" t="n">
        <f aca="false">'G.Rendición de cuentas'!F27</f>
        <v>0</v>
      </c>
      <c r="AR27" s="688" t="n">
        <f aca="false">'G.Rendición de cuentas'!G27</f>
        <v>0</v>
      </c>
      <c r="AS27" s="688" t="n">
        <f aca="false">'G.Rendición de cuentas'!H27</f>
        <v>0</v>
      </c>
      <c r="AT27" s="688" t="n">
        <f aca="false">'G.Rendición de cuentas'!I27</f>
        <v>0</v>
      </c>
      <c r="AU27" s="688" t="n">
        <f aca="false">'G.Rendición de cuentas'!J27</f>
        <v>0</v>
      </c>
      <c r="AV27" s="706" t="n">
        <f aca="false">(AP27*0.25)+(AQ27*0.25)+(AR27*0.125)+(AS27*0.125)+(AT27*0.125)+(AU27*0.125)</f>
        <v>0</v>
      </c>
      <c r="AW27" s="707" t="n">
        <f aca="false">'H.2.Estado_Conserv.MAG'!AC27</f>
        <v>0</v>
      </c>
      <c r="AX27" s="690" t="n">
        <f aca="false">'H.1.Estado_Conserv MABE'!K27</f>
        <v>0</v>
      </c>
      <c r="AY27" s="690" t="n">
        <f aca="false">IF(AX27&gt;=3,1,0)</f>
        <v>0</v>
      </c>
      <c r="AZ27" s="690" t="n">
        <f aca="false">'H.1.Estado_Conserv MABE'!R43</f>
        <v>0</v>
      </c>
      <c r="BA27" s="690" t="n">
        <f aca="false">IF(AZ27&gt;=4,1,0)</f>
        <v>0</v>
      </c>
      <c r="BB27" s="690" t="n">
        <f aca="false">'H.1.Estado_Conserv MABE'!T27</f>
        <v>0</v>
      </c>
      <c r="BC27" s="690" t="n">
        <f aca="false">'H.1.Estado_Conserv MABE'!V27</f>
        <v>0</v>
      </c>
      <c r="BD27" s="708" t="n">
        <f aca="false">(AY27*0.25)+(BA27*0.25)+(BB27*0.25)+(BC27*0.25)</f>
        <v>0</v>
      </c>
      <c r="BE27" s="709" t="n">
        <f aca="false">'H.3.Estado_Conserv.Pozos'!AB27</f>
        <v>0</v>
      </c>
      <c r="BF27" s="710" t="n">
        <f aca="false">+'I.Genero '!H29</f>
        <v>0</v>
      </c>
      <c r="BG27" s="711" t="n">
        <f aca="false">+'I.Genero '!K29</f>
        <v>0</v>
      </c>
      <c r="BH27" s="712" t="n">
        <f aca="false">+(BF27*0.5)+(BG27*0.5)</f>
        <v>0</v>
      </c>
      <c r="BI27" s="713" t="n">
        <f aca="false">IF(+'J.AutoGestionCAPS'!G37&gt;=0.5,1,0)</f>
        <v>0</v>
      </c>
      <c r="BJ27" s="714" t="str">
        <f aca="false">IF(AND($G27=$BJ$4,$F27="MABE"),((O27*'Ind.Sostenib.'!$B$5)+(V27*'Ind.Sostenib.'!$C$5)+(AA27*'Ind.Sostenib.'!$D$5)+(AD27*'Ind.Sostenib.'!$E$5)+(AO27*'Ind.Sostenib.'!$F$5)+(AV27*'Ind.Sostenib.'!$G$5)+(BD27*'Ind.Sostenib.'!$H$5)+(BH27*'Ind.Sostenib.'!$I$5)+(BI27*'Ind.Sostenib.'!$J$5))*100,"")</f>
        <v/>
      </c>
      <c r="BK27" s="714" t="str">
        <f aca="false">IF(AND($G27=$BK$4,$F27="MABE"),((O27*'Ind.Sostenib.'!$B$6)+(V27*'Ind.Sostenib.'!$C$5)+(AA27*'Ind.Sostenib.'!$D$5)+(AD27*'Ind.Sostenib.'!$E$5)+(AO27*'Ind.Sostenib.'!$F$5)+(AV27*'Ind.Sostenib.'!$G$5)+(BD27*'Ind.Sostenib.'!$H$5)+(BH27*'Ind.Sostenib.'!$I$5)+(BI27*'Ind.Sostenib.'!$J$5))*100,"")</f>
        <v/>
      </c>
      <c r="BL27" s="714" t="str">
        <f aca="false">IF(AND(G27=$BL$4,F27="MABE"),((O27*'Ind.Sostenib.'!$B$7)+(V27*'Ind.Sostenib.'!$C$7)+(AA27*'Ind.Sostenib.'!$D$7)+(AD27*'Ind.Sostenib.'!$E$7)+(AO27*'Ind.Sostenib.'!$F$7)+(AV27*'Ind.Sostenib.'!$G$7)+(BD27*'Ind.Sostenib.'!$H$7)+(BH27*'Ind.Sostenib.'!$I$7)+(BI27*'Ind.Sostenib.'!$J$7))*100,"")</f>
        <v/>
      </c>
      <c r="BM27" s="714" t="str">
        <f aca="false">IF(AND(G27=$BM$4,F27="MAG"),((O27*'Ind.Sostenib.'!$B$12)+(V27*'Ind.Sostenib.'!$C$12)+(AA27*'Ind.Sostenib.'!$D$12)+(AD27*'Ind.Sostenib.'!$E$12)+(AO27*'Ind.Sostenib.'!$F$12)+(AV27*'Ind.Sostenib.'!$G$12)+(AW27*'Ind.Sostenib.'!$H$12)+(BH27*'Ind.Sostenib.'!$I$12)+(BI27*'Ind.Sostenib.'!$J$12))*100,"")</f>
        <v/>
      </c>
      <c r="BN27" s="714" t="str">
        <f aca="false">IF(AND(G27=$BN$4,F27="MAG"),((O27*'Ind.Sostenib.'!$B$13)+(V27*'Ind.Sostenib.'!$C$13)+(AA27*'Ind.Sostenib.'!$D$13)+(AD27*'Ind.Sostenib.'!$E$13)+(AO27*'Ind.Sostenib.'!$F$13)+(AV27*'Ind.Sostenib.'!$G$13)+(AW27*'Ind.Sostenib.'!$H$13)+(BH27*'Ind.Sostenib.'!$I$13)+(BI27*'Ind.Sostenib.'!$J$13))*100,"")</f>
        <v/>
      </c>
      <c r="BO27" s="714" t="str">
        <f aca="false">IF(AND(G27=$BO$4,F27="MAG"),((O27*'Ind.Sostenib.'!$B$14)+(V27*'Ind.Sostenib.'!$C$14)+(AA27*'Ind.Sostenib.'!$D$14)+(AD27*'Ind.Sostenib.'!$E$14)+(AO27*'Ind.Sostenib.'!$F$14)+(AV27*'Ind.Sostenib.'!$G$14)+(AW27*'Ind.Sostenib.'!$H$14)+(BH27*'Ind.Sostenib.'!$I$14)+(BI27*'Ind.Sostenib.'!$J$14))*100,"")</f>
        <v/>
      </c>
      <c r="BP27" s="715"/>
      <c r="BQ27" s="714" t="str">
        <f aca="false">IF(AND(G27=$BQ$4,F27&lt;&gt;"MAG",F27&lt;&gt;"MABE"),((O27*'Ind.Sostenib.'!$B$12)+(V27*'Ind.Sostenib.'!$C$12)+(AA27*'Ind.Sostenib.'!$D$12)+(AD27*'Ind.Sostenib.'!$E$12)+(AO27*'Ind.Sostenib.'!$F$12)+(AV27*'Ind.Sostenib.'!$G$12)+(BE27*'Ind.Sostenib.'!$H$12)+(BH27*'Ind.Sostenib.'!$I$12)+(BI27*'Ind.Sostenib.'!$J$12))*100,"")</f>
        <v/>
      </c>
      <c r="BR27" s="714" t="str">
        <f aca="false">IF(AND(G27=$BR$4,F27&lt;&gt;"MABE",F27&lt;&gt;"MAG"),((O27*'Ind.Sostenib.'!$B$13)+(V27*'Ind.Sostenib.'!$C$13)+(AA27*'Ind.Sostenib.'!$D$13)+(AD27*'Ind.Sostenib.'!$E$13)+(AO27*'Ind.Sostenib.'!$F$13)+(AV27*'Ind.Sostenib.'!$G$13)+(BE27*'Ind.Sostenib.'!$H$13)+(BH27*'Ind.Sostenib.'!$I$13)+(BI27*'Ind.Sostenib.'!$J$13))*100,"")</f>
        <v/>
      </c>
      <c r="BS27" s="714" t="str">
        <f aca="false">IF(AND(G27=$BS$4,F27&lt;&gt;"MAG",F27&lt;&gt;"MABE"),((O27*'Ind.Sostenib.'!$B$14)+(V27*'Ind.Sostenib.'!$C$14)+(AA27*'Ind.Sostenib.'!$D$14)+(AD27*'Ind.Sostenib.'!$E$14)+(AO27*'Ind.Sostenib.'!$F$14)+(AV27*'Ind.Sostenib.'!$G$14)+(BE27*'Ind.Sostenib.'!$H$14)+(BH27*'Ind.Sostenib.'!$I$14)+(BI27*'Ind.Sostenib.'!$J$14))*100,"")</f>
        <v/>
      </c>
      <c r="BT27" s="657"/>
      <c r="BU27" s="657"/>
      <c r="BV27" s="657"/>
      <c r="BW27" s="657"/>
    </row>
    <row r="28" s="99" customFormat="true" ht="22.5" hidden="false" customHeight="true" outlineLevel="0" collapsed="false">
      <c r="A28" s="701" t="n">
        <f aca="false">'Listado CAPS'!A26</f>
        <v>0</v>
      </c>
      <c r="B28" s="701" t="n">
        <f aca="false">'Listado CAPS'!B26</f>
        <v>0</v>
      </c>
      <c r="C28" s="701" t="n">
        <f aca="false">'Listado CAPS'!C26</f>
        <v>0</v>
      </c>
      <c r="D28" s="727"/>
      <c r="E28" s="701" t="str">
        <f aca="false">'Listado CAPS'!D26</f>
        <v>W</v>
      </c>
      <c r="F28" s="701" t="n">
        <f aca="false">'Listado CAPS'!E26</f>
        <v>0</v>
      </c>
      <c r="G28" s="702" t="n">
        <f aca="false">'Listado CAPS'!F26</f>
        <v>0</v>
      </c>
      <c r="H28" s="703" t="n">
        <f aca="false">'A.Org_CAPS'!AD338</f>
        <v>0</v>
      </c>
      <c r="I28" s="683" t="n">
        <f aca="false">IF(H28&gt;=60%,1,IF(H28&lt;4,0))</f>
        <v>0</v>
      </c>
      <c r="J28" s="683" t="n">
        <f aca="false">+' A.Legalización '!K29</f>
        <v>0</v>
      </c>
      <c r="K28" s="703" t="n">
        <f aca="false">'A.Org_CAPS'!AG338</f>
        <v>0</v>
      </c>
      <c r="L28" s="683" t="n">
        <f aca="false">IF(K28&gt;=0.5,1,0)</f>
        <v>0</v>
      </c>
      <c r="M28" s="704" t="n">
        <f aca="false">'A.Org_CAPS'!J338</f>
        <v>0</v>
      </c>
      <c r="N28" s="683" t="n">
        <f aca="false">IF(M28&gt;=0.5,1,0)</f>
        <v>0</v>
      </c>
      <c r="O28" s="685" t="n">
        <f aca="false">SUM(I28*0.25+J28*0.25+L28*0.25+N28*0.25)</f>
        <v>0</v>
      </c>
      <c r="P28" s="686" t="n">
        <f aca="false">IF('C.Nivel de Servicio'!F29="Mejorada",1,0)</f>
        <v>0</v>
      </c>
      <c r="Q28" s="686" t="n">
        <f aca="false">IF('C.Nivel de Servicio'!G29="Dentro de la vivienda",1,0)</f>
        <v>0</v>
      </c>
      <c r="R28" s="686" t="n">
        <f aca="false">IF('C.Nivel de Servicio'!H29="Menos de 30 min.",1,0)</f>
        <v>0</v>
      </c>
      <c r="S28" s="686" t="n">
        <f aca="false">IF('C.Nivel de Servicio'!I29="Todo el tiempo tenemos agua",1,0)</f>
        <v>0</v>
      </c>
      <c r="T28" s="686" t="n">
        <f aca="false">IF('C.Nivel de Servicio'!N29="Todo el tiempo tenemos agua",1,0)</f>
        <v>0</v>
      </c>
      <c r="U28" s="686" t="n">
        <f aca="false">IF('C.Nivel de Servicio'!O29="Negativo en E. coli",1,0)</f>
        <v>0</v>
      </c>
      <c r="V28" s="687" t="n">
        <f aca="false">IF('C.Nivel de Servicio'!T29="SEGURA",1,IF('C.Nivel de Servicio'!T29="BÁSICO",0.5,0))</f>
        <v>0.5</v>
      </c>
      <c r="W28" s="688" t="n">
        <f aca="false">'D.RecuperacióndeCostes'!E28</f>
        <v>0</v>
      </c>
      <c r="X28" s="688" t="n">
        <f aca="false">'D.RecuperacióndeCostes'!H28</f>
        <v>0</v>
      </c>
      <c r="Y28" s="688" t="n">
        <f aca="false">'D.RecuperacióndeCostes'!H28</f>
        <v>0</v>
      </c>
      <c r="Z28" s="688" t="n">
        <f aca="false">IF('D.RecuperacióndeCostes'!I28="&lt;5%",1,0)</f>
        <v>0</v>
      </c>
      <c r="AA28" s="687" t="n">
        <f aca="false">0.25*W28+0.25*X28+0.25*Y28+0.25*Z28</f>
        <v>0</v>
      </c>
      <c r="AB28" s="688" t="n">
        <f aca="false">'E.OperaciónyMantenimiento'!E28</f>
        <v>0</v>
      </c>
      <c r="AC28" s="688" t="n">
        <f aca="false">'E.OperaciónyMantenimiento'!F28</f>
        <v>0</v>
      </c>
      <c r="AD28" s="687" t="n">
        <f aca="false">AB28*AC28</f>
        <v>0</v>
      </c>
      <c r="AE28" s="688" t="n">
        <f aca="false">'F.Gestión de riesgos hídricos'!E28</f>
        <v>0</v>
      </c>
      <c r="AF28" s="688" t="n">
        <f aca="false">'F.Gestión de riesgos hídricos'!F28</f>
        <v>0</v>
      </c>
      <c r="AG28" s="688" t="n">
        <f aca="false">'F.Gestión de riesgos hídricos'!G28</f>
        <v>0</v>
      </c>
      <c r="AH28" s="688" t="n">
        <f aca="false">'F.Gestión de riesgos hídricos'!H28</f>
        <v>0</v>
      </c>
      <c r="AI28" s="688" t="n">
        <f aca="false">'F.Gestión de riesgos hídricos'!I28</f>
        <v>0</v>
      </c>
      <c r="AJ28" s="688" t="n">
        <f aca="false">'F.Gestión de riesgos hídricos'!J28</f>
        <v>0</v>
      </c>
      <c r="AK28" s="688" t="n">
        <f aca="false">'F.Gestión de riesgos hídricos'!K28</f>
        <v>0</v>
      </c>
      <c r="AL28" s="688" t="n">
        <f aca="false">'F.Gestión de riesgos hídricos'!L28</f>
        <v>0</v>
      </c>
      <c r="AM28" s="688" t="n">
        <f aca="false">'F.Gestión de riesgos hídricos'!M28</f>
        <v>0</v>
      </c>
      <c r="AN28" s="688" t="n">
        <f aca="false">'F.Gestión de riesgos hídricos'!N28</f>
        <v>0</v>
      </c>
      <c r="AO28" s="705" t="n">
        <f aca="false">SUM(AE28:AN28)/10</f>
        <v>0</v>
      </c>
      <c r="AP28" s="688" t="n">
        <f aca="false">'G.Rendición de cuentas'!E28</f>
        <v>0</v>
      </c>
      <c r="AQ28" s="688" t="n">
        <f aca="false">'G.Rendición de cuentas'!F28</f>
        <v>0</v>
      </c>
      <c r="AR28" s="688" t="n">
        <f aca="false">'G.Rendición de cuentas'!G28</f>
        <v>0</v>
      </c>
      <c r="AS28" s="688" t="n">
        <f aca="false">'G.Rendición de cuentas'!H28</f>
        <v>0</v>
      </c>
      <c r="AT28" s="688" t="n">
        <f aca="false">'G.Rendición de cuentas'!I28</f>
        <v>0</v>
      </c>
      <c r="AU28" s="688" t="n">
        <f aca="false">'G.Rendición de cuentas'!J28</f>
        <v>0</v>
      </c>
      <c r="AV28" s="706" t="n">
        <f aca="false">(AP28*0.25)+(AQ28*0.25)+(AR28*0.125)+(AS28*0.125)+(AT28*0.125)+(AU28*0.125)</f>
        <v>0</v>
      </c>
      <c r="AW28" s="707" t="n">
        <f aca="false">'H.2.Estado_Conserv.MAG'!AC28</f>
        <v>0</v>
      </c>
      <c r="AX28" s="690" t="n">
        <f aca="false">'H.1.Estado_Conserv MABE'!K28</f>
        <v>0</v>
      </c>
      <c r="AY28" s="690" t="n">
        <f aca="false">IF(AX28&gt;=3,1,0)</f>
        <v>0</v>
      </c>
      <c r="AZ28" s="690" t="n">
        <f aca="false">'H.1.Estado_Conserv MABE'!R44</f>
        <v>0</v>
      </c>
      <c r="BA28" s="690" t="n">
        <f aca="false">IF(AZ28&gt;=4,1,0)</f>
        <v>0</v>
      </c>
      <c r="BB28" s="690" t="n">
        <f aca="false">'H.1.Estado_Conserv MABE'!T28</f>
        <v>0</v>
      </c>
      <c r="BC28" s="690" t="n">
        <f aca="false">'H.1.Estado_Conserv MABE'!V28</f>
        <v>0</v>
      </c>
      <c r="BD28" s="708" t="n">
        <f aca="false">(AY28*0.25)+(BA28*0.25)+(BB28*0.25)+(BC28*0.25)</f>
        <v>0</v>
      </c>
      <c r="BE28" s="709" t="n">
        <f aca="false">'H.3.Estado_Conserv.Pozos'!AB28</f>
        <v>0</v>
      </c>
      <c r="BF28" s="710" t="n">
        <f aca="false">+'I.Genero '!H30</f>
        <v>0</v>
      </c>
      <c r="BG28" s="711" t="n">
        <f aca="false">+'I.Genero '!K30</f>
        <v>0</v>
      </c>
      <c r="BH28" s="712" t="n">
        <f aca="false">+(BF28*0.5)+(BG28*0.5)</f>
        <v>0</v>
      </c>
      <c r="BI28" s="713" t="n">
        <f aca="false">IF(+'J.AutoGestionCAPS'!G38&gt;=0.5,1,0)</f>
        <v>0</v>
      </c>
      <c r="BJ28" s="714" t="str">
        <f aca="false">IF(AND($G28=$BJ$4,$F28="MABE"),((O28*'Ind.Sostenib.'!$B$5)+(V28*'Ind.Sostenib.'!$C$5)+(AA28*'Ind.Sostenib.'!$D$5)+(AD28*'Ind.Sostenib.'!$E$5)+(AO28*'Ind.Sostenib.'!$F$5)+(AV28*'Ind.Sostenib.'!$G$5)+(BD28*'Ind.Sostenib.'!$H$5)+(BH28*'Ind.Sostenib.'!$I$5)+(BI28*'Ind.Sostenib.'!$J$5))*100,"")</f>
        <v/>
      </c>
      <c r="BK28" s="714" t="str">
        <f aca="false">IF(AND($G28=$BK$4,$F28="MABE"),((O28*'Ind.Sostenib.'!$B$6)+(V28*'Ind.Sostenib.'!$C$5)+(AA28*'Ind.Sostenib.'!$D$5)+(AD28*'Ind.Sostenib.'!$E$5)+(AO28*'Ind.Sostenib.'!$F$5)+(AV28*'Ind.Sostenib.'!$G$5)+(BD28*'Ind.Sostenib.'!$H$5)+(BH28*'Ind.Sostenib.'!$I$5)+(BI28*'Ind.Sostenib.'!$J$5))*100,"")</f>
        <v/>
      </c>
      <c r="BL28" s="714" t="str">
        <f aca="false">IF(AND(G28=$BL$4,F28="MABE"),((O28*'Ind.Sostenib.'!$B$7)+(V28*'Ind.Sostenib.'!$C$7)+(AA28*'Ind.Sostenib.'!$D$7)+(AD28*'Ind.Sostenib.'!$E$7)+(AO28*'Ind.Sostenib.'!$F$7)+(AV28*'Ind.Sostenib.'!$G$7)+(BD28*'Ind.Sostenib.'!$H$7)+(BH28*'Ind.Sostenib.'!$I$7)+(BI28*'Ind.Sostenib.'!$J$7))*100,"")</f>
        <v/>
      </c>
      <c r="BM28" s="714" t="str">
        <f aca="false">IF(AND(G28=$BM$4,F28="MAG"),((O28*'Ind.Sostenib.'!$B$12)+(V28*'Ind.Sostenib.'!$C$12)+(AA28*'Ind.Sostenib.'!$D$12)+(AD28*'Ind.Sostenib.'!$E$12)+(AO28*'Ind.Sostenib.'!$F$12)+(AV28*'Ind.Sostenib.'!$G$12)+(AW28*'Ind.Sostenib.'!$H$12)+(BH28*'Ind.Sostenib.'!$I$12)+(BI28*'Ind.Sostenib.'!$J$12))*100,"")</f>
        <v/>
      </c>
      <c r="BN28" s="714" t="str">
        <f aca="false">IF(AND(G28=$BN$4,F28="MAG"),((O28*'Ind.Sostenib.'!$B$13)+(V28*'Ind.Sostenib.'!$C$13)+(AA28*'Ind.Sostenib.'!$D$13)+(AD28*'Ind.Sostenib.'!$E$13)+(AO28*'Ind.Sostenib.'!$F$13)+(AV28*'Ind.Sostenib.'!$G$13)+(AW28*'Ind.Sostenib.'!$H$13)+(BH28*'Ind.Sostenib.'!$I$13)+(BI28*'Ind.Sostenib.'!$J$13))*100,"")</f>
        <v/>
      </c>
      <c r="BO28" s="714" t="str">
        <f aca="false">IF(AND(G28=$BO$4,F28="MAG"),((O28*'Ind.Sostenib.'!$B$14)+(V28*'Ind.Sostenib.'!$C$14)+(AA28*'Ind.Sostenib.'!$D$14)+(AD28*'Ind.Sostenib.'!$E$14)+(AO28*'Ind.Sostenib.'!$F$14)+(AV28*'Ind.Sostenib.'!$G$14)+(AW28*'Ind.Sostenib.'!$H$14)+(BH28*'Ind.Sostenib.'!$I$14)+(BI28*'Ind.Sostenib.'!$J$14))*100,"")</f>
        <v/>
      </c>
      <c r="BP28" s="715"/>
      <c r="BQ28" s="714" t="str">
        <f aca="false">IF(AND(G28=$BQ$4,F28&lt;&gt;"MAG",F28&lt;&gt;"MABE"),((O28*'Ind.Sostenib.'!$B$12)+(V28*'Ind.Sostenib.'!$C$12)+(AA28*'Ind.Sostenib.'!$D$12)+(AD28*'Ind.Sostenib.'!$E$12)+(AO28*'Ind.Sostenib.'!$F$12)+(AV28*'Ind.Sostenib.'!$G$12)+(BE28*'Ind.Sostenib.'!$H$12)+(BH28*'Ind.Sostenib.'!$I$12)+(BI28*'Ind.Sostenib.'!$J$12))*100,"")</f>
        <v/>
      </c>
      <c r="BR28" s="714" t="str">
        <f aca="false">IF(AND(G28=$BR$4,F28&lt;&gt;"MABE",F28&lt;&gt;"MAG"),((O28*'Ind.Sostenib.'!$B$13)+(V28*'Ind.Sostenib.'!$C$13)+(AA28*'Ind.Sostenib.'!$D$13)+(AD28*'Ind.Sostenib.'!$E$13)+(AO28*'Ind.Sostenib.'!$F$13)+(AV28*'Ind.Sostenib.'!$G$13)+(BE28*'Ind.Sostenib.'!$H$13)+(BH28*'Ind.Sostenib.'!$I$13)+(BI28*'Ind.Sostenib.'!$J$13))*100,"")</f>
        <v/>
      </c>
      <c r="BS28" s="714" t="str">
        <f aca="false">IF(AND(G28=$BS$4,F28&lt;&gt;"MAG",F28&lt;&gt;"MABE"),((O28*'Ind.Sostenib.'!$B$14)+(V28*'Ind.Sostenib.'!$C$14)+(AA28*'Ind.Sostenib.'!$D$14)+(AD28*'Ind.Sostenib.'!$E$14)+(AO28*'Ind.Sostenib.'!$F$14)+(AV28*'Ind.Sostenib.'!$G$14)+(BE28*'Ind.Sostenib.'!$H$14)+(BH28*'Ind.Sostenib.'!$I$14)+(BI28*'Ind.Sostenib.'!$J$14))*100,"")</f>
        <v/>
      </c>
      <c r="BT28" s="657"/>
      <c r="BU28" s="657"/>
      <c r="BV28" s="657"/>
      <c r="BW28" s="657"/>
    </row>
    <row r="29" s="99" customFormat="true" ht="22.5" hidden="false" customHeight="true" outlineLevel="0" collapsed="false">
      <c r="A29" s="701" t="n">
        <f aca="false">'Listado CAPS'!A27</f>
        <v>0</v>
      </c>
      <c r="B29" s="701" t="n">
        <f aca="false">'Listado CAPS'!B27</f>
        <v>0</v>
      </c>
      <c r="C29" s="701" t="n">
        <f aca="false">'Listado CAPS'!C27</f>
        <v>0</v>
      </c>
      <c r="D29" s="727"/>
      <c r="E29" s="701" t="str">
        <f aca="false">'Listado CAPS'!D27</f>
        <v>X</v>
      </c>
      <c r="F29" s="701" t="n">
        <f aca="false">'Listado CAPS'!E27</f>
        <v>0</v>
      </c>
      <c r="G29" s="702" t="n">
        <f aca="false">'Listado CAPS'!F27</f>
        <v>0</v>
      </c>
      <c r="H29" s="703" t="n">
        <f aca="false">'A.Org_CAPS'!AD352</f>
        <v>0</v>
      </c>
      <c r="I29" s="683" t="n">
        <f aca="false">IF(H29&gt;=60%,1,IF(H29&lt;4,0))</f>
        <v>0</v>
      </c>
      <c r="J29" s="683" t="n">
        <f aca="false">+' A.Legalización '!K30</f>
        <v>0</v>
      </c>
      <c r="K29" s="703" t="n">
        <f aca="false">'A.Org_CAPS'!AG352</f>
        <v>0</v>
      </c>
      <c r="L29" s="683" t="n">
        <f aca="false">IF(K29&gt;=0.5,1,0)</f>
        <v>0</v>
      </c>
      <c r="M29" s="704" t="n">
        <f aca="false">'A.Org_CAPS'!J352</f>
        <v>0</v>
      </c>
      <c r="N29" s="683" t="n">
        <f aca="false">IF(M29&gt;=0.5,1,0)</f>
        <v>0</v>
      </c>
      <c r="O29" s="685" t="n">
        <f aca="false">SUM(I29*0.25+J29*0.25+L29*0.25+N29*0.25)</f>
        <v>0</v>
      </c>
      <c r="P29" s="686" t="n">
        <f aca="false">IF('C.Nivel de Servicio'!F30="Mejorada",1,0)</f>
        <v>0</v>
      </c>
      <c r="Q29" s="686" t="n">
        <f aca="false">IF('C.Nivel de Servicio'!G30="Dentro de la vivienda",1,0)</f>
        <v>0</v>
      </c>
      <c r="R29" s="686" t="n">
        <f aca="false">IF('C.Nivel de Servicio'!H30="Menos de 30 min.",1,0)</f>
        <v>0</v>
      </c>
      <c r="S29" s="686" t="n">
        <f aca="false">IF('C.Nivel de Servicio'!I30="Todo el tiempo tenemos agua",1,0)</f>
        <v>0</v>
      </c>
      <c r="T29" s="686" t="n">
        <f aca="false">IF('C.Nivel de Servicio'!N30="Todo el tiempo tenemos agua",1,0)</f>
        <v>0</v>
      </c>
      <c r="U29" s="686" t="n">
        <f aca="false">IF('C.Nivel de Servicio'!O30="Negativo en E. coli",1,0)</f>
        <v>0</v>
      </c>
      <c r="V29" s="687" t="n">
        <f aca="false">IF('C.Nivel de Servicio'!T30="SEGURA",1,IF('C.Nivel de Servicio'!T30="BÁSICO",0.5,0))</f>
        <v>0.5</v>
      </c>
      <c r="W29" s="688" t="n">
        <f aca="false">'D.RecuperacióndeCostes'!E29</f>
        <v>0</v>
      </c>
      <c r="X29" s="688" t="n">
        <f aca="false">'D.RecuperacióndeCostes'!H29</f>
        <v>0</v>
      </c>
      <c r="Y29" s="688" t="n">
        <f aca="false">'D.RecuperacióndeCostes'!H29</f>
        <v>0</v>
      </c>
      <c r="Z29" s="688" t="n">
        <f aca="false">IF('D.RecuperacióndeCostes'!I29="&lt;5%",1,0)</f>
        <v>0</v>
      </c>
      <c r="AA29" s="687" t="n">
        <f aca="false">0.25*W29+0.25*X29+0.25*Y29+0.25*Z29</f>
        <v>0</v>
      </c>
      <c r="AB29" s="688" t="n">
        <f aca="false">'E.OperaciónyMantenimiento'!E29</f>
        <v>0</v>
      </c>
      <c r="AC29" s="688" t="n">
        <f aca="false">'E.OperaciónyMantenimiento'!F29</f>
        <v>0</v>
      </c>
      <c r="AD29" s="687" t="n">
        <f aca="false">AB29*AC29</f>
        <v>0</v>
      </c>
      <c r="AE29" s="688" t="n">
        <f aca="false">'F.Gestión de riesgos hídricos'!E29</f>
        <v>0</v>
      </c>
      <c r="AF29" s="688" t="n">
        <f aca="false">'F.Gestión de riesgos hídricos'!F29</f>
        <v>0</v>
      </c>
      <c r="AG29" s="688" t="n">
        <f aca="false">'F.Gestión de riesgos hídricos'!G29</f>
        <v>0</v>
      </c>
      <c r="AH29" s="688" t="n">
        <f aca="false">'F.Gestión de riesgos hídricos'!H29</f>
        <v>0</v>
      </c>
      <c r="AI29" s="688" t="n">
        <f aca="false">'F.Gestión de riesgos hídricos'!I29</f>
        <v>0</v>
      </c>
      <c r="AJ29" s="688" t="n">
        <f aca="false">'F.Gestión de riesgos hídricos'!J29</f>
        <v>0</v>
      </c>
      <c r="AK29" s="688" t="n">
        <f aca="false">'F.Gestión de riesgos hídricos'!K29</f>
        <v>0</v>
      </c>
      <c r="AL29" s="688" t="n">
        <f aca="false">'F.Gestión de riesgos hídricos'!L29</f>
        <v>0</v>
      </c>
      <c r="AM29" s="688" t="n">
        <f aca="false">'F.Gestión de riesgos hídricos'!M29</f>
        <v>0</v>
      </c>
      <c r="AN29" s="688" t="n">
        <f aca="false">'F.Gestión de riesgos hídricos'!N29</f>
        <v>0</v>
      </c>
      <c r="AO29" s="705" t="n">
        <f aca="false">SUM(AE29:AN29)/10</f>
        <v>0</v>
      </c>
      <c r="AP29" s="688" t="n">
        <f aca="false">'G.Rendición de cuentas'!E29</f>
        <v>0</v>
      </c>
      <c r="AQ29" s="688" t="n">
        <f aca="false">'G.Rendición de cuentas'!F29</f>
        <v>0</v>
      </c>
      <c r="AR29" s="688" t="n">
        <f aca="false">'G.Rendición de cuentas'!G29</f>
        <v>0</v>
      </c>
      <c r="AS29" s="688" t="n">
        <f aca="false">'G.Rendición de cuentas'!H29</f>
        <v>0</v>
      </c>
      <c r="AT29" s="688" t="n">
        <f aca="false">'G.Rendición de cuentas'!I29</f>
        <v>0</v>
      </c>
      <c r="AU29" s="688" t="n">
        <f aca="false">'G.Rendición de cuentas'!J29</f>
        <v>0</v>
      </c>
      <c r="AV29" s="706" t="n">
        <f aca="false">(AP29*0.25)+(AQ29*0.25)+(AR29*0.125)+(AS29*0.125)+(AT29*0.125)+(AU29*0.125)</f>
        <v>0</v>
      </c>
      <c r="AW29" s="707" t="n">
        <f aca="false">'H.2.Estado_Conserv.MAG'!AC29</f>
        <v>0</v>
      </c>
      <c r="AX29" s="690" t="n">
        <f aca="false">'H.1.Estado_Conserv MABE'!K29</f>
        <v>0</v>
      </c>
      <c r="AY29" s="690" t="n">
        <f aca="false">IF(AX29&gt;=3,1,0)</f>
        <v>0</v>
      </c>
      <c r="AZ29" s="690" t="n">
        <f aca="false">'H.1.Estado_Conserv MABE'!R45</f>
        <v>0</v>
      </c>
      <c r="BA29" s="690" t="n">
        <f aca="false">IF(AZ29&gt;=4,1,0)</f>
        <v>0</v>
      </c>
      <c r="BB29" s="690" t="n">
        <f aca="false">'H.1.Estado_Conserv MABE'!T29</f>
        <v>0</v>
      </c>
      <c r="BC29" s="690" t="n">
        <f aca="false">'H.1.Estado_Conserv MABE'!V29</f>
        <v>0</v>
      </c>
      <c r="BD29" s="708" t="n">
        <f aca="false">(AY29*0.25)+(BA29*0.25)+(BB29*0.25)+(BC29*0.25)</f>
        <v>0</v>
      </c>
      <c r="BE29" s="709" t="n">
        <f aca="false">'H.3.Estado_Conserv.Pozos'!AB29</f>
        <v>0</v>
      </c>
      <c r="BF29" s="710" t="n">
        <f aca="false">+'I.Genero '!H31</f>
        <v>0</v>
      </c>
      <c r="BG29" s="711" t="n">
        <f aca="false">+'I.Genero '!K31</f>
        <v>0</v>
      </c>
      <c r="BH29" s="712" t="n">
        <f aca="false">+(BF29*0.5)+(BG29*0.5)</f>
        <v>0</v>
      </c>
      <c r="BI29" s="713" t="n">
        <f aca="false">IF(+'J.AutoGestionCAPS'!G39&gt;=0.5,1,0)</f>
        <v>0</v>
      </c>
      <c r="BJ29" s="714" t="str">
        <f aca="false">IF(AND($G29=$BJ$4,$F29="MABE"),((O29*'Ind.Sostenib.'!$B$5)+(V29*'Ind.Sostenib.'!$C$5)+(AA29*'Ind.Sostenib.'!$D$5)+(AD29*'Ind.Sostenib.'!$E$5)+(AO29*'Ind.Sostenib.'!$F$5)+(AV29*'Ind.Sostenib.'!$G$5)+(BD29*'Ind.Sostenib.'!$H$5)+(BH29*'Ind.Sostenib.'!$I$5)+(BI29*'Ind.Sostenib.'!$J$5))*100,"")</f>
        <v/>
      </c>
      <c r="BK29" s="714" t="str">
        <f aca="false">IF(AND($G29=$BK$4,$F29="MABE"),((O29*'Ind.Sostenib.'!$B$6)+(V29*'Ind.Sostenib.'!$C$5)+(AA29*'Ind.Sostenib.'!$D$5)+(AD29*'Ind.Sostenib.'!$E$5)+(AO29*'Ind.Sostenib.'!$F$5)+(AV29*'Ind.Sostenib.'!$G$5)+(BD29*'Ind.Sostenib.'!$H$5)+(BH29*'Ind.Sostenib.'!$I$5)+(BI29*'Ind.Sostenib.'!$J$5))*100,"")</f>
        <v/>
      </c>
      <c r="BL29" s="714" t="str">
        <f aca="false">IF(AND(G29=$BL$4,F29="MABE"),((O29*'Ind.Sostenib.'!$B$7)+(V29*'Ind.Sostenib.'!$C$7)+(AA29*'Ind.Sostenib.'!$D$7)+(AD29*'Ind.Sostenib.'!$E$7)+(AO29*'Ind.Sostenib.'!$F$7)+(AV29*'Ind.Sostenib.'!$G$7)+(BD29*'Ind.Sostenib.'!$H$7)+(BH29*'Ind.Sostenib.'!$I$7)+(BI29*'Ind.Sostenib.'!$J$7))*100,"")</f>
        <v/>
      </c>
      <c r="BM29" s="714" t="str">
        <f aca="false">IF(AND(G29=$BM$4,F29="MAG"),((O29*'Ind.Sostenib.'!$B$12)+(V29*'Ind.Sostenib.'!$C$12)+(AA29*'Ind.Sostenib.'!$D$12)+(AD29*'Ind.Sostenib.'!$E$12)+(AO29*'Ind.Sostenib.'!$F$12)+(AV29*'Ind.Sostenib.'!$G$12)+(AW29*'Ind.Sostenib.'!$H$12)+(BH29*'Ind.Sostenib.'!$I$12)+(BI29*'Ind.Sostenib.'!$J$12))*100,"")</f>
        <v/>
      </c>
      <c r="BN29" s="714" t="str">
        <f aca="false">IF(AND(G29=$BN$4,F29="MAG"),((O29*'Ind.Sostenib.'!$B$13)+(V29*'Ind.Sostenib.'!$C$13)+(AA29*'Ind.Sostenib.'!$D$13)+(AD29*'Ind.Sostenib.'!$E$13)+(AO29*'Ind.Sostenib.'!$F$13)+(AV29*'Ind.Sostenib.'!$G$13)+(AW29*'Ind.Sostenib.'!$H$13)+(BH29*'Ind.Sostenib.'!$I$13)+(BI29*'Ind.Sostenib.'!$J$13))*100,"")</f>
        <v/>
      </c>
      <c r="BO29" s="714" t="str">
        <f aca="false">IF(AND(G29=$BO$4,F29="MAG"),((O29*'Ind.Sostenib.'!$B$14)+(V29*'Ind.Sostenib.'!$C$14)+(AA29*'Ind.Sostenib.'!$D$14)+(AD29*'Ind.Sostenib.'!$E$14)+(AO29*'Ind.Sostenib.'!$F$14)+(AV29*'Ind.Sostenib.'!$G$14)+(AW29*'Ind.Sostenib.'!$H$14)+(BH29*'Ind.Sostenib.'!$I$14)+(BI29*'Ind.Sostenib.'!$J$14))*100,"")</f>
        <v/>
      </c>
      <c r="BP29" s="715"/>
      <c r="BQ29" s="714" t="str">
        <f aca="false">IF(AND(G29=$BQ$4,F29&lt;&gt;"MAG",F29&lt;&gt;"MABE"),((O29*'Ind.Sostenib.'!$B$12)+(V29*'Ind.Sostenib.'!$C$12)+(AA29*'Ind.Sostenib.'!$D$12)+(AD29*'Ind.Sostenib.'!$E$12)+(AO29*'Ind.Sostenib.'!$F$12)+(AV29*'Ind.Sostenib.'!$G$12)+(BE29*'Ind.Sostenib.'!$H$12)+(BH29*'Ind.Sostenib.'!$I$12)+(BI29*'Ind.Sostenib.'!$J$12))*100,"")</f>
        <v/>
      </c>
      <c r="BR29" s="714" t="str">
        <f aca="false">IF(AND(G29=$BR$4,F29&lt;&gt;"MABE",F29&lt;&gt;"MAG"),((O29*'Ind.Sostenib.'!$B$13)+(V29*'Ind.Sostenib.'!$C$13)+(AA29*'Ind.Sostenib.'!$D$13)+(AD29*'Ind.Sostenib.'!$E$13)+(AO29*'Ind.Sostenib.'!$F$13)+(AV29*'Ind.Sostenib.'!$G$13)+(BE29*'Ind.Sostenib.'!$H$13)+(BH29*'Ind.Sostenib.'!$I$13)+(BI29*'Ind.Sostenib.'!$J$13))*100,"")</f>
        <v/>
      </c>
      <c r="BS29" s="714" t="str">
        <f aca="false">IF(AND(G29=$BS$4,F29&lt;&gt;"MAG",F29&lt;&gt;"MABE"),((O29*'Ind.Sostenib.'!$B$14)+(V29*'Ind.Sostenib.'!$C$14)+(AA29*'Ind.Sostenib.'!$D$14)+(AD29*'Ind.Sostenib.'!$E$14)+(AO29*'Ind.Sostenib.'!$F$14)+(AV29*'Ind.Sostenib.'!$G$14)+(BE29*'Ind.Sostenib.'!$H$14)+(BH29*'Ind.Sostenib.'!$I$14)+(BI29*'Ind.Sostenib.'!$J$14))*100,"")</f>
        <v/>
      </c>
      <c r="BT29" s="657"/>
      <c r="BU29" s="657"/>
      <c r="BV29" s="657"/>
      <c r="BW29" s="657"/>
    </row>
    <row r="30" s="99" customFormat="true" ht="20.25" hidden="false" customHeight="true" outlineLevel="0" collapsed="false">
      <c r="A30" s="701" t="n">
        <f aca="false">'Listado CAPS'!A28</f>
        <v>0</v>
      </c>
      <c r="B30" s="701" t="n">
        <f aca="false">'Listado CAPS'!B28</f>
        <v>0</v>
      </c>
      <c r="C30" s="701" t="n">
        <f aca="false">'Listado CAPS'!C28</f>
        <v>0</v>
      </c>
      <c r="D30" s="727"/>
      <c r="E30" s="701" t="str">
        <f aca="false">'Listado CAPS'!D28</f>
        <v>Y</v>
      </c>
      <c r="F30" s="701" t="n">
        <f aca="false">'Listado CAPS'!E28</f>
        <v>0</v>
      </c>
      <c r="G30" s="702" t="n">
        <f aca="false">'Listado CAPS'!F28</f>
        <v>0</v>
      </c>
      <c r="H30" s="703" t="n">
        <f aca="false">'A.Org_CAPS'!AD366</f>
        <v>0</v>
      </c>
      <c r="I30" s="683" t="n">
        <f aca="false">IF(H30&gt;=60%,1,IF(H30&lt;4,0))</f>
        <v>0</v>
      </c>
      <c r="J30" s="683" t="n">
        <f aca="false">+' A.Legalización '!K31</f>
        <v>0</v>
      </c>
      <c r="K30" s="703" t="n">
        <f aca="false">'A.Org_CAPS'!AG366</f>
        <v>0</v>
      </c>
      <c r="L30" s="683" t="n">
        <f aca="false">IF(K30&gt;=0.5,1,0)</f>
        <v>0</v>
      </c>
      <c r="M30" s="704" t="n">
        <f aca="false">'A.Org_CAPS'!J366</f>
        <v>0</v>
      </c>
      <c r="N30" s="683" t="n">
        <f aca="false">IF(M30&gt;=0.5,1,0)</f>
        <v>0</v>
      </c>
      <c r="O30" s="685" t="n">
        <f aca="false">SUM(I30*0.25+J30*0.25+L30*0.25+N30*0.25)</f>
        <v>0</v>
      </c>
      <c r="P30" s="686" t="n">
        <f aca="false">IF('C.Nivel de Servicio'!F31="Mejorada",1,0)</f>
        <v>0</v>
      </c>
      <c r="Q30" s="686" t="n">
        <f aca="false">IF('C.Nivel de Servicio'!G31="Dentro de la vivienda",1,0)</f>
        <v>0</v>
      </c>
      <c r="R30" s="686" t="n">
        <f aca="false">IF('C.Nivel de Servicio'!H31="Menos de 30 min.",1,0)</f>
        <v>0</v>
      </c>
      <c r="S30" s="686" t="n">
        <f aca="false">IF('C.Nivel de Servicio'!I31="Todo el tiempo tenemos agua",1,0)</f>
        <v>0</v>
      </c>
      <c r="T30" s="686" t="n">
        <f aca="false">IF('C.Nivel de Servicio'!N31="Todo el tiempo tenemos agua",1,0)</f>
        <v>0</v>
      </c>
      <c r="U30" s="686" t="n">
        <f aca="false">IF('C.Nivel de Servicio'!O31="Negativo en E. coli",1,0)</f>
        <v>0</v>
      </c>
      <c r="V30" s="687" t="n">
        <f aca="false">IF('C.Nivel de Servicio'!T31="SEGURA",1,IF('C.Nivel de Servicio'!T31="BÁSICO",0.5,0))</f>
        <v>0.5</v>
      </c>
      <c r="W30" s="688" t="n">
        <f aca="false">'D.RecuperacióndeCostes'!E30</f>
        <v>0</v>
      </c>
      <c r="X30" s="688" t="n">
        <f aca="false">'D.RecuperacióndeCostes'!H30</f>
        <v>0</v>
      </c>
      <c r="Y30" s="688" t="n">
        <f aca="false">'D.RecuperacióndeCostes'!H30</f>
        <v>0</v>
      </c>
      <c r="Z30" s="688" t="n">
        <f aca="false">IF('D.RecuperacióndeCostes'!I30="&lt;5%",1,0)</f>
        <v>0</v>
      </c>
      <c r="AA30" s="687" t="n">
        <f aca="false">0.25*W30+0.25*X30+0.25*Y30+0.25*Z30</f>
        <v>0</v>
      </c>
      <c r="AB30" s="688" t="n">
        <f aca="false">'E.OperaciónyMantenimiento'!E30</f>
        <v>0</v>
      </c>
      <c r="AC30" s="688" t="n">
        <f aca="false">'E.OperaciónyMantenimiento'!F30</f>
        <v>0</v>
      </c>
      <c r="AD30" s="687" t="n">
        <f aca="false">AB30*AC30</f>
        <v>0</v>
      </c>
      <c r="AE30" s="688" t="n">
        <f aca="false">'F.Gestión de riesgos hídricos'!E30</f>
        <v>0</v>
      </c>
      <c r="AF30" s="688" t="n">
        <f aca="false">'F.Gestión de riesgos hídricos'!F30</f>
        <v>0</v>
      </c>
      <c r="AG30" s="688" t="n">
        <f aca="false">'F.Gestión de riesgos hídricos'!G30</f>
        <v>0</v>
      </c>
      <c r="AH30" s="688" t="n">
        <f aca="false">'F.Gestión de riesgos hídricos'!H30</f>
        <v>0</v>
      </c>
      <c r="AI30" s="688" t="n">
        <f aca="false">'F.Gestión de riesgos hídricos'!I30</f>
        <v>0</v>
      </c>
      <c r="AJ30" s="688" t="n">
        <f aca="false">'F.Gestión de riesgos hídricos'!J30</f>
        <v>0</v>
      </c>
      <c r="AK30" s="688" t="n">
        <f aca="false">'F.Gestión de riesgos hídricos'!K30</f>
        <v>0</v>
      </c>
      <c r="AL30" s="688" t="n">
        <f aca="false">'F.Gestión de riesgos hídricos'!L30</f>
        <v>0</v>
      </c>
      <c r="AM30" s="688" t="n">
        <f aca="false">'F.Gestión de riesgos hídricos'!M30</f>
        <v>0</v>
      </c>
      <c r="AN30" s="688" t="n">
        <f aca="false">'F.Gestión de riesgos hídricos'!N30</f>
        <v>0</v>
      </c>
      <c r="AO30" s="705" t="n">
        <f aca="false">SUM(AE30:AN30)/10</f>
        <v>0</v>
      </c>
      <c r="AP30" s="688" t="n">
        <f aca="false">'G.Rendición de cuentas'!E30</f>
        <v>0</v>
      </c>
      <c r="AQ30" s="688" t="n">
        <f aca="false">'G.Rendición de cuentas'!F30</f>
        <v>0</v>
      </c>
      <c r="AR30" s="688" t="n">
        <f aca="false">'G.Rendición de cuentas'!G30</f>
        <v>0</v>
      </c>
      <c r="AS30" s="688" t="n">
        <f aca="false">'G.Rendición de cuentas'!H30</f>
        <v>0</v>
      </c>
      <c r="AT30" s="688" t="n">
        <f aca="false">'G.Rendición de cuentas'!I30</f>
        <v>0</v>
      </c>
      <c r="AU30" s="688" t="n">
        <f aca="false">'G.Rendición de cuentas'!J30</f>
        <v>0</v>
      </c>
      <c r="AV30" s="706" t="n">
        <f aca="false">(AP30*0.25)+(AQ30*0.25)+(AR30*0.125)+(AS30*0.125)+(AT30*0.125)+(AU30*0.125)</f>
        <v>0</v>
      </c>
      <c r="AW30" s="707" t="n">
        <f aca="false">'H.2.Estado_Conserv.MAG'!AC30</f>
        <v>0</v>
      </c>
      <c r="AX30" s="690" t="n">
        <f aca="false">'H.1.Estado_Conserv MABE'!K30</f>
        <v>0</v>
      </c>
      <c r="AY30" s="690" t="n">
        <f aca="false">IF(AX30&gt;=3,1,0)</f>
        <v>0</v>
      </c>
      <c r="AZ30" s="690" t="n">
        <f aca="false">'H.1.Estado_Conserv MABE'!R46</f>
        <v>0</v>
      </c>
      <c r="BA30" s="690" t="n">
        <f aca="false">IF(AZ30&gt;=4,1,0)</f>
        <v>0</v>
      </c>
      <c r="BB30" s="690" t="n">
        <f aca="false">'H.1.Estado_Conserv MABE'!T30</f>
        <v>0</v>
      </c>
      <c r="BC30" s="690" t="n">
        <f aca="false">'H.1.Estado_Conserv MABE'!V30</f>
        <v>0</v>
      </c>
      <c r="BD30" s="708" t="n">
        <f aca="false">(AY30*0.25)+(BA30*0.25)+(BB30*0.25)+(BC30*0.25)</f>
        <v>0</v>
      </c>
      <c r="BE30" s="709" t="n">
        <f aca="false">'H.3.Estado_Conserv.Pozos'!AB30</f>
        <v>0</v>
      </c>
      <c r="BF30" s="710" t="n">
        <f aca="false">+'I.Genero '!H32</f>
        <v>0</v>
      </c>
      <c r="BG30" s="711" t="n">
        <f aca="false">+'I.Genero '!K32</f>
        <v>0</v>
      </c>
      <c r="BH30" s="712" t="n">
        <f aca="false">+(BF30*0.5)+(BG30*0.5)</f>
        <v>0</v>
      </c>
      <c r="BI30" s="713" t="n">
        <f aca="false">IF(+'J.AutoGestionCAPS'!G40&gt;=0.5,1,0)</f>
        <v>0</v>
      </c>
      <c r="BJ30" s="714" t="str">
        <f aca="false">IF(AND($G30=$BJ$4,$F30="MABE"),((O30*'Ind.Sostenib.'!$B$5)+(V30*'Ind.Sostenib.'!$C$5)+(AA30*'Ind.Sostenib.'!$D$5)+(AD30*'Ind.Sostenib.'!$E$5)+(AO30*'Ind.Sostenib.'!$F$5)+(AV30*'Ind.Sostenib.'!$G$5)+(BD30*'Ind.Sostenib.'!$H$5)+(BH30*'Ind.Sostenib.'!$I$5)+(BI30*'Ind.Sostenib.'!$J$5))*100,"")</f>
        <v/>
      </c>
      <c r="BK30" s="714" t="str">
        <f aca="false">IF(AND($G30=$BK$4,$F30="MABE"),((O30*'Ind.Sostenib.'!$B$6)+(V30*'Ind.Sostenib.'!$C$5)+(AA30*'Ind.Sostenib.'!$D$5)+(AD30*'Ind.Sostenib.'!$E$5)+(AO30*'Ind.Sostenib.'!$F$5)+(AV30*'Ind.Sostenib.'!$G$5)+(BD30*'Ind.Sostenib.'!$H$5)+(BH30*'Ind.Sostenib.'!$I$5)+(BI30*'Ind.Sostenib.'!$J$5))*100,"")</f>
        <v/>
      </c>
      <c r="BL30" s="714" t="str">
        <f aca="false">IF(AND(G30=$BL$4,F30="MABE"),((O30*'Ind.Sostenib.'!$B$7)+(V30*'Ind.Sostenib.'!$C$7)+(AA30*'Ind.Sostenib.'!$D$7)+(AD30*'Ind.Sostenib.'!$E$7)+(AO30*'Ind.Sostenib.'!$F$7)+(AV30*'Ind.Sostenib.'!$G$7)+(BD30*'Ind.Sostenib.'!$H$7)+(BH30*'Ind.Sostenib.'!$I$7)+(BI30*'Ind.Sostenib.'!$J$7))*100,"")</f>
        <v/>
      </c>
      <c r="BM30" s="714" t="str">
        <f aca="false">IF(AND(G30=$BM$4,F30="MAG"),((O30*'Ind.Sostenib.'!$B$12)+(V30*'Ind.Sostenib.'!$C$12)+(AA30*'Ind.Sostenib.'!$D$12)+(AD30*'Ind.Sostenib.'!$E$12)+(AO30*'Ind.Sostenib.'!$F$12)+(AV30*'Ind.Sostenib.'!$G$12)+(AW30*'Ind.Sostenib.'!$H$12)+(BH30*'Ind.Sostenib.'!$I$12)+(BI30*'Ind.Sostenib.'!$J$12))*100,"")</f>
        <v/>
      </c>
      <c r="BN30" s="714" t="str">
        <f aca="false">IF(AND(G30=$BN$4,F30="MAG"),((O30*'Ind.Sostenib.'!$B$13)+(V30*'Ind.Sostenib.'!$C$13)+(AA30*'Ind.Sostenib.'!$D$13)+(AD30*'Ind.Sostenib.'!$E$13)+(AO30*'Ind.Sostenib.'!$F$13)+(AV30*'Ind.Sostenib.'!$G$13)+(AW30*'Ind.Sostenib.'!$H$13)+(BH30*'Ind.Sostenib.'!$I$13)+(BI30*'Ind.Sostenib.'!$J$13))*100,"")</f>
        <v/>
      </c>
      <c r="BO30" s="714" t="str">
        <f aca="false">IF(AND(G30=$BO$4,F30="MAG"),((O30*'Ind.Sostenib.'!$B$14)+(V30*'Ind.Sostenib.'!$C$14)+(AA30*'Ind.Sostenib.'!$D$14)+(AD30*'Ind.Sostenib.'!$E$14)+(AO30*'Ind.Sostenib.'!$F$14)+(AV30*'Ind.Sostenib.'!$G$14)+(AW30*'Ind.Sostenib.'!$H$14)+(BH30*'Ind.Sostenib.'!$I$14)+(BI30*'Ind.Sostenib.'!$J$14))*100,"")</f>
        <v/>
      </c>
      <c r="BP30" s="715"/>
      <c r="BQ30" s="714" t="str">
        <f aca="false">IF(AND(G30=$BQ$4,F30&lt;&gt;"MAG",F30&lt;&gt;"MABE"),((O30*'Ind.Sostenib.'!$B$12)+(V30*'Ind.Sostenib.'!$C$12)+(AA30*'Ind.Sostenib.'!$D$12)+(AD30*'Ind.Sostenib.'!$E$12)+(AO30*'Ind.Sostenib.'!$F$12)+(AV30*'Ind.Sostenib.'!$G$12)+(BE30*'Ind.Sostenib.'!$H$12)+(BH30*'Ind.Sostenib.'!$I$12)+(BI30*'Ind.Sostenib.'!$J$12))*100,"")</f>
        <v/>
      </c>
      <c r="BR30" s="714" t="str">
        <f aca="false">IF(AND(G30=$BR$4,F30&lt;&gt;"MABE",F30&lt;&gt;"MAG"),((O30*'Ind.Sostenib.'!$B$13)+(V30*'Ind.Sostenib.'!$C$13)+(AA30*'Ind.Sostenib.'!$D$13)+(AD30*'Ind.Sostenib.'!$E$13)+(AO30*'Ind.Sostenib.'!$F$13)+(AV30*'Ind.Sostenib.'!$G$13)+(BE30*'Ind.Sostenib.'!$H$13)+(BH30*'Ind.Sostenib.'!$I$13)+(BI30*'Ind.Sostenib.'!$J$13))*100,"")</f>
        <v/>
      </c>
      <c r="BS30" s="714" t="str">
        <f aca="false">IF(AND(G30=$BS$4,F30&lt;&gt;"MAG",F30&lt;&gt;"MABE"),((O30*'Ind.Sostenib.'!$B$14)+(V30*'Ind.Sostenib.'!$C$14)+(AA30*'Ind.Sostenib.'!$D$14)+(AD30*'Ind.Sostenib.'!$E$14)+(AO30*'Ind.Sostenib.'!$F$14)+(AV30*'Ind.Sostenib.'!$G$14)+(BE30*'Ind.Sostenib.'!$H$14)+(BH30*'Ind.Sostenib.'!$I$14)+(BI30*'Ind.Sostenib.'!$J$14))*100,"")</f>
        <v/>
      </c>
      <c r="BT30" s="657"/>
      <c r="BU30" s="657"/>
      <c r="BV30" s="657"/>
      <c r="BW30" s="657"/>
    </row>
    <row r="31" s="99" customFormat="true" ht="33" hidden="false" customHeight="true" outlineLevel="0" collapsed="false">
      <c r="A31" s="648"/>
      <c r="B31" s="648"/>
      <c r="C31" s="648"/>
      <c r="D31" s="648"/>
      <c r="E31" s="648"/>
      <c r="F31" s="648"/>
      <c r="G31" s="648"/>
      <c r="H31" s="648"/>
      <c r="I31" s="648"/>
      <c r="J31" s="648"/>
      <c r="K31" s="648"/>
      <c r="L31" s="648"/>
      <c r="M31" s="648"/>
      <c r="N31" s="648"/>
      <c r="O31" s="648"/>
      <c r="P31" s="648"/>
      <c r="Q31" s="648"/>
      <c r="R31" s="648"/>
      <c r="S31" s="648"/>
      <c r="T31" s="648"/>
      <c r="U31" s="648"/>
      <c r="V31" s="648"/>
      <c r="W31" s="648"/>
      <c r="X31" s="648"/>
      <c r="Y31" s="648"/>
      <c r="Z31" s="648"/>
      <c r="AA31" s="648"/>
      <c r="AB31" s="648"/>
      <c r="AC31" s="648"/>
      <c r="AD31" s="648"/>
      <c r="AE31" s="648"/>
      <c r="AF31" s="648"/>
      <c r="AG31" s="648"/>
      <c r="AH31" s="648"/>
      <c r="AI31" s="648"/>
      <c r="AJ31" s="648"/>
      <c r="AK31" s="648"/>
      <c r="AL31" s="648"/>
      <c r="AM31" s="648"/>
      <c r="AN31" s="648"/>
      <c r="AO31" s="648"/>
      <c r="AP31" s="648"/>
      <c r="AQ31" s="648"/>
      <c r="AR31" s="648"/>
      <c r="AS31" s="648"/>
      <c r="AT31" s="648"/>
      <c r="AU31" s="648"/>
      <c r="AV31" s="648"/>
      <c r="AW31" s="648"/>
      <c r="AX31" s="648"/>
      <c r="AY31" s="648"/>
      <c r="AZ31" s="648"/>
      <c r="BA31" s="648"/>
      <c r="BB31" s="648"/>
      <c r="BC31" s="648"/>
      <c r="BD31" s="648"/>
      <c r="BE31" s="648"/>
      <c r="BF31" s="648"/>
      <c r="BG31" s="648"/>
      <c r="BH31" s="648"/>
      <c r="BI31" s="648"/>
      <c r="BJ31" s="728" t="s">
        <v>576</v>
      </c>
      <c r="BK31" s="728"/>
      <c r="BL31" s="729" t="e">
        <f aca="false">AVERAGE(BJ5:BL30)</f>
        <v>#DIV/0!</v>
      </c>
      <c r="BM31" s="730" t="s">
        <v>577</v>
      </c>
      <c r="BN31" s="730"/>
      <c r="BO31" s="731" t="n">
        <f aca="false">AVERAGE(BM5:BO30)</f>
        <v>80.75</v>
      </c>
      <c r="BQ31" s="730" t="s">
        <v>578</v>
      </c>
      <c r="BR31" s="730"/>
      <c r="BS31" s="731" t="e">
        <f aca="false">AVERAGE(BQ5:BS30)</f>
        <v>#DIV/0!</v>
      </c>
      <c r="BT31" s="657"/>
      <c r="BU31" s="657"/>
      <c r="BV31" s="657"/>
      <c r="BW31" s="657"/>
    </row>
    <row r="32" s="99" customFormat="true" ht="16.5" hidden="false" customHeight="false" outlineLevel="0" collapsed="false">
      <c r="A32" s="648"/>
      <c r="B32" s="648"/>
      <c r="C32" s="648"/>
      <c r="D32" s="648"/>
      <c r="E32" s="648"/>
      <c r="F32" s="648"/>
      <c r="G32" s="648"/>
      <c r="H32" s="648"/>
      <c r="I32" s="648"/>
      <c r="J32" s="648"/>
      <c r="K32" s="648"/>
      <c r="L32" s="648"/>
      <c r="M32" s="648"/>
      <c r="N32" s="648"/>
      <c r="O32" s="648"/>
      <c r="P32" s="648"/>
      <c r="Q32" s="648"/>
      <c r="R32" s="648"/>
      <c r="S32" s="648"/>
      <c r="T32" s="648"/>
      <c r="U32" s="648"/>
      <c r="V32" s="648"/>
      <c r="W32" s="648"/>
      <c r="X32" s="648"/>
      <c r="Y32" s="648"/>
      <c r="Z32" s="648"/>
      <c r="AA32" s="648"/>
      <c r="AB32" s="648"/>
      <c r="AC32" s="648"/>
      <c r="AD32" s="648"/>
      <c r="AE32" s="648"/>
      <c r="AF32" s="648"/>
      <c r="AG32" s="648"/>
      <c r="AH32" s="648"/>
      <c r="AI32" s="648"/>
      <c r="AJ32" s="648"/>
      <c r="AK32" s="648"/>
      <c r="AL32" s="648"/>
      <c r="AM32" s="648"/>
      <c r="AN32" s="648"/>
      <c r="AO32" s="648"/>
      <c r="AP32" s="648"/>
      <c r="AQ32" s="648"/>
      <c r="AR32" s="648"/>
      <c r="AS32" s="648"/>
      <c r="AT32" s="648"/>
      <c r="AU32" s="648"/>
      <c r="AV32" s="648"/>
      <c r="AW32" s="648"/>
      <c r="AX32" s="648"/>
      <c r="AY32" s="648"/>
      <c r="AZ32" s="648"/>
      <c r="BA32" s="648"/>
      <c r="BB32" s="648"/>
      <c r="BC32" s="648"/>
      <c r="BD32" s="648"/>
      <c r="BE32" s="648"/>
      <c r="BF32" s="648"/>
      <c r="BG32" s="648"/>
      <c r="BH32" s="648"/>
      <c r="BI32" s="648"/>
      <c r="BJ32" s="648"/>
      <c r="BT32" s="657"/>
      <c r="BU32" s="657"/>
      <c r="BV32" s="657"/>
      <c r="BW32" s="657"/>
    </row>
    <row r="33" s="99" customFormat="true" ht="16.5" hidden="false" customHeight="false" outlineLevel="0" collapsed="false">
      <c r="A33" s="648"/>
      <c r="B33" s="648"/>
      <c r="C33" s="648"/>
      <c r="D33" s="648"/>
      <c r="E33" s="648"/>
      <c r="F33" s="648"/>
      <c r="G33" s="648"/>
      <c r="H33" s="648"/>
      <c r="I33" s="648"/>
      <c r="J33" s="648"/>
      <c r="K33" s="648"/>
      <c r="L33" s="648"/>
      <c r="M33" s="648"/>
      <c r="N33" s="648"/>
      <c r="O33" s="648"/>
      <c r="P33" s="648"/>
      <c r="Q33" s="648"/>
      <c r="R33" s="648"/>
      <c r="S33" s="648"/>
      <c r="T33" s="648"/>
      <c r="U33" s="648"/>
      <c r="V33" s="648"/>
      <c r="W33" s="648"/>
      <c r="X33" s="648"/>
      <c r="Y33" s="648"/>
      <c r="Z33" s="648"/>
      <c r="AA33" s="648"/>
      <c r="AB33" s="648"/>
      <c r="AC33" s="648"/>
      <c r="AD33" s="648"/>
      <c r="AE33" s="648"/>
      <c r="AF33" s="648"/>
      <c r="AG33" s="648"/>
      <c r="AH33" s="648"/>
      <c r="AI33" s="648"/>
      <c r="AJ33" s="648"/>
      <c r="AK33" s="648"/>
      <c r="AL33" s="648"/>
      <c r="AM33" s="648"/>
      <c r="AN33" s="648"/>
      <c r="AO33" s="648"/>
      <c r="AP33" s="648"/>
      <c r="AQ33" s="648"/>
      <c r="AR33" s="648"/>
      <c r="AS33" s="648"/>
      <c r="AT33" s="648"/>
      <c r="AU33" s="648"/>
      <c r="AV33" s="648"/>
      <c r="AW33" s="648"/>
      <c r="AX33" s="648"/>
      <c r="AY33" s="648"/>
      <c r="AZ33" s="648"/>
      <c r="BA33" s="648"/>
      <c r="BB33" s="648"/>
      <c r="BC33" s="648"/>
      <c r="BD33" s="648"/>
      <c r="BE33" s="648"/>
      <c r="BF33" s="648"/>
      <c r="BG33" s="648"/>
      <c r="BH33" s="648"/>
      <c r="BI33" s="648"/>
      <c r="BJ33" s="648"/>
      <c r="BT33" s="657"/>
      <c r="BU33" s="657"/>
      <c r="BV33" s="657"/>
      <c r="BW33" s="657"/>
    </row>
    <row r="34" s="99" customFormat="true" ht="16.5" hidden="false" customHeight="false" outlineLevel="0" collapsed="false">
      <c r="P34" s="648"/>
      <c r="Q34" s="648"/>
      <c r="R34" s="648"/>
      <c r="S34" s="648"/>
      <c r="T34" s="648"/>
      <c r="U34" s="648"/>
      <c r="V34" s="648"/>
      <c r="W34" s="648"/>
      <c r="X34" s="648"/>
      <c r="Y34" s="648"/>
      <c r="Z34" s="648"/>
      <c r="AA34" s="648"/>
      <c r="AB34" s="648"/>
      <c r="AC34" s="648"/>
      <c r="AD34" s="648"/>
      <c r="AE34" s="648"/>
      <c r="AF34" s="648"/>
      <c r="AG34" s="648"/>
      <c r="AH34" s="648"/>
      <c r="AI34" s="648"/>
      <c r="AJ34" s="648"/>
      <c r="AK34" s="648"/>
      <c r="AL34" s="648"/>
      <c r="AM34" s="648"/>
      <c r="AN34" s="648"/>
      <c r="AO34" s="648"/>
      <c r="AP34" s="648"/>
      <c r="AQ34" s="648"/>
      <c r="AR34" s="648"/>
      <c r="AS34" s="648"/>
      <c r="AT34" s="648"/>
      <c r="AU34" s="648"/>
      <c r="AV34" s="648"/>
      <c r="AW34" s="648"/>
      <c r="AX34" s="648"/>
      <c r="AY34" s="648"/>
      <c r="AZ34" s="648"/>
      <c r="BA34" s="648"/>
      <c r="BB34" s="648"/>
      <c r="BC34" s="648"/>
      <c r="BD34" s="648"/>
      <c r="BE34" s="648"/>
      <c r="BF34" s="648"/>
      <c r="BG34" s="648"/>
      <c r="BH34" s="648"/>
      <c r="BI34" s="648"/>
      <c r="BJ34" s="648"/>
      <c r="BT34" s="657"/>
      <c r="BU34" s="657"/>
      <c r="BV34" s="657"/>
      <c r="BW34" s="657"/>
    </row>
    <row r="35" s="99" customFormat="true" ht="16.5" hidden="false" customHeight="false" outlineLevel="0" collapsed="false">
      <c r="P35" s="648"/>
      <c r="Q35" s="648"/>
      <c r="R35" s="648"/>
      <c r="S35" s="648"/>
      <c r="T35" s="648"/>
      <c r="U35" s="648"/>
      <c r="V35" s="648"/>
      <c r="W35" s="648"/>
      <c r="X35" s="648"/>
      <c r="Y35" s="648"/>
      <c r="Z35" s="648"/>
      <c r="AA35" s="648"/>
      <c r="AB35" s="648"/>
      <c r="AC35" s="648"/>
      <c r="AD35" s="648"/>
      <c r="AE35" s="648"/>
      <c r="AF35" s="648"/>
      <c r="AG35" s="648"/>
      <c r="AH35" s="648"/>
      <c r="AI35" s="648"/>
      <c r="AJ35" s="648"/>
      <c r="AK35" s="648"/>
      <c r="AL35" s="648"/>
      <c r="AM35" s="648"/>
      <c r="AN35" s="648"/>
      <c r="AO35" s="648"/>
      <c r="AP35" s="648"/>
      <c r="AQ35" s="648"/>
      <c r="AR35" s="648"/>
      <c r="AS35" s="648"/>
      <c r="AT35" s="648"/>
      <c r="AU35" s="648"/>
      <c r="AV35" s="648"/>
      <c r="AW35" s="648"/>
      <c r="AX35" s="648"/>
      <c r="AY35" s="648"/>
      <c r="AZ35" s="648"/>
      <c r="BA35" s="648"/>
      <c r="BB35" s="648"/>
      <c r="BC35" s="648"/>
      <c r="BD35" s="648"/>
      <c r="BE35" s="648"/>
      <c r="BF35" s="648"/>
      <c r="BG35" s="648"/>
      <c r="BH35" s="648"/>
      <c r="BI35" s="648"/>
      <c r="BJ35" s="648"/>
      <c r="BT35" s="657"/>
      <c r="BU35" s="657"/>
      <c r="BV35" s="657"/>
      <c r="BW35" s="657"/>
    </row>
    <row r="36" s="99" customFormat="true" ht="16.5" hidden="false" customHeight="false" outlineLevel="0" collapsed="false">
      <c r="A36" s="648"/>
      <c r="B36" s="648"/>
      <c r="C36" s="648"/>
      <c r="D36" s="648"/>
      <c r="E36" s="648"/>
      <c r="F36" s="648"/>
      <c r="G36" s="648"/>
      <c r="H36" s="648"/>
      <c r="I36" s="648"/>
      <c r="J36" s="648"/>
      <c r="K36" s="648"/>
      <c r="L36" s="648"/>
      <c r="M36" s="648"/>
      <c r="N36" s="648"/>
      <c r="O36" s="648"/>
      <c r="P36" s="648"/>
      <c r="Q36" s="648"/>
      <c r="R36" s="648"/>
      <c r="S36" s="648"/>
      <c r="T36" s="648"/>
      <c r="U36" s="648"/>
      <c r="V36" s="648"/>
      <c r="W36" s="648"/>
      <c r="X36" s="648"/>
      <c r="Y36" s="648"/>
      <c r="Z36" s="648"/>
      <c r="AA36" s="648"/>
      <c r="AB36" s="648"/>
      <c r="AC36" s="648"/>
      <c r="AD36" s="648"/>
      <c r="AE36" s="648"/>
      <c r="AF36" s="648"/>
      <c r="AG36" s="648"/>
      <c r="AH36" s="648"/>
      <c r="AI36" s="648"/>
      <c r="AJ36" s="648"/>
      <c r="AK36" s="648"/>
      <c r="AL36" s="648"/>
      <c r="AM36" s="648"/>
      <c r="AN36" s="648"/>
      <c r="AO36" s="648"/>
      <c r="AP36" s="648"/>
      <c r="AQ36" s="648"/>
      <c r="AR36" s="648"/>
      <c r="AS36" s="648"/>
      <c r="AT36" s="648"/>
      <c r="AU36" s="648"/>
      <c r="AV36" s="648"/>
      <c r="AW36" s="648"/>
      <c r="AX36" s="648"/>
      <c r="AY36" s="648"/>
      <c r="AZ36" s="648"/>
      <c r="BA36" s="648"/>
      <c r="BB36" s="648"/>
      <c r="BC36" s="648"/>
      <c r="BD36" s="648"/>
      <c r="BE36" s="648"/>
      <c r="BF36" s="648"/>
      <c r="BG36" s="648"/>
      <c r="BH36" s="648"/>
      <c r="BI36" s="648"/>
      <c r="BJ36" s="648"/>
      <c r="BT36" s="657"/>
      <c r="BU36" s="657"/>
      <c r="BV36" s="657"/>
      <c r="BW36" s="657"/>
    </row>
    <row r="37" s="99" customFormat="true" ht="16.5" hidden="false" customHeight="false" outlineLevel="0" collapsed="false">
      <c r="A37" s="648"/>
      <c r="B37" s="648"/>
      <c r="C37" s="648"/>
      <c r="D37" s="648"/>
      <c r="E37" s="648"/>
      <c r="F37" s="648"/>
      <c r="G37" s="648"/>
      <c r="H37" s="648"/>
      <c r="I37" s="648"/>
      <c r="J37" s="648"/>
      <c r="K37" s="648"/>
      <c r="L37" s="648"/>
      <c r="M37" s="648"/>
      <c r="N37" s="648"/>
      <c r="O37" s="648"/>
      <c r="P37" s="648"/>
      <c r="Q37" s="648"/>
      <c r="R37" s="648"/>
      <c r="S37" s="648"/>
      <c r="T37" s="648"/>
      <c r="U37" s="648"/>
      <c r="V37" s="648"/>
      <c r="W37" s="648"/>
      <c r="X37" s="648"/>
      <c r="Y37" s="648"/>
      <c r="Z37" s="648"/>
      <c r="AA37" s="648"/>
      <c r="AB37" s="648"/>
      <c r="AC37" s="648"/>
      <c r="AD37" s="648"/>
      <c r="AE37" s="648"/>
      <c r="AF37" s="648"/>
      <c r="AG37" s="648"/>
      <c r="AH37" s="648"/>
      <c r="AI37" s="648"/>
      <c r="AJ37" s="648"/>
      <c r="AK37" s="648"/>
      <c r="AL37" s="648"/>
      <c r="AM37" s="648"/>
      <c r="AN37" s="648"/>
      <c r="AO37" s="648"/>
      <c r="AP37" s="648"/>
      <c r="AQ37" s="648"/>
      <c r="AR37" s="648"/>
      <c r="AS37" s="648"/>
      <c r="AT37" s="648"/>
      <c r="AU37" s="648"/>
      <c r="AV37" s="648"/>
      <c r="AW37" s="648"/>
      <c r="AX37" s="648"/>
      <c r="AY37" s="648"/>
      <c r="AZ37" s="648"/>
      <c r="BA37" s="648"/>
      <c r="BB37" s="648"/>
      <c r="BC37" s="648"/>
      <c r="BD37" s="648"/>
      <c r="BE37" s="648"/>
      <c r="BF37" s="648"/>
      <c r="BG37" s="648"/>
      <c r="BH37" s="648"/>
      <c r="BI37" s="648"/>
      <c r="BJ37" s="648"/>
      <c r="BT37" s="657"/>
      <c r="BU37" s="657"/>
      <c r="BV37" s="657"/>
      <c r="BW37" s="657"/>
    </row>
    <row r="38" s="99" customFormat="true" ht="16.5" hidden="false" customHeight="false" outlineLevel="0" collapsed="false">
      <c r="A38" s="648"/>
      <c r="B38" s="648"/>
      <c r="C38" s="648"/>
      <c r="D38" s="648"/>
      <c r="E38" s="648"/>
      <c r="F38" s="648"/>
      <c r="G38" s="648"/>
      <c r="H38" s="648"/>
      <c r="I38" s="648"/>
      <c r="J38" s="648"/>
      <c r="K38" s="648"/>
      <c r="L38" s="648"/>
      <c r="M38" s="648"/>
      <c r="N38" s="648"/>
      <c r="O38" s="648"/>
      <c r="P38" s="648"/>
      <c r="Q38" s="648"/>
      <c r="R38" s="648"/>
      <c r="S38" s="648"/>
      <c r="T38" s="648"/>
      <c r="U38" s="648"/>
      <c r="V38" s="648"/>
      <c r="W38" s="648"/>
      <c r="X38" s="648"/>
      <c r="Y38" s="648"/>
      <c r="Z38" s="648"/>
      <c r="AA38" s="648"/>
      <c r="AB38" s="648"/>
      <c r="AC38" s="648"/>
      <c r="AD38" s="648"/>
      <c r="AE38" s="648"/>
      <c r="AF38" s="648"/>
      <c r="AG38" s="648"/>
      <c r="AH38" s="648"/>
      <c r="AI38" s="648"/>
      <c r="AJ38" s="648"/>
      <c r="AK38" s="648"/>
      <c r="AL38" s="648"/>
      <c r="AM38" s="648"/>
      <c r="AN38" s="648"/>
      <c r="AO38" s="648"/>
      <c r="AP38" s="648"/>
      <c r="AQ38" s="648"/>
      <c r="AR38" s="648"/>
      <c r="AS38" s="648"/>
      <c r="AT38" s="648"/>
      <c r="AU38" s="648"/>
      <c r="AV38" s="648"/>
      <c r="AW38" s="648"/>
      <c r="AX38" s="648"/>
      <c r="AY38" s="648"/>
      <c r="AZ38" s="648"/>
      <c r="BA38" s="648"/>
      <c r="BB38" s="648"/>
      <c r="BC38" s="648"/>
      <c r="BD38" s="648"/>
      <c r="BE38" s="648"/>
      <c r="BF38" s="648"/>
      <c r="BG38" s="648"/>
      <c r="BH38" s="648"/>
      <c r="BI38" s="648"/>
      <c r="BJ38" s="648"/>
      <c r="BT38" s="657"/>
      <c r="BU38" s="657"/>
      <c r="BV38" s="657"/>
      <c r="BW38" s="657"/>
    </row>
    <row r="39" s="99" customFormat="true" ht="16.5" hidden="false" customHeight="false" outlineLevel="0" collapsed="false">
      <c r="A39" s="648"/>
      <c r="B39" s="648"/>
      <c r="C39" s="648"/>
      <c r="D39" s="648"/>
      <c r="E39" s="648"/>
      <c r="F39" s="648"/>
      <c r="G39" s="648"/>
      <c r="H39" s="648"/>
      <c r="I39" s="648"/>
      <c r="J39" s="648"/>
      <c r="K39" s="648"/>
      <c r="L39" s="648"/>
      <c r="M39" s="648"/>
      <c r="N39" s="648"/>
      <c r="O39" s="648"/>
      <c r="P39" s="648"/>
      <c r="Q39" s="648"/>
      <c r="R39" s="648"/>
      <c r="S39" s="648"/>
      <c r="T39" s="648"/>
      <c r="U39" s="648"/>
      <c r="V39" s="648"/>
      <c r="W39" s="648"/>
      <c r="X39" s="648"/>
      <c r="Y39" s="648"/>
      <c r="Z39" s="648"/>
      <c r="AA39" s="648"/>
      <c r="AB39" s="648"/>
      <c r="AC39" s="648"/>
      <c r="AD39" s="648"/>
      <c r="AE39" s="648"/>
      <c r="AF39" s="648"/>
      <c r="AG39" s="648"/>
      <c r="AH39" s="648"/>
      <c r="AI39" s="648"/>
      <c r="AJ39" s="648"/>
      <c r="AK39" s="648"/>
      <c r="AL39" s="648"/>
      <c r="AM39" s="648"/>
      <c r="AN39" s="648"/>
      <c r="AO39" s="648"/>
      <c r="AP39" s="648"/>
      <c r="AQ39" s="648"/>
      <c r="AR39" s="648"/>
      <c r="AS39" s="648"/>
      <c r="AT39" s="648"/>
      <c r="AU39" s="648"/>
      <c r="AV39" s="648"/>
      <c r="AW39" s="648"/>
      <c r="AX39" s="648"/>
      <c r="AY39" s="648"/>
      <c r="AZ39" s="648"/>
      <c r="BA39" s="648"/>
      <c r="BB39" s="648"/>
      <c r="BC39" s="648"/>
      <c r="BD39" s="648"/>
      <c r="BE39" s="648"/>
      <c r="BF39" s="648"/>
      <c r="BG39" s="648"/>
      <c r="BH39" s="648"/>
      <c r="BI39" s="648"/>
      <c r="BJ39" s="648"/>
      <c r="BT39" s="657"/>
      <c r="BU39" s="657"/>
      <c r="BV39" s="657"/>
      <c r="BW39" s="657"/>
    </row>
    <row r="40" s="99" customFormat="true" ht="16.5" hidden="false" customHeight="false" outlineLevel="0" collapsed="false">
      <c r="A40" s="648"/>
      <c r="B40" s="648"/>
      <c r="C40" s="648"/>
      <c r="D40" s="648"/>
      <c r="E40" s="648"/>
      <c r="F40" s="648"/>
      <c r="G40" s="648"/>
      <c r="H40" s="648"/>
      <c r="I40" s="648"/>
      <c r="J40" s="648"/>
      <c r="K40" s="648"/>
      <c r="L40" s="648"/>
      <c r="M40" s="648"/>
      <c r="N40" s="648"/>
      <c r="O40" s="648"/>
      <c r="P40" s="648"/>
      <c r="Q40" s="648"/>
      <c r="R40" s="648"/>
      <c r="S40" s="648"/>
      <c r="T40" s="648"/>
      <c r="U40" s="648"/>
      <c r="V40" s="648"/>
      <c r="W40" s="648"/>
      <c r="X40" s="648"/>
      <c r="Y40" s="648"/>
      <c r="Z40" s="648"/>
      <c r="AA40" s="648"/>
      <c r="AB40" s="648"/>
      <c r="AC40" s="648"/>
      <c r="AD40" s="648"/>
      <c r="AE40" s="648"/>
      <c r="AF40" s="648"/>
      <c r="AG40" s="648"/>
      <c r="AH40" s="648"/>
      <c r="AI40" s="648"/>
      <c r="AJ40" s="648"/>
      <c r="AK40" s="648"/>
      <c r="AL40" s="648"/>
      <c r="AM40" s="648"/>
      <c r="AN40" s="648"/>
      <c r="AO40" s="648"/>
      <c r="AP40" s="648"/>
      <c r="AQ40" s="648"/>
      <c r="AR40" s="648"/>
      <c r="AS40" s="648"/>
      <c r="AT40" s="648"/>
      <c r="AU40" s="648"/>
      <c r="AV40" s="648"/>
      <c r="AW40" s="648"/>
      <c r="AX40" s="648"/>
      <c r="AY40" s="648"/>
      <c r="AZ40" s="648"/>
      <c r="BA40" s="648"/>
      <c r="BB40" s="648"/>
      <c r="BC40" s="648"/>
      <c r="BD40" s="648"/>
      <c r="BE40" s="648"/>
      <c r="BF40" s="648"/>
      <c r="BG40" s="648"/>
      <c r="BH40" s="648"/>
      <c r="BI40" s="648"/>
      <c r="BJ40" s="648"/>
      <c r="BT40" s="657"/>
      <c r="BU40" s="657"/>
      <c r="BV40" s="657"/>
      <c r="BW40" s="657"/>
    </row>
    <row r="41" s="99" customFormat="true" ht="16.5" hidden="false" customHeight="false" outlineLevel="0" collapsed="false">
      <c r="A41" s="648"/>
      <c r="B41" s="648"/>
      <c r="C41" s="648"/>
      <c r="D41" s="648"/>
      <c r="E41" s="648"/>
      <c r="F41" s="648"/>
      <c r="G41" s="648"/>
      <c r="H41" s="648"/>
      <c r="I41" s="648"/>
      <c r="J41" s="648"/>
      <c r="K41" s="648"/>
      <c r="L41" s="648"/>
      <c r="M41" s="648"/>
      <c r="N41" s="648"/>
      <c r="O41" s="648"/>
      <c r="P41" s="648"/>
      <c r="Q41" s="648"/>
      <c r="R41" s="648"/>
      <c r="S41" s="648"/>
      <c r="T41" s="648"/>
      <c r="U41" s="648"/>
      <c r="V41" s="648"/>
      <c r="W41" s="648"/>
      <c r="X41" s="648"/>
      <c r="Y41" s="648"/>
      <c r="Z41" s="648"/>
      <c r="AA41" s="648"/>
      <c r="AB41" s="648"/>
      <c r="AC41" s="648"/>
      <c r="AD41" s="648"/>
      <c r="AE41" s="648"/>
      <c r="AF41" s="648"/>
      <c r="AG41" s="648"/>
      <c r="AH41" s="648"/>
      <c r="AI41" s="648"/>
      <c r="AJ41" s="648"/>
      <c r="AK41" s="648"/>
      <c r="AL41" s="648"/>
      <c r="AM41" s="648"/>
      <c r="AN41" s="648"/>
      <c r="AO41" s="648"/>
      <c r="AP41" s="648"/>
      <c r="AQ41" s="648"/>
      <c r="AR41" s="648"/>
      <c r="AS41" s="648"/>
      <c r="AT41" s="648"/>
      <c r="AU41" s="648"/>
      <c r="AV41" s="648"/>
      <c r="AW41" s="648"/>
      <c r="AX41" s="648"/>
      <c r="AY41" s="648"/>
      <c r="AZ41" s="648"/>
      <c r="BA41" s="648"/>
      <c r="BB41" s="648"/>
      <c r="BC41" s="648"/>
      <c r="BD41" s="648"/>
      <c r="BE41" s="648"/>
      <c r="BF41" s="648"/>
      <c r="BG41" s="648"/>
      <c r="BH41" s="648"/>
      <c r="BI41" s="648"/>
      <c r="BJ41" s="648"/>
      <c r="BT41" s="657"/>
      <c r="BU41" s="657"/>
      <c r="BV41" s="657"/>
      <c r="BW41" s="657"/>
    </row>
    <row r="42" s="99" customFormat="true" ht="16.5" hidden="false" customHeight="false" outlineLevel="0" collapsed="false">
      <c r="A42" s="648"/>
      <c r="B42" s="648"/>
      <c r="C42" s="648"/>
      <c r="D42" s="648"/>
      <c r="E42" s="648"/>
      <c r="F42" s="648"/>
      <c r="G42" s="648"/>
      <c r="H42" s="648"/>
      <c r="I42" s="648"/>
      <c r="J42" s="648"/>
      <c r="K42" s="648"/>
      <c r="L42" s="648"/>
      <c r="M42" s="648"/>
      <c r="N42" s="648"/>
      <c r="O42" s="648"/>
      <c r="P42" s="648"/>
      <c r="Q42" s="648"/>
      <c r="R42" s="648"/>
      <c r="S42" s="648"/>
      <c r="T42" s="648"/>
      <c r="U42" s="648"/>
      <c r="V42" s="648"/>
      <c r="W42" s="648"/>
      <c r="X42" s="648"/>
      <c r="Y42" s="648"/>
      <c r="Z42" s="648"/>
      <c r="AA42" s="648"/>
      <c r="AB42" s="648"/>
      <c r="AC42" s="648"/>
      <c r="AD42" s="648"/>
      <c r="AE42" s="648"/>
      <c r="AF42" s="648"/>
      <c r="AG42" s="648"/>
      <c r="AH42" s="648"/>
      <c r="AI42" s="648"/>
      <c r="AJ42" s="648"/>
      <c r="AK42" s="648"/>
      <c r="AL42" s="648"/>
      <c r="AM42" s="648"/>
      <c r="AN42" s="648"/>
      <c r="AO42" s="648"/>
      <c r="AP42" s="648"/>
      <c r="AQ42" s="648"/>
      <c r="AR42" s="648"/>
      <c r="AS42" s="648"/>
      <c r="AT42" s="648"/>
      <c r="AU42" s="648"/>
      <c r="AV42" s="648"/>
      <c r="AW42" s="648"/>
      <c r="AX42" s="648"/>
      <c r="AY42" s="648"/>
      <c r="AZ42" s="648"/>
      <c r="BA42" s="648"/>
      <c r="BB42" s="648"/>
      <c r="BC42" s="648"/>
      <c r="BD42" s="648"/>
      <c r="BE42" s="648"/>
      <c r="BF42" s="648"/>
      <c r="BG42" s="648"/>
      <c r="BH42" s="648"/>
      <c r="BI42" s="648"/>
      <c r="BJ42" s="648"/>
      <c r="BT42" s="657"/>
      <c r="BU42" s="657"/>
      <c r="BV42" s="657"/>
      <c r="BW42" s="657"/>
    </row>
    <row r="43" s="99" customFormat="true" ht="16.5" hidden="false" customHeight="false" outlineLevel="0" collapsed="false">
      <c r="A43" s="648"/>
      <c r="B43" s="648"/>
      <c r="C43" s="648"/>
      <c r="D43" s="648"/>
      <c r="E43" s="648"/>
      <c r="F43" s="648"/>
      <c r="G43" s="648"/>
      <c r="H43" s="648"/>
      <c r="I43" s="648"/>
      <c r="J43" s="648"/>
      <c r="K43" s="648"/>
      <c r="L43" s="648"/>
      <c r="M43" s="648"/>
      <c r="N43" s="648"/>
      <c r="O43" s="648"/>
      <c r="P43" s="648"/>
      <c r="Q43" s="648"/>
      <c r="R43" s="648"/>
      <c r="S43" s="648"/>
      <c r="T43" s="648"/>
      <c r="U43" s="648"/>
      <c r="V43" s="648"/>
      <c r="W43" s="648"/>
      <c r="X43" s="648"/>
      <c r="Y43" s="648"/>
      <c r="Z43" s="648"/>
      <c r="AA43" s="648"/>
      <c r="AB43" s="648"/>
      <c r="AC43" s="648"/>
      <c r="AD43" s="648"/>
      <c r="AE43" s="648"/>
      <c r="AF43" s="648"/>
      <c r="AG43" s="648"/>
      <c r="AH43" s="648"/>
      <c r="AI43" s="648"/>
      <c r="AJ43" s="648"/>
      <c r="AK43" s="648"/>
      <c r="AL43" s="648"/>
      <c r="AM43" s="648"/>
      <c r="AN43" s="648"/>
      <c r="AO43" s="648"/>
      <c r="AP43" s="648"/>
      <c r="AQ43" s="648"/>
      <c r="AR43" s="648"/>
      <c r="AS43" s="648"/>
      <c r="AT43" s="648"/>
      <c r="AU43" s="648"/>
      <c r="AV43" s="648"/>
      <c r="AW43" s="648"/>
      <c r="AX43" s="648"/>
      <c r="AY43" s="648"/>
      <c r="AZ43" s="648"/>
      <c r="BA43" s="648"/>
      <c r="BB43" s="648"/>
      <c r="BC43" s="648"/>
      <c r="BD43" s="648"/>
      <c r="BE43" s="648"/>
      <c r="BF43" s="648"/>
      <c r="BG43" s="648"/>
      <c r="BH43" s="648"/>
      <c r="BI43" s="648"/>
      <c r="BJ43" s="648"/>
      <c r="BT43" s="657"/>
      <c r="BU43" s="657"/>
      <c r="BV43" s="657"/>
      <c r="BW43" s="657"/>
    </row>
    <row r="44" s="99" customFormat="true" ht="16.5" hidden="false" customHeight="false" outlineLevel="0" collapsed="false">
      <c r="A44" s="648"/>
      <c r="B44" s="648"/>
      <c r="C44" s="648"/>
      <c r="D44" s="648"/>
      <c r="E44" s="648"/>
      <c r="F44" s="648"/>
      <c r="G44" s="648"/>
      <c r="H44" s="648"/>
      <c r="I44" s="648"/>
      <c r="J44" s="648"/>
      <c r="K44" s="648"/>
      <c r="L44" s="648"/>
      <c r="M44" s="648"/>
      <c r="N44" s="648"/>
      <c r="O44" s="648"/>
      <c r="P44" s="648"/>
      <c r="Q44" s="648"/>
      <c r="R44" s="648"/>
      <c r="S44" s="648"/>
      <c r="T44" s="648"/>
      <c r="U44" s="648"/>
      <c r="V44" s="648"/>
      <c r="W44" s="648"/>
      <c r="X44" s="648"/>
      <c r="Y44" s="648"/>
      <c r="Z44" s="648"/>
      <c r="AA44" s="648"/>
      <c r="AB44" s="648"/>
      <c r="AC44" s="648"/>
      <c r="AD44" s="648"/>
      <c r="AE44" s="648"/>
      <c r="AF44" s="648"/>
      <c r="AG44" s="648"/>
      <c r="AH44" s="648"/>
      <c r="AI44" s="648"/>
      <c r="AJ44" s="648"/>
      <c r="AK44" s="648"/>
      <c r="AL44" s="648"/>
      <c r="AM44" s="648"/>
      <c r="AN44" s="648"/>
      <c r="AO44" s="648"/>
      <c r="AP44" s="648"/>
      <c r="AQ44" s="648"/>
      <c r="AR44" s="648"/>
      <c r="AS44" s="648"/>
      <c r="AT44" s="648"/>
      <c r="AU44" s="648"/>
      <c r="AV44" s="648"/>
      <c r="AW44" s="648"/>
      <c r="AX44" s="648"/>
      <c r="AY44" s="648"/>
      <c r="AZ44" s="648"/>
      <c r="BA44" s="648"/>
      <c r="BB44" s="648"/>
      <c r="BC44" s="648"/>
      <c r="BD44" s="648"/>
      <c r="BE44" s="648"/>
      <c r="BF44" s="648"/>
      <c r="BG44" s="648"/>
      <c r="BH44" s="648"/>
      <c r="BI44" s="648"/>
      <c r="BJ44" s="648"/>
      <c r="BT44" s="657"/>
      <c r="BU44" s="657"/>
      <c r="BV44" s="657"/>
      <c r="BW44" s="657"/>
    </row>
    <row r="45" s="99" customFormat="true" ht="16.5" hidden="false" customHeight="false" outlineLevel="0" collapsed="false">
      <c r="A45" s="648"/>
      <c r="B45" s="648"/>
      <c r="C45" s="648"/>
      <c r="D45" s="648"/>
      <c r="E45" s="648"/>
      <c r="F45" s="648"/>
      <c r="G45" s="648"/>
      <c r="H45" s="648"/>
      <c r="I45" s="648"/>
      <c r="J45" s="648"/>
      <c r="K45" s="648"/>
      <c r="L45" s="648"/>
      <c r="M45" s="648"/>
      <c r="N45" s="648"/>
      <c r="O45" s="648"/>
      <c r="P45" s="648"/>
      <c r="Q45" s="648"/>
      <c r="R45" s="648"/>
      <c r="S45" s="648"/>
      <c r="T45" s="648"/>
      <c r="U45" s="648"/>
      <c r="V45" s="648"/>
      <c r="W45" s="648"/>
      <c r="X45" s="648"/>
      <c r="Y45" s="648"/>
      <c r="Z45" s="648"/>
      <c r="AA45" s="648"/>
      <c r="AB45" s="648"/>
      <c r="AC45" s="648"/>
      <c r="AD45" s="648"/>
      <c r="AE45" s="648"/>
      <c r="AF45" s="648"/>
      <c r="AG45" s="648"/>
      <c r="AH45" s="648"/>
      <c r="AI45" s="648"/>
      <c r="AJ45" s="648"/>
      <c r="AK45" s="648"/>
      <c r="AL45" s="648"/>
      <c r="AM45" s="648"/>
      <c r="AN45" s="648"/>
      <c r="AO45" s="648"/>
      <c r="AP45" s="648"/>
      <c r="AQ45" s="648"/>
      <c r="AR45" s="648"/>
      <c r="AS45" s="648"/>
      <c r="AT45" s="648"/>
      <c r="AU45" s="648"/>
      <c r="AV45" s="648"/>
      <c r="AW45" s="648"/>
      <c r="AX45" s="648"/>
      <c r="AY45" s="648"/>
      <c r="AZ45" s="648"/>
      <c r="BA45" s="648"/>
      <c r="BB45" s="648"/>
      <c r="BC45" s="648"/>
      <c r="BD45" s="648"/>
      <c r="BE45" s="648"/>
      <c r="BF45" s="648"/>
      <c r="BG45" s="648"/>
      <c r="BH45" s="648"/>
      <c r="BI45" s="648"/>
      <c r="BJ45" s="648"/>
      <c r="BT45" s="657"/>
      <c r="BU45" s="657"/>
      <c r="BV45" s="657"/>
      <c r="BW45" s="657"/>
    </row>
    <row r="46" s="99" customFormat="true" ht="16.5" hidden="false" customHeight="false" outlineLevel="0" collapsed="false">
      <c r="A46" s="648"/>
      <c r="B46" s="648"/>
      <c r="C46" s="648"/>
      <c r="D46" s="648"/>
      <c r="E46" s="648"/>
      <c r="F46" s="648"/>
      <c r="G46" s="648"/>
      <c r="H46" s="648"/>
      <c r="I46" s="648"/>
      <c r="J46" s="648"/>
      <c r="K46" s="648"/>
      <c r="L46" s="648"/>
      <c r="M46" s="648"/>
      <c r="N46" s="648"/>
      <c r="O46" s="648"/>
      <c r="P46" s="648"/>
      <c r="Q46" s="648"/>
      <c r="R46" s="648"/>
      <c r="S46" s="648"/>
      <c r="T46" s="648"/>
      <c r="U46" s="648"/>
      <c r="V46" s="648"/>
      <c r="W46" s="648"/>
      <c r="X46" s="648"/>
      <c r="Y46" s="648"/>
      <c r="Z46" s="648"/>
      <c r="AA46" s="648"/>
      <c r="AB46" s="648"/>
      <c r="AC46" s="648"/>
      <c r="AD46" s="648"/>
      <c r="AE46" s="648"/>
      <c r="AF46" s="648"/>
      <c r="AG46" s="648"/>
      <c r="AH46" s="648"/>
      <c r="AI46" s="648"/>
      <c r="AJ46" s="648"/>
      <c r="AK46" s="648"/>
      <c r="AL46" s="648"/>
      <c r="AM46" s="648"/>
      <c r="AN46" s="648"/>
      <c r="AO46" s="648"/>
      <c r="AP46" s="648"/>
      <c r="AQ46" s="648"/>
      <c r="AR46" s="648"/>
      <c r="AS46" s="648"/>
      <c r="AT46" s="648"/>
      <c r="AU46" s="648"/>
      <c r="AV46" s="648"/>
      <c r="AW46" s="648"/>
      <c r="AX46" s="648"/>
      <c r="AY46" s="648"/>
      <c r="AZ46" s="648"/>
      <c r="BA46" s="648"/>
      <c r="BB46" s="648"/>
      <c r="BC46" s="648"/>
      <c r="BD46" s="648"/>
      <c r="BE46" s="648"/>
      <c r="BF46" s="648"/>
      <c r="BG46" s="648"/>
      <c r="BH46" s="648"/>
      <c r="BI46" s="648"/>
      <c r="BJ46" s="648"/>
      <c r="BT46" s="657"/>
      <c r="BU46" s="657"/>
      <c r="BV46" s="657"/>
      <c r="BW46" s="657"/>
    </row>
    <row r="47" s="99" customFormat="true" ht="16.5" hidden="false" customHeight="false" outlineLevel="0" collapsed="false">
      <c r="A47" s="648"/>
      <c r="B47" s="648"/>
      <c r="C47" s="648"/>
      <c r="D47" s="648"/>
      <c r="E47" s="648"/>
      <c r="F47" s="648"/>
      <c r="G47" s="648"/>
      <c r="H47" s="648"/>
      <c r="I47" s="648"/>
      <c r="J47" s="648"/>
      <c r="K47" s="648"/>
      <c r="L47" s="648"/>
      <c r="M47" s="648"/>
      <c r="N47" s="648"/>
      <c r="O47" s="648"/>
      <c r="P47" s="648"/>
      <c r="Q47" s="648"/>
      <c r="R47" s="648"/>
      <c r="S47" s="648"/>
      <c r="T47" s="648"/>
      <c r="U47" s="648"/>
      <c r="V47" s="648"/>
      <c r="W47" s="648"/>
      <c r="X47" s="648"/>
      <c r="Y47" s="648"/>
      <c r="Z47" s="648"/>
      <c r="AA47" s="648"/>
      <c r="AB47" s="648"/>
      <c r="AC47" s="648"/>
      <c r="AD47" s="648"/>
      <c r="AE47" s="648"/>
      <c r="AF47" s="648"/>
      <c r="AG47" s="648"/>
      <c r="AH47" s="648"/>
      <c r="AI47" s="648"/>
      <c r="AJ47" s="648"/>
      <c r="AK47" s="648"/>
      <c r="AL47" s="648"/>
      <c r="AM47" s="648"/>
      <c r="AN47" s="648"/>
      <c r="AO47" s="648"/>
      <c r="AP47" s="648"/>
      <c r="AQ47" s="648"/>
      <c r="AR47" s="648"/>
      <c r="AS47" s="648"/>
      <c r="AT47" s="648"/>
      <c r="AU47" s="648"/>
      <c r="AV47" s="648"/>
      <c r="AW47" s="648"/>
      <c r="AX47" s="648"/>
      <c r="AY47" s="648"/>
      <c r="AZ47" s="648"/>
      <c r="BA47" s="648"/>
      <c r="BB47" s="648"/>
      <c r="BC47" s="648"/>
      <c r="BD47" s="648"/>
      <c r="BE47" s="648"/>
      <c r="BF47" s="648"/>
      <c r="BG47" s="648"/>
      <c r="BH47" s="648"/>
      <c r="BI47" s="648"/>
      <c r="BJ47" s="648"/>
      <c r="BT47" s="657"/>
      <c r="BU47" s="657"/>
      <c r="BV47" s="657"/>
      <c r="BW47" s="657"/>
    </row>
    <row r="48" s="99" customFormat="true" ht="16.5" hidden="false" customHeight="false" outlineLevel="0" collapsed="false">
      <c r="A48" s="648"/>
      <c r="B48" s="648"/>
      <c r="C48" s="648"/>
      <c r="D48" s="648"/>
      <c r="E48" s="648"/>
      <c r="F48" s="648"/>
      <c r="G48" s="648"/>
      <c r="H48" s="648"/>
      <c r="I48" s="648"/>
      <c r="J48" s="648"/>
      <c r="K48" s="648"/>
      <c r="L48" s="648"/>
      <c r="M48" s="648"/>
      <c r="N48" s="648"/>
      <c r="O48" s="648"/>
      <c r="P48" s="648"/>
      <c r="Q48" s="648"/>
      <c r="R48" s="648"/>
      <c r="S48" s="648"/>
      <c r="T48" s="648"/>
      <c r="U48" s="648"/>
      <c r="V48" s="648"/>
      <c r="W48" s="648"/>
      <c r="X48" s="648"/>
      <c r="Y48" s="648"/>
      <c r="Z48" s="648"/>
      <c r="AA48" s="648"/>
      <c r="AB48" s="648"/>
      <c r="AC48" s="648"/>
      <c r="AD48" s="648"/>
      <c r="AE48" s="648"/>
      <c r="AF48" s="648"/>
      <c r="AG48" s="648"/>
      <c r="AH48" s="648"/>
      <c r="AI48" s="648"/>
      <c r="AJ48" s="648"/>
      <c r="AK48" s="648"/>
      <c r="AL48" s="648"/>
      <c r="AM48" s="648"/>
      <c r="AN48" s="648"/>
      <c r="AO48" s="648"/>
      <c r="AP48" s="648"/>
      <c r="AQ48" s="648"/>
      <c r="AR48" s="648"/>
      <c r="AS48" s="648"/>
      <c r="AT48" s="648"/>
      <c r="AU48" s="648"/>
      <c r="AV48" s="648"/>
      <c r="AW48" s="648"/>
      <c r="AX48" s="648"/>
      <c r="AY48" s="648"/>
      <c r="AZ48" s="648"/>
      <c r="BA48" s="648"/>
      <c r="BB48" s="648"/>
      <c r="BC48" s="648"/>
      <c r="BD48" s="648"/>
      <c r="BE48" s="648"/>
      <c r="BF48" s="648"/>
      <c r="BG48" s="648"/>
      <c r="BH48" s="648"/>
      <c r="BI48" s="648"/>
      <c r="BJ48" s="648"/>
      <c r="BT48" s="657"/>
      <c r="BU48" s="657"/>
      <c r="BV48" s="657"/>
      <c r="BW48" s="657"/>
    </row>
    <row r="49" s="99" customFormat="true" ht="16.5" hidden="false" customHeight="false" outlineLevel="0" collapsed="false">
      <c r="A49" s="648"/>
      <c r="B49" s="648"/>
      <c r="C49" s="648"/>
      <c r="D49" s="648"/>
      <c r="E49" s="648"/>
      <c r="F49" s="648"/>
      <c r="G49" s="648"/>
      <c r="H49" s="648"/>
      <c r="I49" s="648"/>
      <c r="J49" s="648"/>
      <c r="K49" s="648"/>
      <c r="L49" s="648"/>
      <c r="M49" s="648"/>
      <c r="N49" s="648"/>
      <c r="O49" s="648"/>
      <c r="P49" s="648"/>
      <c r="Q49" s="648"/>
      <c r="R49" s="648"/>
      <c r="S49" s="648"/>
      <c r="T49" s="648"/>
      <c r="U49" s="648"/>
      <c r="V49" s="648"/>
      <c r="W49" s="648"/>
      <c r="X49" s="648"/>
      <c r="Y49" s="648"/>
      <c r="Z49" s="648"/>
      <c r="AA49" s="648"/>
      <c r="AB49" s="648"/>
      <c r="AC49" s="648"/>
      <c r="AD49" s="648"/>
      <c r="AE49" s="648"/>
      <c r="AF49" s="648"/>
      <c r="AG49" s="648"/>
      <c r="AH49" s="648"/>
      <c r="AI49" s="648"/>
      <c r="AJ49" s="648"/>
      <c r="AK49" s="648"/>
      <c r="AL49" s="648"/>
      <c r="AM49" s="648"/>
      <c r="AN49" s="648"/>
      <c r="AO49" s="648"/>
      <c r="AP49" s="648"/>
      <c r="AQ49" s="648"/>
      <c r="AR49" s="648"/>
      <c r="AS49" s="648"/>
      <c r="AT49" s="648"/>
      <c r="AU49" s="648"/>
      <c r="AV49" s="648"/>
      <c r="AW49" s="648"/>
      <c r="AX49" s="648"/>
      <c r="AY49" s="648"/>
      <c r="AZ49" s="648"/>
      <c r="BA49" s="648"/>
      <c r="BB49" s="648"/>
      <c r="BC49" s="648"/>
      <c r="BD49" s="648"/>
      <c r="BE49" s="648"/>
      <c r="BF49" s="648"/>
      <c r="BG49" s="648"/>
      <c r="BH49" s="648"/>
      <c r="BI49" s="648"/>
      <c r="BJ49" s="648"/>
      <c r="BT49" s="657"/>
      <c r="BU49" s="657"/>
      <c r="BV49" s="657"/>
      <c r="BW49" s="657"/>
    </row>
    <row r="50" s="99" customFormat="true" ht="16.5" hidden="false" customHeight="false" outlineLevel="0" collapsed="false">
      <c r="A50" s="648"/>
      <c r="B50" s="648"/>
      <c r="C50" s="648"/>
      <c r="D50" s="648"/>
      <c r="E50" s="648"/>
      <c r="F50" s="648"/>
      <c r="G50" s="648"/>
      <c r="H50" s="648"/>
      <c r="I50" s="648"/>
      <c r="J50" s="648"/>
      <c r="K50" s="648"/>
      <c r="L50" s="648"/>
      <c r="M50" s="648"/>
      <c r="N50" s="648"/>
      <c r="O50" s="648"/>
      <c r="P50" s="648"/>
      <c r="Q50" s="648"/>
      <c r="R50" s="648"/>
      <c r="S50" s="648"/>
      <c r="T50" s="648"/>
      <c r="U50" s="648"/>
      <c r="V50" s="648"/>
      <c r="W50" s="648"/>
      <c r="X50" s="648"/>
      <c r="Y50" s="648"/>
      <c r="Z50" s="648"/>
      <c r="AA50" s="648"/>
      <c r="AB50" s="648"/>
      <c r="AC50" s="648"/>
      <c r="AD50" s="648"/>
      <c r="AE50" s="648"/>
      <c r="AF50" s="648"/>
      <c r="AG50" s="648"/>
      <c r="AH50" s="648"/>
      <c r="AI50" s="648"/>
      <c r="AJ50" s="648"/>
      <c r="AK50" s="648"/>
      <c r="AL50" s="648"/>
      <c r="AM50" s="648"/>
      <c r="AN50" s="648"/>
      <c r="AO50" s="648"/>
      <c r="AP50" s="648"/>
      <c r="AQ50" s="648"/>
      <c r="AR50" s="648"/>
      <c r="AS50" s="648"/>
      <c r="AT50" s="648"/>
      <c r="AU50" s="648"/>
      <c r="AV50" s="648"/>
      <c r="AW50" s="648"/>
      <c r="AX50" s="648"/>
      <c r="AY50" s="648"/>
      <c r="AZ50" s="648"/>
      <c r="BA50" s="648"/>
      <c r="BB50" s="648"/>
      <c r="BC50" s="648"/>
      <c r="BD50" s="648"/>
      <c r="BE50" s="648"/>
      <c r="BF50" s="648"/>
      <c r="BG50" s="648"/>
      <c r="BH50" s="648"/>
      <c r="BI50" s="648"/>
      <c r="BJ50" s="648"/>
      <c r="BT50" s="657"/>
      <c r="BU50" s="657"/>
      <c r="BV50" s="657"/>
      <c r="BW50" s="657"/>
    </row>
    <row r="51" s="99" customFormat="true" ht="16.5" hidden="false" customHeight="false" outlineLevel="0" collapsed="false">
      <c r="A51" s="648"/>
      <c r="B51" s="648"/>
      <c r="C51" s="648"/>
      <c r="D51" s="648"/>
      <c r="E51" s="648"/>
      <c r="F51" s="648"/>
      <c r="G51" s="648"/>
      <c r="H51" s="648"/>
      <c r="I51" s="648"/>
      <c r="J51" s="648"/>
      <c r="K51" s="648"/>
      <c r="L51" s="648"/>
      <c r="M51" s="648"/>
      <c r="N51" s="648"/>
      <c r="O51" s="648"/>
      <c r="P51" s="648"/>
      <c r="Q51" s="648"/>
      <c r="R51" s="648"/>
      <c r="S51" s="648"/>
      <c r="T51" s="648"/>
      <c r="U51" s="648"/>
      <c r="V51" s="648"/>
      <c r="W51" s="648"/>
      <c r="X51" s="648"/>
      <c r="Y51" s="648"/>
      <c r="Z51" s="648"/>
      <c r="AA51" s="648"/>
      <c r="AB51" s="648"/>
      <c r="AC51" s="648"/>
      <c r="AD51" s="648"/>
      <c r="AE51" s="648"/>
      <c r="AF51" s="648"/>
      <c r="AG51" s="648"/>
      <c r="AH51" s="648"/>
      <c r="AI51" s="648"/>
      <c r="AJ51" s="648"/>
      <c r="AK51" s="648"/>
      <c r="AL51" s="648"/>
      <c r="AM51" s="648"/>
      <c r="AN51" s="648"/>
      <c r="AO51" s="648"/>
      <c r="AP51" s="648"/>
      <c r="AQ51" s="648"/>
      <c r="AR51" s="648"/>
      <c r="AS51" s="648"/>
      <c r="AT51" s="648"/>
      <c r="AU51" s="648"/>
      <c r="AV51" s="648"/>
      <c r="AW51" s="648"/>
      <c r="AX51" s="648"/>
      <c r="AY51" s="648"/>
      <c r="AZ51" s="648"/>
      <c r="BA51" s="648"/>
      <c r="BB51" s="648"/>
      <c r="BC51" s="648"/>
      <c r="BD51" s="648"/>
      <c r="BE51" s="648"/>
      <c r="BF51" s="648"/>
      <c r="BG51" s="648"/>
      <c r="BH51" s="648"/>
      <c r="BI51" s="648"/>
      <c r="BJ51" s="648"/>
      <c r="BT51" s="657"/>
      <c r="BU51" s="657"/>
      <c r="BV51" s="657"/>
      <c r="BW51" s="657"/>
    </row>
    <row r="52" s="99" customFormat="true" ht="16.5" hidden="false" customHeight="false" outlineLevel="0" collapsed="false">
      <c r="A52" s="648"/>
      <c r="B52" s="648"/>
      <c r="C52" s="648"/>
      <c r="D52" s="648"/>
      <c r="E52" s="648"/>
      <c r="F52" s="648"/>
      <c r="G52" s="648"/>
      <c r="H52" s="648"/>
      <c r="I52" s="648"/>
      <c r="J52" s="648"/>
      <c r="K52" s="648"/>
      <c r="L52" s="648"/>
      <c r="M52" s="648"/>
      <c r="N52" s="648"/>
      <c r="O52" s="648"/>
      <c r="P52" s="648"/>
      <c r="Q52" s="648"/>
      <c r="R52" s="648"/>
      <c r="S52" s="648"/>
      <c r="T52" s="648"/>
      <c r="U52" s="648"/>
      <c r="V52" s="648"/>
      <c r="W52" s="648"/>
      <c r="X52" s="648"/>
      <c r="Y52" s="648"/>
      <c r="Z52" s="648"/>
      <c r="AA52" s="648"/>
      <c r="AB52" s="648"/>
      <c r="AC52" s="648"/>
      <c r="AD52" s="648"/>
      <c r="AE52" s="648"/>
      <c r="AF52" s="648"/>
      <c r="AG52" s="648"/>
      <c r="AH52" s="648"/>
      <c r="AI52" s="648"/>
      <c r="AJ52" s="648"/>
      <c r="AK52" s="648"/>
      <c r="AL52" s="648"/>
      <c r="AM52" s="648"/>
      <c r="AN52" s="648"/>
      <c r="AO52" s="648"/>
      <c r="AP52" s="648"/>
      <c r="AQ52" s="648"/>
      <c r="AR52" s="648"/>
      <c r="AS52" s="648"/>
      <c r="AT52" s="648"/>
      <c r="AU52" s="648"/>
      <c r="AV52" s="648"/>
      <c r="AW52" s="648"/>
      <c r="AX52" s="648"/>
      <c r="AY52" s="648"/>
      <c r="AZ52" s="648"/>
      <c r="BA52" s="648"/>
      <c r="BB52" s="648"/>
      <c r="BC52" s="648"/>
      <c r="BD52" s="648"/>
      <c r="BE52" s="648"/>
      <c r="BF52" s="648"/>
      <c r="BG52" s="648"/>
      <c r="BH52" s="648"/>
      <c r="BI52" s="648"/>
      <c r="BJ52" s="648"/>
      <c r="BT52" s="657"/>
      <c r="BU52" s="657"/>
      <c r="BV52" s="657"/>
      <c r="BW52" s="657"/>
    </row>
    <row r="53" s="99" customFormat="true" ht="16.5" hidden="false" customHeight="false" outlineLevel="0" collapsed="false">
      <c r="A53" s="648"/>
      <c r="B53" s="648"/>
      <c r="C53" s="648"/>
      <c r="D53" s="648"/>
      <c r="E53" s="648"/>
      <c r="F53" s="648"/>
      <c r="G53" s="648"/>
      <c r="H53" s="648"/>
      <c r="I53" s="648"/>
      <c r="J53" s="648"/>
      <c r="K53" s="648"/>
      <c r="L53" s="648"/>
      <c r="M53" s="648"/>
      <c r="N53" s="648"/>
      <c r="O53" s="648"/>
      <c r="P53" s="648"/>
      <c r="Q53" s="648"/>
      <c r="R53" s="648"/>
      <c r="S53" s="648"/>
      <c r="T53" s="648"/>
      <c r="U53" s="648"/>
      <c r="V53" s="648"/>
      <c r="W53" s="648"/>
      <c r="X53" s="648"/>
      <c r="Y53" s="648"/>
      <c r="Z53" s="648"/>
      <c r="AA53" s="648"/>
      <c r="AB53" s="648"/>
      <c r="AC53" s="648"/>
      <c r="AD53" s="648"/>
      <c r="AE53" s="648"/>
      <c r="AF53" s="648"/>
      <c r="AG53" s="648"/>
      <c r="AH53" s="648"/>
      <c r="AI53" s="648"/>
      <c r="AJ53" s="648"/>
      <c r="AK53" s="648"/>
      <c r="AL53" s="648"/>
      <c r="AM53" s="648"/>
      <c r="AN53" s="648"/>
      <c r="AO53" s="648"/>
      <c r="AP53" s="648"/>
      <c r="AQ53" s="648"/>
      <c r="AR53" s="648"/>
      <c r="AS53" s="648"/>
      <c r="AT53" s="648"/>
      <c r="AU53" s="648"/>
      <c r="AV53" s="648"/>
      <c r="AW53" s="648"/>
      <c r="AX53" s="648"/>
      <c r="AY53" s="648"/>
      <c r="AZ53" s="648"/>
      <c r="BA53" s="648"/>
      <c r="BB53" s="648"/>
      <c r="BC53" s="648"/>
      <c r="BD53" s="648"/>
      <c r="BE53" s="648"/>
      <c r="BF53" s="648"/>
      <c r="BG53" s="648"/>
      <c r="BH53" s="648"/>
      <c r="BI53" s="648"/>
      <c r="BJ53" s="648"/>
      <c r="BT53" s="657"/>
      <c r="BU53" s="657"/>
      <c r="BV53" s="657"/>
      <c r="BW53" s="657"/>
    </row>
    <row r="54" s="99" customFormat="true" ht="16.5" hidden="false" customHeight="false" outlineLevel="0" collapsed="false">
      <c r="A54" s="648"/>
      <c r="B54" s="648"/>
      <c r="C54" s="648"/>
      <c r="D54" s="648"/>
      <c r="E54" s="648"/>
      <c r="F54" s="648"/>
      <c r="G54" s="648"/>
      <c r="H54" s="648"/>
      <c r="I54" s="648"/>
      <c r="J54" s="648"/>
      <c r="K54" s="648"/>
      <c r="L54" s="648"/>
      <c r="M54" s="648"/>
      <c r="N54" s="648"/>
      <c r="O54" s="648"/>
      <c r="P54" s="648"/>
      <c r="Q54" s="648"/>
      <c r="R54" s="648"/>
      <c r="S54" s="648"/>
      <c r="T54" s="648"/>
      <c r="U54" s="648"/>
      <c r="V54" s="648"/>
      <c r="W54" s="648"/>
      <c r="X54" s="648"/>
      <c r="Y54" s="648"/>
      <c r="Z54" s="648"/>
      <c r="AA54" s="648"/>
      <c r="AB54" s="648"/>
      <c r="AC54" s="648"/>
      <c r="AD54" s="648"/>
      <c r="AE54" s="648"/>
      <c r="AF54" s="648"/>
      <c r="AG54" s="648"/>
      <c r="AH54" s="648"/>
      <c r="AI54" s="648"/>
      <c r="AJ54" s="648"/>
      <c r="AK54" s="648"/>
      <c r="AL54" s="648"/>
      <c r="AM54" s="648"/>
      <c r="AN54" s="648"/>
      <c r="AO54" s="648"/>
      <c r="AP54" s="648"/>
      <c r="AQ54" s="648"/>
      <c r="AR54" s="648"/>
      <c r="AS54" s="648"/>
      <c r="AT54" s="648"/>
      <c r="AU54" s="648"/>
      <c r="AV54" s="648"/>
      <c r="AW54" s="648"/>
      <c r="AX54" s="648"/>
      <c r="AY54" s="648"/>
      <c r="AZ54" s="648"/>
      <c r="BA54" s="648"/>
      <c r="BB54" s="648"/>
      <c r="BC54" s="648"/>
      <c r="BD54" s="648"/>
      <c r="BE54" s="648"/>
      <c r="BF54" s="648"/>
      <c r="BG54" s="648"/>
      <c r="BH54" s="648"/>
      <c r="BI54" s="648"/>
      <c r="BJ54" s="648"/>
      <c r="BT54" s="657"/>
      <c r="BU54" s="657"/>
      <c r="BV54" s="657"/>
      <c r="BW54" s="657"/>
    </row>
    <row r="55" s="99" customFormat="true" ht="16.5" hidden="false" customHeight="false" outlineLevel="0" collapsed="false">
      <c r="A55" s="648"/>
      <c r="B55" s="648"/>
      <c r="C55" s="648"/>
      <c r="D55" s="648"/>
      <c r="E55" s="648"/>
      <c r="F55" s="648"/>
      <c r="G55" s="648"/>
      <c r="H55" s="648"/>
      <c r="I55" s="648"/>
      <c r="J55" s="648"/>
      <c r="K55" s="648"/>
      <c r="L55" s="648"/>
      <c r="M55" s="648"/>
      <c r="N55" s="648"/>
      <c r="O55" s="648"/>
      <c r="P55" s="648"/>
      <c r="Q55" s="648"/>
      <c r="R55" s="648"/>
      <c r="S55" s="648"/>
      <c r="T55" s="648"/>
      <c r="U55" s="648"/>
      <c r="V55" s="648"/>
      <c r="W55" s="648"/>
      <c r="X55" s="648"/>
      <c r="Y55" s="648"/>
      <c r="Z55" s="648"/>
      <c r="AA55" s="648"/>
      <c r="AB55" s="648"/>
      <c r="AC55" s="648"/>
      <c r="AD55" s="648"/>
      <c r="AE55" s="648"/>
      <c r="AF55" s="648"/>
      <c r="AG55" s="648"/>
      <c r="AH55" s="648"/>
      <c r="AI55" s="648"/>
      <c r="AJ55" s="648"/>
      <c r="AK55" s="648"/>
      <c r="AL55" s="648"/>
      <c r="AM55" s="648"/>
      <c r="AN55" s="648"/>
      <c r="AO55" s="648"/>
      <c r="AP55" s="648"/>
      <c r="AQ55" s="648"/>
      <c r="AR55" s="648"/>
      <c r="AS55" s="648"/>
      <c r="AT55" s="648"/>
      <c r="AU55" s="648"/>
      <c r="AV55" s="648"/>
      <c r="AW55" s="648"/>
      <c r="AX55" s="648"/>
      <c r="AY55" s="648"/>
      <c r="AZ55" s="648"/>
      <c r="BA55" s="648"/>
      <c r="BB55" s="648"/>
      <c r="BC55" s="648"/>
      <c r="BD55" s="648"/>
      <c r="BE55" s="648"/>
      <c r="BF55" s="648"/>
      <c r="BG55" s="648"/>
      <c r="BH55" s="648"/>
      <c r="BI55" s="648"/>
      <c r="BJ55" s="648"/>
      <c r="BT55" s="657"/>
      <c r="BU55" s="657"/>
      <c r="BV55" s="657"/>
      <c r="BW55" s="657"/>
    </row>
    <row r="56" s="99" customFormat="true" ht="16.5" hidden="false" customHeight="false" outlineLevel="0" collapsed="false">
      <c r="A56" s="648"/>
      <c r="B56" s="648"/>
      <c r="C56" s="648"/>
      <c r="D56" s="648"/>
      <c r="E56" s="648"/>
      <c r="F56" s="648"/>
      <c r="G56" s="648"/>
      <c r="H56" s="648"/>
      <c r="I56" s="648"/>
      <c r="J56" s="648"/>
      <c r="K56" s="648"/>
      <c r="L56" s="648"/>
      <c r="M56" s="648"/>
      <c r="N56" s="648"/>
      <c r="O56" s="648"/>
      <c r="P56" s="648"/>
      <c r="Q56" s="648"/>
      <c r="R56" s="648"/>
      <c r="S56" s="648"/>
      <c r="T56" s="648"/>
      <c r="U56" s="648"/>
      <c r="V56" s="648"/>
      <c r="W56" s="648"/>
      <c r="X56" s="648"/>
      <c r="Y56" s="648"/>
      <c r="Z56" s="648"/>
      <c r="AA56" s="648"/>
      <c r="AB56" s="648"/>
      <c r="AC56" s="648"/>
      <c r="AD56" s="648"/>
      <c r="AE56" s="648"/>
      <c r="AF56" s="648"/>
      <c r="AG56" s="648"/>
      <c r="AH56" s="648"/>
      <c r="AI56" s="648"/>
      <c r="AJ56" s="648"/>
      <c r="AK56" s="648"/>
      <c r="AL56" s="648"/>
      <c r="AM56" s="648"/>
      <c r="AN56" s="648"/>
      <c r="AO56" s="648"/>
      <c r="AP56" s="648"/>
      <c r="AQ56" s="648"/>
      <c r="AR56" s="648"/>
      <c r="AS56" s="648"/>
      <c r="AT56" s="648"/>
      <c r="AU56" s="648"/>
      <c r="AV56" s="648"/>
      <c r="AW56" s="648"/>
      <c r="AX56" s="648"/>
      <c r="AY56" s="648"/>
      <c r="AZ56" s="648"/>
      <c r="BA56" s="648"/>
      <c r="BB56" s="648"/>
      <c r="BC56" s="648"/>
      <c r="BD56" s="648"/>
      <c r="BE56" s="648"/>
      <c r="BF56" s="648"/>
      <c r="BG56" s="648"/>
      <c r="BH56" s="648"/>
      <c r="BI56" s="648"/>
      <c r="BJ56" s="648"/>
      <c r="BT56" s="657"/>
      <c r="BU56" s="657"/>
      <c r="BV56" s="657"/>
      <c r="BW56" s="657"/>
    </row>
    <row r="57" s="99" customFormat="true" ht="16.5" hidden="false" customHeight="false" outlineLevel="0" collapsed="false">
      <c r="A57" s="648"/>
      <c r="B57" s="648"/>
      <c r="C57" s="648"/>
      <c r="D57" s="648"/>
      <c r="E57" s="648"/>
      <c r="F57" s="648"/>
      <c r="G57" s="648"/>
      <c r="H57" s="648"/>
      <c r="I57" s="648"/>
      <c r="J57" s="648"/>
      <c r="K57" s="648"/>
      <c r="L57" s="648"/>
      <c r="M57" s="648"/>
      <c r="N57" s="648"/>
      <c r="O57" s="648"/>
      <c r="P57" s="648"/>
      <c r="Q57" s="648"/>
      <c r="R57" s="648"/>
      <c r="S57" s="648"/>
      <c r="T57" s="648"/>
      <c r="U57" s="648"/>
      <c r="V57" s="648"/>
      <c r="W57" s="648"/>
      <c r="X57" s="648"/>
      <c r="Y57" s="648"/>
      <c r="Z57" s="648"/>
      <c r="AA57" s="648"/>
      <c r="AB57" s="648"/>
      <c r="AC57" s="648"/>
      <c r="AD57" s="648"/>
      <c r="AE57" s="648"/>
      <c r="AF57" s="648"/>
      <c r="AG57" s="648"/>
      <c r="AH57" s="648"/>
      <c r="AI57" s="648"/>
      <c r="AJ57" s="648"/>
      <c r="AK57" s="648"/>
      <c r="AL57" s="648"/>
      <c r="AM57" s="648"/>
      <c r="AN57" s="648"/>
      <c r="AO57" s="648"/>
      <c r="AP57" s="648"/>
      <c r="AQ57" s="648"/>
      <c r="AR57" s="648"/>
      <c r="AS57" s="648"/>
      <c r="AT57" s="648"/>
      <c r="AU57" s="648"/>
      <c r="AV57" s="648"/>
      <c r="AW57" s="648"/>
      <c r="AX57" s="648"/>
      <c r="AY57" s="648"/>
      <c r="AZ57" s="648"/>
      <c r="BA57" s="648"/>
      <c r="BB57" s="648"/>
      <c r="BC57" s="648"/>
      <c r="BD57" s="648"/>
      <c r="BE57" s="648"/>
      <c r="BF57" s="648"/>
      <c r="BG57" s="648"/>
      <c r="BH57" s="648"/>
      <c r="BI57" s="648"/>
      <c r="BJ57" s="648"/>
      <c r="BT57" s="657"/>
      <c r="BU57" s="657"/>
      <c r="BV57" s="657"/>
      <c r="BW57" s="657"/>
    </row>
    <row r="58" s="99" customFormat="true" ht="16.5" hidden="false" customHeight="false" outlineLevel="0" collapsed="false">
      <c r="A58" s="648"/>
      <c r="B58" s="648"/>
      <c r="C58" s="648"/>
      <c r="D58" s="648"/>
      <c r="E58" s="648"/>
      <c r="F58" s="648"/>
      <c r="G58" s="648"/>
      <c r="H58" s="648"/>
      <c r="I58" s="648"/>
      <c r="J58" s="648"/>
      <c r="K58" s="648"/>
      <c r="L58" s="648"/>
      <c r="M58" s="648"/>
      <c r="N58" s="648"/>
      <c r="O58" s="648"/>
      <c r="P58" s="648"/>
      <c r="Q58" s="648"/>
      <c r="R58" s="648"/>
      <c r="S58" s="648"/>
      <c r="T58" s="648"/>
      <c r="U58" s="648"/>
      <c r="V58" s="648"/>
      <c r="W58" s="648"/>
      <c r="X58" s="648"/>
      <c r="Y58" s="648"/>
      <c r="Z58" s="648"/>
      <c r="AA58" s="648"/>
      <c r="AB58" s="648"/>
      <c r="AC58" s="648"/>
      <c r="AD58" s="648"/>
      <c r="AE58" s="648"/>
      <c r="AF58" s="648"/>
      <c r="AG58" s="648"/>
      <c r="AH58" s="648"/>
      <c r="AI58" s="648"/>
      <c r="AJ58" s="648"/>
      <c r="AK58" s="648"/>
      <c r="AL58" s="648"/>
      <c r="AM58" s="648"/>
      <c r="AN58" s="648"/>
      <c r="AO58" s="648"/>
      <c r="AP58" s="648"/>
      <c r="AQ58" s="648"/>
      <c r="AR58" s="648"/>
      <c r="AS58" s="648"/>
      <c r="AT58" s="648"/>
      <c r="AU58" s="648"/>
      <c r="AV58" s="648"/>
      <c r="AW58" s="648"/>
      <c r="AX58" s="648"/>
      <c r="AY58" s="648"/>
      <c r="AZ58" s="648"/>
      <c r="BA58" s="648"/>
      <c r="BB58" s="648"/>
      <c r="BC58" s="648"/>
      <c r="BD58" s="648"/>
      <c r="BE58" s="648"/>
      <c r="BF58" s="648"/>
      <c r="BG58" s="648"/>
      <c r="BH58" s="648"/>
      <c r="BI58" s="648"/>
      <c r="BJ58" s="648"/>
      <c r="BT58" s="657"/>
      <c r="BU58" s="657"/>
      <c r="BV58" s="657"/>
      <c r="BW58" s="657"/>
    </row>
    <row r="59" s="99" customFormat="true" ht="16.5" hidden="false" customHeight="false" outlineLevel="0" collapsed="false">
      <c r="A59" s="648"/>
      <c r="B59" s="648"/>
      <c r="C59" s="648"/>
      <c r="D59" s="648"/>
      <c r="E59" s="648"/>
      <c r="F59" s="648"/>
      <c r="G59" s="648"/>
      <c r="H59" s="648"/>
      <c r="I59" s="648"/>
      <c r="J59" s="648"/>
      <c r="K59" s="648"/>
      <c r="L59" s="648"/>
      <c r="M59" s="648"/>
      <c r="N59" s="648"/>
      <c r="O59" s="648"/>
      <c r="P59" s="648"/>
      <c r="Q59" s="648"/>
      <c r="R59" s="648"/>
      <c r="S59" s="648"/>
      <c r="T59" s="648"/>
      <c r="U59" s="648"/>
      <c r="V59" s="648"/>
      <c r="W59" s="648"/>
      <c r="X59" s="648"/>
      <c r="Y59" s="648"/>
      <c r="Z59" s="648"/>
      <c r="AA59" s="648"/>
      <c r="AB59" s="648"/>
      <c r="AC59" s="648"/>
      <c r="AD59" s="648"/>
      <c r="AE59" s="648"/>
      <c r="AF59" s="648"/>
      <c r="AG59" s="648"/>
      <c r="AH59" s="648"/>
      <c r="AI59" s="648"/>
      <c r="AJ59" s="648"/>
      <c r="AK59" s="648"/>
      <c r="AL59" s="648"/>
      <c r="AM59" s="648"/>
      <c r="AN59" s="648"/>
      <c r="AO59" s="648"/>
      <c r="AP59" s="648"/>
      <c r="AQ59" s="648"/>
      <c r="AR59" s="648"/>
      <c r="AS59" s="648"/>
      <c r="AT59" s="648"/>
      <c r="AU59" s="648"/>
      <c r="AV59" s="648"/>
      <c r="AW59" s="648"/>
      <c r="AX59" s="648"/>
      <c r="AY59" s="648"/>
      <c r="AZ59" s="648"/>
      <c r="BA59" s="648"/>
      <c r="BB59" s="648"/>
      <c r="BC59" s="648"/>
      <c r="BD59" s="648"/>
      <c r="BE59" s="648"/>
      <c r="BF59" s="648"/>
      <c r="BG59" s="648"/>
      <c r="BH59" s="648"/>
      <c r="BI59" s="648"/>
      <c r="BJ59" s="648"/>
      <c r="BT59" s="657"/>
      <c r="BU59" s="657"/>
      <c r="BV59" s="657"/>
      <c r="BW59" s="657"/>
    </row>
    <row r="60" s="99" customFormat="true" ht="16.5" hidden="false" customHeight="false" outlineLevel="0" collapsed="false">
      <c r="A60" s="648"/>
      <c r="B60" s="648"/>
      <c r="C60" s="648"/>
      <c r="D60" s="648"/>
      <c r="E60" s="648"/>
      <c r="F60" s="648"/>
      <c r="G60" s="648"/>
      <c r="H60" s="648"/>
      <c r="I60" s="648"/>
      <c r="J60" s="648"/>
      <c r="K60" s="648"/>
      <c r="L60" s="648"/>
      <c r="M60" s="648"/>
      <c r="N60" s="648"/>
      <c r="O60" s="648"/>
      <c r="P60" s="648"/>
      <c r="Q60" s="648"/>
      <c r="R60" s="648"/>
      <c r="S60" s="648"/>
      <c r="T60" s="648"/>
      <c r="U60" s="648"/>
      <c r="V60" s="648"/>
      <c r="W60" s="648"/>
      <c r="X60" s="648"/>
      <c r="Y60" s="648"/>
      <c r="Z60" s="648"/>
      <c r="AA60" s="648"/>
      <c r="AB60" s="648"/>
      <c r="AC60" s="648"/>
      <c r="AD60" s="648"/>
      <c r="AE60" s="648"/>
      <c r="AF60" s="648"/>
      <c r="AG60" s="648"/>
      <c r="AH60" s="648"/>
      <c r="AI60" s="648"/>
      <c r="AJ60" s="648"/>
      <c r="AK60" s="648"/>
      <c r="AL60" s="648"/>
      <c r="AM60" s="648"/>
      <c r="AN60" s="648"/>
      <c r="AO60" s="648"/>
      <c r="AP60" s="648"/>
      <c r="AQ60" s="648"/>
      <c r="AR60" s="648"/>
      <c r="AS60" s="648"/>
      <c r="AT60" s="648"/>
      <c r="AU60" s="648"/>
      <c r="AV60" s="648"/>
      <c r="AW60" s="648"/>
      <c r="AX60" s="648"/>
      <c r="AY60" s="648"/>
      <c r="AZ60" s="648"/>
      <c r="BA60" s="648"/>
      <c r="BB60" s="648"/>
      <c r="BC60" s="648"/>
      <c r="BD60" s="648"/>
      <c r="BE60" s="648"/>
      <c r="BF60" s="648"/>
      <c r="BG60" s="648"/>
      <c r="BH60" s="648"/>
      <c r="BI60" s="648"/>
      <c r="BJ60" s="648"/>
      <c r="BT60" s="657"/>
      <c r="BU60" s="657"/>
      <c r="BV60" s="657"/>
      <c r="BW60" s="657"/>
    </row>
    <row r="61" s="99" customFormat="true" ht="16.5" hidden="false" customHeight="false" outlineLevel="0" collapsed="false">
      <c r="A61" s="648"/>
      <c r="B61" s="648"/>
      <c r="C61" s="648"/>
      <c r="D61" s="648"/>
      <c r="E61" s="648"/>
      <c r="F61" s="648"/>
      <c r="G61" s="648"/>
      <c r="H61" s="648"/>
      <c r="I61" s="648"/>
      <c r="J61" s="648"/>
      <c r="K61" s="648"/>
      <c r="L61" s="648"/>
      <c r="M61" s="648"/>
      <c r="N61" s="648"/>
      <c r="O61" s="648"/>
      <c r="P61" s="648"/>
      <c r="Q61" s="648"/>
      <c r="R61" s="648"/>
      <c r="S61" s="648"/>
      <c r="T61" s="648"/>
      <c r="U61" s="648"/>
      <c r="V61" s="648"/>
      <c r="W61" s="648"/>
      <c r="X61" s="648"/>
      <c r="Y61" s="648"/>
      <c r="Z61" s="648"/>
      <c r="AA61" s="648"/>
      <c r="AB61" s="648"/>
      <c r="AC61" s="648"/>
      <c r="AD61" s="648"/>
      <c r="AE61" s="648"/>
      <c r="AF61" s="648"/>
      <c r="AG61" s="648"/>
      <c r="AH61" s="648"/>
      <c r="AI61" s="648"/>
      <c r="AJ61" s="648"/>
      <c r="AK61" s="648"/>
      <c r="AL61" s="648"/>
      <c r="AM61" s="648"/>
      <c r="AN61" s="648"/>
      <c r="AO61" s="648"/>
      <c r="AP61" s="648"/>
      <c r="AQ61" s="648"/>
      <c r="AR61" s="648"/>
      <c r="AS61" s="648"/>
      <c r="AT61" s="648"/>
      <c r="AU61" s="648"/>
      <c r="AV61" s="648"/>
      <c r="AW61" s="648"/>
      <c r="AX61" s="648"/>
      <c r="AY61" s="648"/>
      <c r="AZ61" s="648"/>
      <c r="BA61" s="648"/>
      <c r="BB61" s="648"/>
      <c r="BC61" s="648"/>
      <c r="BD61" s="648"/>
      <c r="BE61" s="648"/>
      <c r="BF61" s="648"/>
      <c r="BG61" s="648"/>
      <c r="BH61" s="648"/>
      <c r="BI61" s="648"/>
      <c r="BJ61" s="648"/>
      <c r="BT61" s="657"/>
      <c r="BU61" s="657"/>
      <c r="BV61" s="657"/>
      <c r="BW61" s="657"/>
    </row>
    <row r="62" s="99" customFormat="true" ht="16.5" hidden="false" customHeight="false" outlineLevel="0" collapsed="false">
      <c r="A62" s="648"/>
      <c r="B62" s="648"/>
      <c r="C62" s="648"/>
      <c r="D62" s="648"/>
      <c r="E62" s="648"/>
      <c r="F62" s="648"/>
      <c r="G62" s="648"/>
      <c r="H62" s="648"/>
      <c r="I62" s="648"/>
      <c r="J62" s="648"/>
      <c r="K62" s="648"/>
      <c r="L62" s="648"/>
      <c r="M62" s="648"/>
      <c r="N62" s="648"/>
      <c r="O62" s="648"/>
      <c r="P62" s="648"/>
      <c r="Q62" s="648"/>
      <c r="R62" s="648"/>
      <c r="S62" s="648"/>
      <c r="T62" s="648"/>
      <c r="U62" s="648"/>
      <c r="V62" s="648"/>
      <c r="W62" s="648"/>
      <c r="X62" s="648"/>
      <c r="Y62" s="648"/>
      <c r="Z62" s="648"/>
      <c r="AA62" s="648"/>
      <c r="AB62" s="648"/>
      <c r="AC62" s="648"/>
      <c r="AD62" s="648"/>
      <c r="AE62" s="648"/>
      <c r="AF62" s="648"/>
      <c r="AG62" s="648"/>
      <c r="AH62" s="648"/>
      <c r="AI62" s="648"/>
      <c r="AJ62" s="648"/>
      <c r="AK62" s="648"/>
      <c r="AL62" s="648"/>
      <c r="AM62" s="648"/>
      <c r="AN62" s="648"/>
      <c r="AO62" s="648"/>
      <c r="AP62" s="648"/>
      <c r="AQ62" s="648"/>
      <c r="AR62" s="648"/>
      <c r="AS62" s="648"/>
      <c r="AT62" s="648"/>
      <c r="AU62" s="648"/>
      <c r="AV62" s="648"/>
      <c r="AW62" s="648"/>
      <c r="AX62" s="648"/>
      <c r="AY62" s="648"/>
      <c r="AZ62" s="648"/>
      <c r="BA62" s="648"/>
      <c r="BB62" s="648"/>
      <c r="BC62" s="648"/>
      <c r="BD62" s="648"/>
      <c r="BE62" s="648"/>
      <c r="BF62" s="648"/>
      <c r="BG62" s="648"/>
      <c r="BH62" s="648"/>
      <c r="BI62" s="648"/>
      <c r="BJ62" s="648"/>
      <c r="BT62" s="657"/>
      <c r="BU62" s="657"/>
      <c r="BV62" s="657"/>
      <c r="BW62" s="657"/>
    </row>
    <row r="63" s="99" customFormat="true" ht="16.5" hidden="false" customHeight="false" outlineLevel="0" collapsed="false">
      <c r="A63" s="648"/>
      <c r="B63" s="648"/>
      <c r="C63" s="648"/>
      <c r="D63" s="648"/>
      <c r="E63" s="648"/>
      <c r="F63" s="648"/>
      <c r="G63" s="648"/>
      <c r="H63" s="648"/>
      <c r="I63" s="648"/>
      <c r="J63" s="648"/>
      <c r="K63" s="648"/>
      <c r="L63" s="648"/>
      <c r="M63" s="648"/>
      <c r="N63" s="648"/>
      <c r="O63" s="648"/>
      <c r="P63" s="648"/>
      <c r="Q63" s="648"/>
      <c r="R63" s="648"/>
      <c r="S63" s="648"/>
      <c r="T63" s="648"/>
      <c r="U63" s="648"/>
      <c r="V63" s="648"/>
      <c r="W63" s="648"/>
      <c r="X63" s="648"/>
      <c r="Y63" s="648"/>
      <c r="Z63" s="648"/>
      <c r="AA63" s="648"/>
      <c r="AB63" s="648"/>
      <c r="AC63" s="648"/>
      <c r="AD63" s="648"/>
      <c r="AE63" s="648"/>
      <c r="AF63" s="648"/>
      <c r="AG63" s="648"/>
      <c r="AH63" s="648"/>
      <c r="AI63" s="648"/>
      <c r="AJ63" s="648"/>
      <c r="AK63" s="648"/>
      <c r="AL63" s="648"/>
      <c r="AM63" s="648"/>
      <c r="AN63" s="648"/>
      <c r="AO63" s="648"/>
      <c r="AP63" s="648"/>
      <c r="AQ63" s="648"/>
      <c r="AR63" s="648"/>
      <c r="AS63" s="648"/>
      <c r="AT63" s="648"/>
      <c r="AU63" s="648"/>
      <c r="AV63" s="648"/>
      <c r="AW63" s="648"/>
      <c r="AX63" s="648"/>
      <c r="AY63" s="648"/>
      <c r="AZ63" s="648"/>
      <c r="BA63" s="648"/>
      <c r="BB63" s="648"/>
      <c r="BC63" s="648"/>
      <c r="BD63" s="648"/>
      <c r="BE63" s="648"/>
      <c r="BF63" s="648"/>
      <c r="BG63" s="648"/>
      <c r="BH63" s="648"/>
      <c r="BI63" s="648"/>
      <c r="BJ63" s="648"/>
      <c r="BT63" s="657"/>
      <c r="BU63" s="657"/>
      <c r="BV63" s="657"/>
      <c r="BW63" s="657"/>
    </row>
    <row r="64" s="99" customFormat="true" ht="16.5" hidden="false" customHeight="false" outlineLevel="0" collapsed="false">
      <c r="A64" s="648"/>
      <c r="B64" s="648"/>
      <c r="C64" s="648"/>
      <c r="D64" s="648"/>
      <c r="E64" s="648"/>
      <c r="F64" s="648"/>
      <c r="G64" s="648"/>
      <c r="H64" s="648"/>
      <c r="I64" s="648"/>
      <c r="J64" s="648"/>
      <c r="K64" s="648"/>
      <c r="L64" s="648"/>
      <c r="M64" s="648"/>
      <c r="N64" s="648"/>
      <c r="O64" s="648"/>
      <c r="P64" s="648"/>
      <c r="Q64" s="648"/>
      <c r="R64" s="648"/>
      <c r="S64" s="648"/>
      <c r="T64" s="648"/>
      <c r="U64" s="648"/>
      <c r="V64" s="648"/>
      <c r="W64" s="648"/>
      <c r="X64" s="648"/>
      <c r="Y64" s="648"/>
      <c r="Z64" s="648"/>
      <c r="AA64" s="648"/>
      <c r="AB64" s="648"/>
      <c r="AC64" s="648"/>
      <c r="AD64" s="648"/>
      <c r="AE64" s="648"/>
      <c r="AF64" s="648"/>
      <c r="AG64" s="648"/>
      <c r="AH64" s="648"/>
      <c r="AI64" s="648"/>
      <c r="AJ64" s="648"/>
      <c r="AK64" s="648"/>
      <c r="AL64" s="648"/>
      <c r="AM64" s="648"/>
      <c r="AN64" s="648"/>
      <c r="AO64" s="648"/>
      <c r="AP64" s="648"/>
      <c r="AQ64" s="648"/>
      <c r="AR64" s="648"/>
      <c r="AS64" s="648"/>
      <c r="AT64" s="648"/>
      <c r="AU64" s="648"/>
      <c r="AV64" s="648"/>
      <c r="AW64" s="648"/>
      <c r="AX64" s="648"/>
      <c r="AY64" s="648"/>
      <c r="AZ64" s="648"/>
      <c r="BA64" s="648"/>
      <c r="BB64" s="648"/>
      <c r="BC64" s="648"/>
      <c r="BD64" s="648"/>
      <c r="BE64" s="648"/>
      <c r="BF64" s="648"/>
      <c r="BG64" s="648"/>
      <c r="BH64" s="648"/>
      <c r="BI64" s="648"/>
      <c r="BJ64" s="648"/>
      <c r="BT64" s="657"/>
      <c r="BU64" s="657"/>
      <c r="BV64" s="657"/>
      <c r="BW64" s="657"/>
    </row>
    <row r="65" s="99" customFormat="true" ht="16.5" hidden="false" customHeight="false" outlineLevel="0" collapsed="false">
      <c r="A65" s="648"/>
      <c r="B65" s="648"/>
      <c r="C65" s="648"/>
      <c r="D65" s="648"/>
      <c r="E65" s="648"/>
      <c r="F65" s="648"/>
      <c r="G65" s="648"/>
      <c r="H65" s="648"/>
      <c r="I65" s="648"/>
      <c r="J65" s="648"/>
      <c r="K65" s="648"/>
      <c r="L65" s="648"/>
      <c r="M65" s="648"/>
      <c r="N65" s="648"/>
      <c r="O65" s="648"/>
      <c r="P65" s="648"/>
      <c r="Q65" s="648"/>
      <c r="R65" s="648"/>
      <c r="S65" s="648"/>
      <c r="T65" s="648"/>
      <c r="U65" s="648"/>
      <c r="V65" s="648"/>
      <c r="W65" s="648"/>
      <c r="X65" s="648"/>
      <c r="Y65" s="648"/>
      <c r="Z65" s="648"/>
      <c r="AA65" s="648"/>
      <c r="AB65" s="648"/>
      <c r="AC65" s="648"/>
      <c r="AD65" s="648"/>
      <c r="AE65" s="648"/>
      <c r="AF65" s="648"/>
      <c r="AG65" s="648"/>
      <c r="AH65" s="648"/>
      <c r="AI65" s="648"/>
      <c r="AJ65" s="648"/>
      <c r="AK65" s="648"/>
      <c r="AL65" s="648"/>
      <c r="AM65" s="648"/>
      <c r="AN65" s="648"/>
      <c r="AO65" s="648"/>
      <c r="AP65" s="648"/>
      <c r="AQ65" s="648"/>
      <c r="AR65" s="648"/>
      <c r="AS65" s="648"/>
      <c r="AT65" s="648"/>
      <c r="AU65" s="648"/>
      <c r="AV65" s="648"/>
      <c r="AW65" s="648"/>
      <c r="AX65" s="648"/>
      <c r="AY65" s="648"/>
      <c r="AZ65" s="648"/>
      <c r="BA65" s="648"/>
      <c r="BB65" s="648"/>
      <c r="BC65" s="648"/>
      <c r="BD65" s="648"/>
      <c r="BE65" s="648"/>
      <c r="BF65" s="648"/>
      <c r="BG65" s="648"/>
      <c r="BH65" s="648"/>
      <c r="BI65" s="648"/>
      <c r="BJ65" s="648"/>
      <c r="BT65" s="657"/>
      <c r="BU65" s="657"/>
      <c r="BV65" s="657"/>
      <c r="BW65" s="657"/>
    </row>
    <row r="66" s="99" customFormat="true" ht="16.5" hidden="false" customHeight="false" outlineLevel="0" collapsed="false">
      <c r="A66" s="648"/>
      <c r="B66" s="648"/>
      <c r="C66" s="648"/>
      <c r="D66" s="648"/>
      <c r="E66" s="648"/>
      <c r="F66" s="648"/>
      <c r="G66" s="648"/>
      <c r="H66" s="648"/>
      <c r="I66" s="648"/>
      <c r="J66" s="648"/>
      <c r="K66" s="648"/>
      <c r="L66" s="648"/>
      <c r="M66" s="648"/>
      <c r="N66" s="648"/>
      <c r="O66" s="648"/>
      <c r="P66" s="648"/>
      <c r="Q66" s="648"/>
      <c r="R66" s="648"/>
      <c r="S66" s="648"/>
      <c r="T66" s="648"/>
      <c r="U66" s="648"/>
      <c r="V66" s="648"/>
      <c r="W66" s="648"/>
      <c r="X66" s="648"/>
      <c r="Y66" s="648"/>
      <c r="Z66" s="648"/>
      <c r="AA66" s="648"/>
      <c r="AB66" s="648"/>
      <c r="AC66" s="648"/>
      <c r="AD66" s="648"/>
      <c r="AE66" s="648"/>
      <c r="AF66" s="648"/>
      <c r="AG66" s="648"/>
      <c r="AH66" s="648"/>
      <c r="AI66" s="648"/>
      <c r="AJ66" s="648"/>
      <c r="AK66" s="648"/>
      <c r="AL66" s="648"/>
      <c r="AM66" s="648"/>
      <c r="AN66" s="648"/>
      <c r="AO66" s="648"/>
      <c r="AP66" s="648"/>
      <c r="AQ66" s="648"/>
      <c r="AR66" s="648"/>
      <c r="AS66" s="648"/>
      <c r="AT66" s="648"/>
      <c r="AU66" s="648"/>
      <c r="AV66" s="648"/>
      <c r="AW66" s="648"/>
      <c r="AX66" s="648"/>
      <c r="AY66" s="648"/>
      <c r="AZ66" s="648"/>
      <c r="BA66" s="648"/>
      <c r="BB66" s="648"/>
      <c r="BC66" s="648"/>
      <c r="BD66" s="648"/>
      <c r="BE66" s="648"/>
      <c r="BF66" s="648"/>
      <c r="BG66" s="648"/>
      <c r="BH66" s="648"/>
      <c r="BI66" s="648"/>
      <c r="BJ66" s="648"/>
      <c r="BT66" s="657"/>
      <c r="BU66" s="657"/>
      <c r="BV66" s="657"/>
      <c r="BW66" s="657"/>
    </row>
    <row r="67" s="99" customFormat="true" ht="16.5" hidden="false" customHeight="false" outlineLevel="0" collapsed="false">
      <c r="A67" s="648"/>
      <c r="B67" s="648"/>
      <c r="C67" s="648"/>
      <c r="D67" s="648"/>
      <c r="E67" s="648"/>
      <c r="F67" s="648"/>
      <c r="G67" s="648"/>
      <c r="H67" s="648"/>
      <c r="I67" s="648"/>
      <c r="J67" s="648"/>
      <c r="K67" s="648"/>
      <c r="L67" s="648"/>
      <c r="M67" s="648"/>
      <c r="N67" s="648"/>
      <c r="O67" s="648"/>
      <c r="P67" s="648"/>
      <c r="Q67" s="648"/>
      <c r="R67" s="648"/>
      <c r="S67" s="648"/>
      <c r="T67" s="648"/>
      <c r="U67" s="648"/>
      <c r="V67" s="648"/>
      <c r="W67" s="648"/>
      <c r="X67" s="648"/>
      <c r="Y67" s="648"/>
      <c r="Z67" s="648"/>
      <c r="AA67" s="648"/>
      <c r="AB67" s="648"/>
      <c r="AC67" s="648"/>
      <c r="AD67" s="648"/>
      <c r="AE67" s="648"/>
      <c r="AF67" s="648"/>
      <c r="AG67" s="648"/>
      <c r="AH67" s="648"/>
      <c r="AI67" s="648"/>
      <c r="AJ67" s="648"/>
      <c r="AK67" s="648"/>
      <c r="AL67" s="648"/>
      <c r="AM67" s="648"/>
      <c r="AN67" s="648"/>
      <c r="AO67" s="648"/>
      <c r="AP67" s="648"/>
      <c r="AQ67" s="648"/>
      <c r="AR67" s="648"/>
      <c r="AS67" s="648"/>
      <c r="AT67" s="648"/>
      <c r="AU67" s="648"/>
      <c r="AV67" s="648"/>
      <c r="AW67" s="648"/>
      <c r="AX67" s="648"/>
      <c r="AY67" s="648"/>
      <c r="AZ67" s="648"/>
      <c r="BA67" s="648"/>
      <c r="BB67" s="648"/>
      <c r="BC67" s="648"/>
      <c r="BD67" s="648"/>
      <c r="BE67" s="648"/>
      <c r="BF67" s="648"/>
      <c r="BG67" s="648"/>
      <c r="BH67" s="648"/>
      <c r="BI67" s="648"/>
      <c r="BJ67" s="648"/>
      <c r="BT67" s="657"/>
      <c r="BU67" s="657"/>
      <c r="BV67" s="657"/>
      <c r="BW67" s="657"/>
    </row>
    <row r="68" s="99" customFormat="true" ht="16.5" hidden="false" customHeight="false" outlineLevel="0" collapsed="false">
      <c r="A68" s="648"/>
      <c r="B68" s="648"/>
      <c r="C68" s="648"/>
      <c r="D68" s="648"/>
      <c r="E68" s="648"/>
      <c r="F68" s="648"/>
      <c r="G68" s="648"/>
      <c r="H68" s="648"/>
      <c r="I68" s="648"/>
      <c r="J68" s="648"/>
      <c r="K68" s="648"/>
      <c r="L68" s="648"/>
      <c r="M68" s="648"/>
      <c r="N68" s="648"/>
      <c r="O68" s="648"/>
      <c r="P68" s="648"/>
      <c r="Q68" s="648"/>
      <c r="R68" s="648"/>
      <c r="S68" s="648"/>
      <c r="T68" s="648"/>
      <c r="U68" s="648"/>
      <c r="V68" s="648"/>
      <c r="W68" s="648"/>
      <c r="X68" s="648"/>
      <c r="Y68" s="648"/>
      <c r="Z68" s="648"/>
      <c r="AA68" s="648"/>
      <c r="AB68" s="648"/>
      <c r="AC68" s="648"/>
      <c r="AD68" s="648"/>
      <c r="AE68" s="648"/>
      <c r="AF68" s="648"/>
      <c r="AG68" s="648"/>
      <c r="AH68" s="648"/>
      <c r="AI68" s="648"/>
      <c r="AJ68" s="648"/>
      <c r="AK68" s="648"/>
      <c r="AL68" s="648"/>
      <c r="AM68" s="648"/>
      <c r="AN68" s="648"/>
      <c r="AO68" s="648"/>
      <c r="AP68" s="648"/>
      <c r="AQ68" s="648"/>
      <c r="AR68" s="648"/>
      <c r="AS68" s="648"/>
      <c r="AT68" s="648"/>
      <c r="AU68" s="648"/>
      <c r="AV68" s="648"/>
      <c r="AW68" s="648"/>
      <c r="AX68" s="648"/>
      <c r="AY68" s="648"/>
      <c r="AZ68" s="648"/>
      <c r="BA68" s="648"/>
      <c r="BB68" s="648"/>
      <c r="BC68" s="648"/>
      <c r="BD68" s="648"/>
      <c r="BE68" s="648"/>
      <c r="BF68" s="648"/>
      <c r="BG68" s="648"/>
      <c r="BH68" s="648"/>
      <c r="BI68" s="648"/>
      <c r="BJ68" s="648"/>
      <c r="BT68" s="657"/>
      <c r="BU68" s="657"/>
      <c r="BV68" s="657"/>
      <c r="BW68" s="657"/>
    </row>
    <row r="69" s="99" customFormat="true" ht="16.5" hidden="false" customHeight="false" outlineLevel="0" collapsed="false">
      <c r="A69" s="648"/>
      <c r="B69" s="648"/>
      <c r="C69" s="648"/>
      <c r="D69" s="648"/>
      <c r="E69" s="648"/>
      <c r="F69" s="648"/>
      <c r="G69" s="648"/>
      <c r="H69" s="648"/>
      <c r="I69" s="648"/>
      <c r="J69" s="648"/>
      <c r="K69" s="648"/>
      <c r="L69" s="648"/>
      <c r="M69" s="648"/>
      <c r="N69" s="648"/>
      <c r="O69" s="648"/>
      <c r="P69" s="648"/>
      <c r="Q69" s="648"/>
      <c r="R69" s="648"/>
      <c r="S69" s="648"/>
      <c r="T69" s="648"/>
      <c r="U69" s="648"/>
      <c r="V69" s="648"/>
      <c r="W69" s="648"/>
      <c r="X69" s="648"/>
      <c r="Y69" s="648"/>
      <c r="Z69" s="648"/>
      <c r="AA69" s="648"/>
      <c r="AB69" s="648"/>
      <c r="AC69" s="648"/>
      <c r="AD69" s="648"/>
      <c r="AE69" s="648"/>
      <c r="AF69" s="648"/>
      <c r="AG69" s="648"/>
      <c r="AH69" s="648"/>
      <c r="AI69" s="648"/>
      <c r="AJ69" s="648"/>
      <c r="AK69" s="648"/>
      <c r="AL69" s="648"/>
      <c r="AM69" s="648"/>
      <c r="AN69" s="648"/>
      <c r="AO69" s="648"/>
      <c r="AP69" s="648"/>
      <c r="AQ69" s="648"/>
      <c r="AR69" s="648"/>
      <c r="AS69" s="648"/>
      <c r="AT69" s="648"/>
      <c r="AU69" s="648"/>
      <c r="AV69" s="648"/>
      <c r="AW69" s="648"/>
      <c r="AX69" s="648"/>
      <c r="AY69" s="648"/>
      <c r="AZ69" s="648"/>
      <c r="BA69" s="648"/>
      <c r="BB69" s="648"/>
      <c r="BC69" s="648"/>
      <c r="BD69" s="648"/>
      <c r="BE69" s="648"/>
      <c r="BF69" s="648"/>
      <c r="BG69" s="648"/>
      <c r="BH69" s="648"/>
      <c r="BI69" s="648"/>
      <c r="BJ69" s="648"/>
      <c r="BT69" s="657"/>
      <c r="BU69" s="657"/>
      <c r="BV69" s="657"/>
      <c r="BW69" s="657"/>
    </row>
    <row r="70" s="99" customFormat="true" ht="16.5" hidden="false" customHeight="false" outlineLevel="0" collapsed="false">
      <c r="A70" s="648"/>
      <c r="B70" s="648"/>
      <c r="C70" s="648"/>
      <c r="D70" s="648"/>
      <c r="E70" s="648"/>
      <c r="F70" s="648"/>
      <c r="G70" s="648"/>
      <c r="H70" s="648"/>
      <c r="I70" s="648"/>
      <c r="J70" s="648"/>
      <c r="K70" s="648"/>
      <c r="L70" s="648"/>
      <c r="M70" s="648"/>
      <c r="N70" s="648"/>
      <c r="O70" s="648"/>
      <c r="P70" s="648"/>
      <c r="Q70" s="648"/>
      <c r="R70" s="648"/>
      <c r="S70" s="648"/>
      <c r="T70" s="648"/>
      <c r="U70" s="648"/>
      <c r="V70" s="648"/>
      <c r="W70" s="648"/>
      <c r="X70" s="648"/>
      <c r="Y70" s="648"/>
      <c r="Z70" s="648"/>
      <c r="AA70" s="648"/>
      <c r="AB70" s="648"/>
      <c r="AC70" s="648"/>
      <c r="AD70" s="648"/>
      <c r="AE70" s="648"/>
      <c r="AF70" s="648"/>
      <c r="AG70" s="648"/>
      <c r="AH70" s="648"/>
      <c r="AI70" s="648"/>
      <c r="AJ70" s="648"/>
      <c r="AK70" s="648"/>
      <c r="AL70" s="648"/>
      <c r="AM70" s="648"/>
      <c r="AN70" s="648"/>
      <c r="AO70" s="648"/>
      <c r="AP70" s="648"/>
      <c r="AQ70" s="648"/>
      <c r="AR70" s="648"/>
      <c r="AS70" s="648"/>
      <c r="AT70" s="648"/>
      <c r="AU70" s="648"/>
      <c r="AV70" s="648"/>
      <c r="AW70" s="648"/>
      <c r="AX70" s="648"/>
      <c r="AY70" s="648"/>
      <c r="AZ70" s="648"/>
      <c r="BA70" s="648"/>
      <c r="BB70" s="648"/>
      <c r="BC70" s="648"/>
      <c r="BD70" s="648"/>
      <c r="BE70" s="648"/>
      <c r="BF70" s="648"/>
      <c r="BG70" s="648"/>
      <c r="BH70" s="648"/>
      <c r="BI70" s="648"/>
      <c r="BJ70" s="648"/>
      <c r="BT70" s="657"/>
      <c r="BU70" s="657"/>
      <c r="BV70" s="657"/>
      <c r="BW70" s="657"/>
    </row>
    <row r="71" s="99" customFormat="true" ht="16.5" hidden="false" customHeight="false" outlineLevel="0" collapsed="false">
      <c r="A71" s="648"/>
      <c r="B71" s="648"/>
      <c r="C71" s="648"/>
      <c r="D71" s="648"/>
      <c r="E71" s="648"/>
      <c r="F71" s="648"/>
      <c r="G71" s="648"/>
      <c r="H71" s="648"/>
      <c r="I71" s="648"/>
      <c r="J71" s="648"/>
      <c r="K71" s="648"/>
      <c r="L71" s="648"/>
      <c r="M71" s="648"/>
      <c r="N71" s="648"/>
      <c r="O71" s="648"/>
      <c r="P71" s="648"/>
      <c r="Q71" s="648"/>
      <c r="R71" s="648"/>
      <c r="S71" s="648"/>
      <c r="T71" s="648"/>
      <c r="U71" s="648"/>
      <c r="V71" s="648"/>
      <c r="W71" s="648"/>
      <c r="X71" s="648"/>
      <c r="Y71" s="648"/>
      <c r="Z71" s="648"/>
      <c r="AA71" s="648"/>
      <c r="AB71" s="648"/>
      <c r="AC71" s="648"/>
      <c r="AD71" s="648"/>
      <c r="AE71" s="648"/>
      <c r="AF71" s="648"/>
      <c r="AG71" s="648"/>
      <c r="AH71" s="648"/>
      <c r="AI71" s="648"/>
      <c r="AJ71" s="648"/>
      <c r="AK71" s="648"/>
      <c r="AL71" s="648"/>
      <c r="AM71" s="648"/>
      <c r="AN71" s="648"/>
      <c r="AO71" s="648"/>
      <c r="AP71" s="648"/>
      <c r="AQ71" s="648"/>
      <c r="AR71" s="648"/>
      <c r="AS71" s="648"/>
      <c r="AT71" s="648"/>
      <c r="AU71" s="648"/>
      <c r="AV71" s="648"/>
      <c r="AW71" s="648"/>
      <c r="AX71" s="648"/>
      <c r="AY71" s="648"/>
      <c r="AZ71" s="648"/>
      <c r="BA71" s="648"/>
      <c r="BB71" s="648"/>
      <c r="BC71" s="648"/>
      <c r="BD71" s="648"/>
      <c r="BE71" s="648"/>
      <c r="BF71" s="648"/>
      <c r="BG71" s="648"/>
      <c r="BH71" s="648"/>
      <c r="BI71" s="648"/>
      <c r="BJ71" s="648"/>
      <c r="BT71" s="657"/>
      <c r="BU71" s="657"/>
      <c r="BV71" s="657"/>
      <c r="BW71" s="657"/>
    </row>
    <row r="72" s="99" customFormat="true" ht="16.5" hidden="false" customHeight="false" outlineLevel="0" collapsed="false">
      <c r="A72" s="648"/>
      <c r="B72" s="648"/>
      <c r="C72" s="648"/>
      <c r="D72" s="648"/>
      <c r="E72" s="648"/>
      <c r="F72" s="648"/>
      <c r="G72" s="648"/>
      <c r="H72" s="648"/>
      <c r="I72" s="648"/>
      <c r="J72" s="648"/>
      <c r="K72" s="648"/>
      <c r="L72" s="648"/>
      <c r="M72" s="648"/>
      <c r="N72" s="648"/>
      <c r="O72" s="648"/>
      <c r="P72" s="648"/>
      <c r="Q72" s="648"/>
      <c r="R72" s="648"/>
      <c r="S72" s="648"/>
      <c r="T72" s="648"/>
      <c r="U72" s="648"/>
      <c r="V72" s="648"/>
      <c r="W72" s="648"/>
      <c r="X72" s="648"/>
      <c r="Y72" s="648"/>
      <c r="Z72" s="648"/>
      <c r="AA72" s="648"/>
      <c r="AB72" s="648"/>
      <c r="AC72" s="648"/>
      <c r="AD72" s="648"/>
      <c r="AE72" s="648"/>
      <c r="AF72" s="648"/>
      <c r="AG72" s="648"/>
      <c r="AH72" s="648"/>
      <c r="AI72" s="648"/>
      <c r="AJ72" s="648"/>
      <c r="AK72" s="648"/>
      <c r="AL72" s="648"/>
      <c r="AM72" s="648"/>
      <c r="AN72" s="648"/>
      <c r="AO72" s="648"/>
      <c r="AP72" s="648"/>
      <c r="AQ72" s="648"/>
      <c r="AR72" s="648"/>
      <c r="AS72" s="648"/>
      <c r="AT72" s="648"/>
      <c r="AU72" s="648"/>
      <c r="AV72" s="648"/>
      <c r="AW72" s="648"/>
      <c r="AX72" s="648"/>
      <c r="AY72" s="648"/>
      <c r="AZ72" s="648"/>
      <c r="BA72" s="648"/>
      <c r="BB72" s="648"/>
      <c r="BC72" s="648"/>
      <c r="BD72" s="648"/>
      <c r="BE72" s="648"/>
      <c r="BF72" s="648"/>
      <c r="BG72" s="648"/>
      <c r="BH72" s="648"/>
      <c r="BI72" s="648"/>
      <c r="BJ72" s="648"/>
      <c r="BT72" s="657"/>
      <c r="BU72" s="657"/>
      <c r="BV72" s="657"/>
      <c r="BW72" s="657"/>
    </row>
    <row r="73" s="99" customFormat="true" ht="16.5" hidden="false" customHeight="false" outlineLevel="0" collapsed="false">
      <c r="A73" s="648"/>
      <c r="B73" s="648"/>
      <c r="C73" s="648"/>
      <c r="D73" s="648"/>
      <c r="E73" s="648"/>
      <c r="F73" s="648"/>
      <c r="G73" s="648"/>
      <c r="H73" s="648"/>
      <c r="I73" s="648"/>
      <c r="J73" s="648"/>
      <c r="K73" s="648"/>
      <c r="L73" s="648"/>
      <c r="M73" s="648"/>
      <c r="N73" s="648"/>
      <c r="O73" s="648"/>
      <c r="P73" s="648"/>
      <c r="Q73" s="648"/>
      <c r="R73" s="648"/>
      <c r="S73" s="648"/>
      <c r="T73" s="648"/>
      <c r="U73" s="648"/>
      <c r="V73" s="648"/>
      <c r="W73" s="648"/>
      <c r="X73" s="648"/>
      <c r="Y73" s="648"/>
      <c r="Z73" s="648"/>
      <c r="AA73" s="648"/>
      <c r="AB73" s="648"/>
      <c r="AC73" s="648"/>
      <c r="AD73" s="648"/>
      <c r="AE73" s="648"/>
      <c r="AF73" s="648"/>
      <c r="AG73" s="648"/>
      <c r="AH73" s="648"/>
      <c r="AI73" s="648"/>
      <c r="AJ73" s="648"/>
      <c r="AK73" s="648"/>
      <c r="AL73" s="648"/>
      <c r="AM73" s="648"/>
      <c r="AN73" s="648"/>
      <c r="AO73" s="648"/>
      <c r="AP73" s="648"/>
      <c r="AQ73" s="648"/>
      <c r="AR73" s="648"/>
      <c r="AS73" s="648"/>
      <c r="AT73" s="648"/>
      <c r="AU73" s="648"/>
      <c r="AV73" s="648"/>
      <c r="AW73" s="648"/>
      <c r="AX73" s="648"/>
      <c r="AY73" s="648"/>
      <c r="AZ73" s="648"/>
      <c r="BA73" s="648"/>
      <c r="BB73" s="648"/>
      <c r="BC73" s="648"/>
      <c r="BD73" s="648"/>
      <c r="BE73" s="648"/>
      <c r="BF73" s="648"/>
      <c r="BG73" s="648"/>
      <c r="BH73" s="648"/>
      <c r="BI73" s="648"/>
      <c r="BJ73" s="648"/>
      <c r="BT73" s="657"/>
      <c r="BU73" s="657"/>
      <c r="BV73" s="657"/>
      <c r="BW73" s="657"/>
    </row>
    <row r="74" s="99" customFormat="true" ht="16.5" hidden="false" customHeight="false" outlineLevel="0" collapsed="false">
      <c r="A74" s="648"/>
      <c r="B74" s="648"/>
      <c r="C74" s="648"/>
      <c r="D74" s="648"/>
      <c r="E74" s="648"/>
      <c r="F74" s="648"/>
      <c r="G74" s="648"/>
      <c r="H74" s="648"/>
      <c r="I74" s="648"/>
      <c r="J74" s="648"/>
      <c r="K74" s="648"/>
      <c r="L74" s="648"/>
      <c r="M74" s="648"/>
      <c r="N74" s="648"/>
      <c r="O74" s="648"/>
      <c r="P74" s="648"/>
      <c r="Q74" s="648"/>
      <c r="R74" s="648"/>
      <c r="S74" s="648"/>
      <c r="T74" s="648"/>
      <c r="U74" s="648"/>
      <c r="V74" s="648"/>
      <c r="W74" s="648"/>
      <c r="X74" s="648"/>
      <c r="Y74" s="648"/>
      <c r="Z74" s="648"/>
      <c r="AA74" s="648"/>
      <c r="AB74" s="648"/>
      <c r="AC74" s="648"/>
      <c r="AD74" s="648"/>
      <c r="AE74" s="648"/>
      <c r="AF74" s="648"/>
      <c r="AG74" s="648"/>
      <c r="AH74" s="648"/>
      <c r="AI74" s="648"/>
      <c r="AJ74" s="648"/>
      <c r="AK74" s="648"/>
      <c r="AL74" s="648"/>
      <c r="AM74" s="648"/>
      <c r="AN74" s="648"/>
      <c r="AO74" s="648"/>
      <c r="AP74" s="648"/>
      <c r="AQ74" s="648"/>
      <c r="AR74" s="648"/>
      <c r="AS74" s="648"/>
      <c r="AT74" s="648"/>
      <c r="AU74" s="648"/>
      <c r="AV74" s="648"/>
      <c r="AW74" s="648"/>
      <c r="AX74" s="648"/>
      <c r="AY74" s="648"/>
      <c r="AZ74" s="648"/>
      <c r="BA74" s="648"/>
      <c r="BB74" s="648"/>
      <c r="BC74" s="648"/>
      <c r="BD74" s="648"/>
      <c r="BE74" s="648"/>
      <c r="BF74" s="648"/>
      <c r="BG74" s="648"/>
      <c r="BH74" s="648"/>
      <c r="BI74" s="648"/>
      <c r="BJ74" s="648"/>
      <c r="BT74" s="657"/>
      <c r="BU74" s="657"/>
      <c r="BV74" s="657"/>
      <c r="BW74" s="657"/>
    </row>
    <row r="75" s="99" customFormat="true" ht="16.5" hidden="false" customHeight="false" outlineLevel="0" collapsed="false">
      <c r="A75" s="648"/>
      <c r="B75" s="648"/>
      <c r="C75" s="648"/>
      <c r="D75" s="648"/>
      <c r="E75" s="648"/>
      <c r="F75" s="648"/>
      <c r="G75" s="648"/>
      <c r="H75" s="648"/>
      <c r="I75" s="648"/>
      <c r="J75" s="648"/>
      <c r="K75" s="648"/>
      <c r="L75" s="648"/>
      <c r="M75" s="648"/>
      <c r="N75" s="648"/>
      <c r="O75" s="648"/>
      <c r="P75" s="648"/>
      <c r="Q75" s="648"/>
      <c r="R75" s="648"/>
      <c r="S75" s="648"/>
      <c r="T75" s="648"/>
      <c r="U75" s="648"/>
      <c r="V75" s="648"/>
      <c r="W75" s="648"/>
      <c r="X75" s="648"/>
      <c r="Y75" s="648"/>
      <c r="Z75" s="648"/>
      <c r="AA75" s="648"/>
      <c r="AB75" s="648"/>
      <c r="AC75" s="648"/>
      <c r="AD75" s="648"/>
      <c r="AE75" s="648"/>
      <c r="AF75" s="648"/>
      <c r="AG75" s="648"/>
      <c r="AH75" s="648"/>
      <c r="AI75" s="648"/>
      <c r="AJ75" s="648"/>
      <c r="AK75" s="648"/>
      <c r="AL75" s="648"/>
      <c r="AM75" s="648"/>
      <c r="AN75" s="648"/>
      <c r="AO75" s="648"/>
      <c r="AP75" s="648"/>
      <c r="AQ75" s="648"/>
      <c r="AR75" s="648"/>
      <c r="AS75" s="648"/>
      <c r="AT75" s="648"/>
      <c r="AU75" s="648"/>
      <c r="AV75" s="648"/>
      <c r="AW75" s="648"/>
      <c r="AX75" s="648"/>
      <c r="AY75" s="648"/>
      <c r="AZ75" s="648"/>
      <c r="BA75" s="648"/>
      <c r="BB75" s="648"/>
      <c r="BC75" s="648"/>
      <c r="BD75" s="648"/>
      <c r="BE75" s="648"/>
      <c r="BF75" s="648"/>
      <c r="BG75" s="648"/>
      <c r="BH75" s="648"/>
      <c r="BI75" s="648"/>
      <c r="BJ75" s="648"/>
      <c r="BT75" s="657"/>
      <c r="BU75" s="657"/>
      <c r="BV75" s="657"/>
      <c r="BW75" s="657"/>
    </row>
    <row r="76" s="99" customFormat="true" ht="16.5" hidden="false" customHeight="false" outlineLevel="0" collapsed="false">
      <c r="A76" s="648"/>
      <c r="B76" s="648"/>
      <c r="C76" s="648"/>
      <c r="D76" s="648"/>
      <c r="E76" s="648"/>
      <c r="F76" s="648"/>
      <c r="G76" s="648"/>
      <c r="H76" s="648"/>
      <c r="I76" s="648"/>
      <c r="J76" s="648"/>
      <c r="K76" s="648"/>
      <c r="L76" s="648"/>
      <c r="M76" s="648"/>
      <c r="N76" s="648"/>
      <c r="O76" s="648"/>
      <c r="P76" s="648"/>
      <c r="Q76" s="648"/>
      <c r="R76" s="648"/>
      <c r="S76" s="648"/>
      <c r="T76" s="648"/>
      <c r="U76" s="648"/>
      <c r="V76" s="648"/>
      <c r="W76" s="648"/>
      <c r="X76" s="648"/>
      <c r="Y76" s="648"/>
      <c r="Z76" s="648"/>
      <c r="AA76" s="648"/>
      <c r="AB76" s="648"/>
      <c r="AC76" s="648"/>
      <c r="AD76" s="648"/>
      <c r="AE76" s="648"/>
      <c r="AF76" s="648"/>
      <c r="AG76" s="648"/>
      <c r="AH76" s="648"/>
      <c r="AI76" s="648"/>
      <c r="AJ76" s="648"/>
      <c r="AK76" s="648"/>
      <c r="AL76" s="648"/>
      <c r="AM76" s="648"/>
      <c r="AN76" s="648"/>
      <c r="AO76" s="648"/>
      <c r="AP76" s="648"/>
      <c r="AQ76" s="648"/>
      <c r="AR76" s="648"/>
      <c r="AS76" s="648"/>
      <c r="AT76" s="648"/>
      <c r="AU76" s="648"/>
      <c r="AV76" s="648"/>
      <c r="AW76" s="648"/>
      <c r="AX76" s="648"/>
      <c r="AY76" s="648"/>
      <c r="AZ76" s="648"/>
      <c r="BA76" s="648"/>
      <c r="BB76" s="648"/>
      <c r="BC76" s="648"/>
      <c r="BD76" s="648"/>
      <c r="BE76" s="648"/>
      <c r="BF76" s="648"/>
      <c r="BG76" s="648"/>
      <c r="BH76" s="648"/>
      <c r="BI76" s="648"/>
      <c r="BJ76" s="648"/>
      <c r="BT76" s="657"/>
      <c r="BU76" s="657"/>
      <c r="BV76" s="657"/>
      <c r="BW76" s="657"/>
    </row>
    <row r="77" s="99" customFormat="true" ht="16.5" hidden="false" customHeight="false" outlineLevel="0" collapsed="false">
      <c r="A77" s="648"/>
      <c r="B77" s="648"/>
      <c r="C77" s="648"/>
      <c r="D77" s="648"/>
      <c r="E77" s="648"/>
      <c r="F77" s="648"/>
      <c r="G77" s="648"/>
      <c r="H77" s="648"/>
      <c r="I77" s="648"/>
      <c r="J77" s="648"/>
      <c r="K77" s="648"/>
      <c r="L77" s="648"/>
      <c r="M77" s="648"/>
      <c r="N77" s="648"/>
      <c r="O77" s="648"/>
      <c r="P77" s="648"/>
      <c r="Q77" s="648"/>
      <c r="R77" s="648"/>
      <c r="S77" s="648"/>
      <c r="T77" s="648"/>
      <c r="U77" s="648"/>
      <c r="V77" s="648"/>
      <c r="W77" s="648"/>
      <c r="X77" s="648"/>
      <c r="Y77" s="648"/>
      <c r="Z77" s="648"/>
      <c r="AA77" s="648"/>
      <c r="AB77" s="648"/>
      <c r="AC77" s="648"/>
      <c r="AD77" s="648"/>
      <c r="AE77" s="648"/>
      <c r="AF77" s="648"/>
      <c r="AG77" s="648"/>
      <c r="AH77" s="648"/>
      <c r="AI77" s="648"/>
      <c r="AJ77" s="648"/>
      <c r="AK77" s="648"/>
      <c r="AL77" s="648"/>
      <c r="AM77" s="648"/>
      <c r="AN77" s="648"/>
      <c r="AO77" s="648"/>
      <c r="AP77" s="648"/>
      <c r="AQ77" s="648"/>
      <c r="AR77" s="648"/>
      <c r="AS77" s="648"/>
      <c r="AT77" s="648"/>
      <c r="AU77" s="648"/>
      <c r="AV77" s="648"/>
      <c r="AW77" s="648"/>
      <c r="AX77" s="648"/>
      <c r="AY77" s="648"/>
      <c r="AZ77" s="648"/>
      <c r="BA77" s="648"/>
      <c r="BB77" s="648"/>
      <c r="BC77" s="648"/>
      <c r="BD77" s="648"/>
      <c r="BE77" s="648"/>
      <c r="BF77" s="648"/>
      <c r="BG77" s="648"/>
      <c r="BH77" s="648"/>
      <c r="BI77" s="648"/>
      <c r="BJ77" s="648"/>
      <c r="BT77" s="657"/>
      <c r="BU77" s="657"/>
      <c r="BV77" s="657"/>
      <c r="BW77" s="657"/>
    </row>
    <row r="78" s="99" customFormat="true" ht="16.5" hidden="false" customHeight="false" outlineLevel="0" collapsed="false">
      <c r="A78" s="648"/>
      <c r="B78" s="648"/>
      <c r="C78" s="648"/>
      <c r="D78" s="648"/>
      <c r="E78" s="648"/>
      <c r="F78" s="648"/>
      <c r="G78" s="648"/>
      <c r="H78" s="648"/>
      <c r="I78" s="648"/>
      <c r="J78" s="648"/>
      <c r="K78" s="648"/>
      <c r="L78" s="648"/>
      <c r="M78" s="648"/>
      <c r="N78" s="648"/>
      <c r="O78" s="648"/>
      <c r="P78" s="648"/>
      <c r="Q78" s="648"/>
      <c r="R78" s="648"/>
      <c r="S78" s="648"/>
      <c r="T78" s="648"/>
      <c r="U78" s="648"/>
      <c r="V78" s="648"/>
      <c r="W78" s="648"/>
      <c r="X78" s="648"/>
      <c r="Y78" s="648"/>
      <c r="Z78" s="648"/>
      <c r="AA78" s="648"/>
      <c r="AB78" s="648"/>
      <c r="AC78" s="648"/>
      <c r="AD78" s="648"/>
      <c r="AE78" s="648"/>
      <c r="AF78" s="648"/>
      <c r="AG78" s="648"/>
      <c r="AH78" s="648"/>
      <c r="AI78" s="648"/>
      <c r="AJ78" s="648"/>
      <c r="AK78" s="648"/>
      <c r="AL78" s="648"/>
      <c r="AM78" s="648"/>
      <c r="AN78" s="648"/>
      <c r="AO78" s="648"/>
      <c r="AP78" s="648"/>
      <c r="AQ78" s="648"/>
      <c r="AR78" s="648"/>
      <c r="AS78" s="648"/>
      <c r="AT78" s="648"/>
      <c r="AU78" s="648"/>
      <c r="AV78" s="648"/>
      <c r="AW78" s="648"/>
      <c r="AX78" s="648"/>
      <c r="AY78" s="648"/>
      <c r="AZ78" s="648"/>
      <c r="BA78" s="648"/>
      <c r="BB78" s="648"/>
      <c r="BC78" s="648"/>
      <c r="BD78" s="648"/>
      <c r="BE78" s="648"/>
      <c r="BF78" s="648"/>
      <c r="BG78" s="648"/>
      <c r="BH78" s="648"/>
      <c r="BI78" s="648"/>
      <c r="BJ78" s="648"/>
      <c r="BT78" s="657"/>
      <c r="BU78" s="657"/>
      <c r="BV78" s="657"/>
      <c r="BW78" s="657"/>
    </row>
    <row r="79" s="99" customFormat="true" ht="16.5" hidden="false" customHeight="false" outlineLevel="0" collapsed="false">
      <c r="A79" s="648"/>
      <c r="B79" s="648"/>
      <c r="C79" s="648"/>
      <c r="D79" s="648"/>
      <c r="E79" s="648"/>
      <c r="F79" s="648"/>
      <c r="G79" s="648"/>
      <c r="H79" s="648"/>
      <c r="I79" s="648"/>
      <c r="J79" s="648"/>
      <c r="K79" s="648"/>
      <c r="L79" s="648"/>
      <c r="M79" s="648"/>
      <c r="N79" s="648"/>
      <c r="O79" s="648"/>
      <c r="P79" s="648"/>
      <c r="Q79" s="648"/>
      <c r="R79" s="648"/>
      <c r="S79" s="648"/>
      <c r="T79" s="648"/>
      <c r="U79" s="648"/>
      <c r="V79" s="648"/>
      <c r="W79" s="648"/>
      <c r="X79" s="648"/>
      <c r="Y79" s="648"/>
      <c r="Z79" s="648"/>
      <c r="AA79" s="648"/>
      <c r="AB79" s="648"/>
      <c r="AC79" s="648"/>
      <c r="AD79" s="648"/>
      <c r="AE79" s="648"/>
      <c r="AF79" s="648"/>
      <c r="AG79" s="648"/>
      <c r="AH79" s="648"/>
      <c r="AI79" s="648"/>
      <c r="AJ79" s="648"/>
      <c r="AK79" s="648"/>
      <c r="AL79" s="648"/>
      <c r="AM79" s="648"/>
      <c r="AN79" s="648"/>
      <c r="AO79" s="648"/>
      <c r="AP79" s="648"/>
      <c r="AQ79" s="648"/>
      <c r="AR79" s="648"/>
      <c r="AS79" s="648"/>
      <c r="AT79" s="648"/>
      <c r="AU79" s="648"/>
      <c r="AV79" s="648"/>
      <c r="AW79" s="648"/>
      <c r="AX79" s="648"/>
      <c r="AY79" s="648"/>
      <c r="AZ79" s="648"/>
      <c r="BA79" s="648"/>
      <c r="BB79" s="648"/>
      <c r="BC79" s="648"/>
      <c r="BD79" s="648"/>
      <c r="BE79" s="648"/>
      <c r="BF79" s="648"/>
      <c r="BG79" s="648"/>
      <c r="BH79" s="648"/>
      <c r="BI79" s="648"/>
      <c r="BJ79" s="648"/>
      <c r="BT79" s="657"/>
      <c r="BU79" s="657"/>
      <c r="BV79" s="657"/>
      <c r="BW79" s="657"/>
    </row>
    <row r="80" s="99" customFormat="true" ht="16.5" hidden="false" customHeight="false" outlineLevel="0" collapsed="false">
      <c r="A80" s="648"/>
      <c r="B80" s="648"/>
      <c r="C80" s="648"/>
      <c r="D80" s="648"/>
      <c r="E80" s="648"/>
      <c r="F80" s="648"/>
      <c r="G80" s="648"/>
      <c r="H80" s="648"/>
      <c r="I80" s="648"/>
      <c r="J80" s="648"/>
      <c r="K80" s="648"/>
      <c r="L80" s="648"/>
      <c r="M80" s="648"/>
      <c r="N80" s="648"/>
      <c r="O80" s="648"/>
      <c r="P80" s="648"/>
      <c r="Q80" s="648"/>
      <c r="R80" s="648"/>
      <c r="S80" s="648"/>
      <c r="T80" s="648"/>
      <c r="U80" s="648"/>
      <c r="V80" s="648"/>
      <c r="W80" s="648"/>
      <c r="X80" s="648"/>
      <c r="Y80" s="648"/>
      <c r="Z80" s="648"/>
      <c r="AA80" s="648"/>
      <c r="AB80" s="648"/>
      <c r="AC80" s="648"/>
      <c r="AD80" s="648"/>
      <c r="AE80" s="648"/>
      <c r="AF80" s="648"/>
      <c r="AG80" s="648"/>
      <c r="AH80" s="648"/>
      <c r="AI80" s="648"/>
      <c r="AJ80" s="648"/>
      <c r="AK80" s="648"/>
      <c r="AL80" s="648"/>
      <c r="AM80" s="648"/>
      <c r="AN80" s="648"/>
      <c r="AO80" s="648"/>
      <c r="AP80" s="648"/>
      <c r="AQ80" s="648"/>
      <c r="AR80" s="648"/>
      <c r="AS80" s="648"/>
      <c r="AT80" s="648"/>
      <c r="AU80" s="648"/>
      <c r="AV80" s="648"/>
      <c r="AW80" s="648"/>
      <c r="AX80" s="648"/>
      <c r="AY80" s="648"/>
      <c r="AZ80" s="648"/>
      <c r="BA80" s="648"/>
      <c r="BB80" s="648"/>
      <c r="BC80" s="648"/>
      <c r="BD80" s="648"/>
      <c r="BE80" s="648"/>
      <c r="BF80" s="648"/>
      <c r="BG80" s="648"/>
      <c r="BH80" s="648"/>
      <c r="BI80" s="648"/>
      <c r="BJ80" s="648"/>
      <c r="BT80" s="657"/>
      <c r="BU80" s="657"/>
      <c r="BV80" s="657"/>
      <c r="BW80" s="657"/>
    </row>
    <row r="81" s="99" customFormat="true" ht="16.5" hidden="false" customHeight="false" outlineLevel="0" collapsed="false">
      <c r="A81" s="648"/>
      <c r="B81" s="648"/>
      <c r="C81" s="648"/>
      <c r="D81" s="648"/>
      <c r="E81" s="648"/>
      <c r="F81" s="648"/>
      <c r="G81" s="648"/>
      <c r="H81" s="648"/>
      <c r="I81" s="648"/>
      <c r="J81" s="648"/>
      <c r="K81" s="648"/>
      <c r="L81" s="648"/>
      <c r="M81" s="648"/>
      <c r="N81" s="648"/>
      <c r="O81" s="648"/>
      <c r="P81" s="648"/>
      <c r="Q81" s="648"/>
      <c r="R81" s="648"/>
      <c r="S81" s="648"/>
      <c r="T81" s="648"/>
      <c r="U81" s="648"/>
      <c r="V81" s="648"/>
      <c r="W81" s="648"/>
      <c r="X81" s="648"/>
      <c r="Y81" s="648"/>
      <c r="Z81" s="648"/>
      <c r="AA81" s="648"/>
      <c r="AB81" s="648"/>
      <c r="AC81" s="648"/>
      <c r="AD81" s="648"/>
      <c r="AE81" s="648"/>
      <c r="AF81" s="648"/>
      <c r="AG81" s="648"/>
      <c r="AH81" s="648"/>
      <c r="AI81" s="648"/>
      <c r="AJ81" s="648"/>
      <c r="AK81" s="648"/>
      <c r="AL81" s="648"/>
      <c r="AM81" s="648"/>
      <c r="AN81" s="648"/>
      <c r="AO81" s="648"/>
      <c r="AP81" s="648"/>
      <c r="AQ81" s="648"/>
      <c r="AR81" s="648"/>
      <c r="AS81" s="648"/>
      <c r="AT81" s="648"/>
      <c r="AU81" s="648"/>
      <c r="AV81" s="648"/>
      <c r="AW81" s="648"/>
      <c r="AX81" s="648"/>
      <c r="AY81" s="648"/>
      <c r="AZ81" s="648"/>
      <c r="BA81" s="648"/>
      <c r="BB81" s="648"/>
      <c r="BC81" s="648"/>
      <c r="BD81" s="648"/>
      <c r="BE81" s="648"/>
      <c r="BF81" s="648"/>
      <c r="BG81" s="648"/>
      <c r="BH81" s="648"/>
      <c r="BI81" s="648"/>
      <c r="BJ81" s="648"/>
      <c r="BT81" s="657"/>
      <c r="BU81" s="657"/>
      <c r="BV81" s="657"/>
      <c r="BW81" s="657"/>
    </row>
    <row r="82" s="99" customFormat="true" ht="16.5" hidden="false" customHeight="false" outlineLevel="0" collapsed="false">
      <c r="A82" s="648"/>
      <c r="B82" s="648"/>
      <c r="C82" s="648"/>
      <c r="D82" s="648"/>
      <c r="E82" s="648"/>
      <c r="F82" s="648"/>
      <c r="G82" s="648"/>
      <c r="H82" s="648"/>
      <c r="I82" s="648"/>
      <c r="J82" s="648"/>
      <c r="K82" s="648"/>
      <c r="L82" s="648"/>
      <c r="M82" s="648"/>
      <c r="N82" s="648"/>
      <c r="O82" s="648"/>
      <c r="P82" s="648"/>
      <c r="Q82" s="648"/>
      <c r="R82" s="648"/>
      <c r="S82" s="648"/>
      <c r="T82" s="648"/>
      <c r="U82" s="648"/>
      <c r="V82" s="648"/>
      <c r="W82" s="648"/>
      <c r="X82" s="648"/>
      <c r="Y82" s="648"/>
      <c r="Z82" s="648"/>
      <c r="AA82" s="648"/>
      <c r="AB82" s="648"/>
      <c r="AC82" s="648"/>
      <c r="AD82" s="648"/>
      <c r="AE82" s="648"/>
      <c r="AF82" s="648"/>
      <c r="AG82" s="648"/>
      <c r="AH82" s="648"/>
      <c r="AI82" s="648"/>
      <c r="AJ82" s="648"/>
      <c r="AK82" s="648"/>
      <c r="AL82" s="648"/>
      <c r="AM82" s="648"/>
      <c r="AN82" s="648"/>
      <c r="AO82" s="648"/>
      <c r="AP82" s="648"/>
      <c r="AQ82" s="648"/>
      <c r="AR82" s="648"/>
      <c r="AS82" s="648"/>
      <c r="AT82" s="648"/>
      <c r="AU82" s="648"/>
      <c r="AV82" s="648"/>
      <c r="AW82" s="648"/>
      <c r="AX82" s="648"/>
      <c r="AY82" s="648"/>
      <c r="AZ82" s="648"/>
      <c r="BA82" s="648"/>
      <c r="BB82" s="648"/>
      <c r="BC82" s="648"/>
      <c r="BD82" s="648"/>
      <c r="BE82" s="648"/>
      <c r="BF82" s="648"/>
      <c r="BG82" s="648"/>
      <c r="BH82" s="648"/>
      <c r="BI82" s="648"/>
      <c r="BJ82" s="648"/>
      <c r="BT82" s="657"/>
      <c r="BU82" s="657"/>
      <c r="BV82" s="657"/>
      <c r="BW82" s="657"/>
    </row>
    <row r="83" s="99" customFormat="true" ht="16.5" hidden="false" customHeight="false" outlineLevel="0" collapsed="false">
      <c r="A83" s="648"/>
      <c r="B83" s="648"/>
      <c r="C83" s="648"/>
      <c r="D83" s="648"/>
      <c r="E83" s="648"/>
      <c r="F83" s="648"/>
      <c r="G83" s="648"/>
      <c r="H83" s="648"/>
      <c r="I83" s="648"/>
      <c r="J83" s="648"/>
      <c r="K83" s="648"/>
      <c r="L83" s="648"/>
      <c r="M83" s="648"/>
      <c r="N83" s="648"/>
      <c r="O83" s="648"/>
      <c r="P83" s="648"/>
      <c r="Q83" s="648"/>
      <c r="R83" s="648"/>
      <c r="S83" s="648"/>
      <c r="T83" s="648"/>
      <c r="U83" s="648"/>
      <c r="V83" s="648"/>
      <c r="W83" s="648"/>
      <c r="X83" s="648"/>
      <c r="Y83" s="648"/>
      <c r="Z83" s="648"/>
      <c r="AA83" s="648"/>
      <c r="AB83" s="648"/>
      <c r="AC83" s="648"/>
      <c r="AD83" s="648"/>
      <c r="AE83" s="648"/>
      <c r="AF83" s="648"/>
      <c r="AG83" s="648"/>
      <c r="AH83" s="648"/>
      <c r="AI83" s="648"/>
      <c r="AJ83" s="648"/>
      <c r="AK83" s="648"/>
      <c r="AL83" s="648"/>
      <c r="AM83" s="648"/>
      <c r="AN83" s="648"/>
      <c r="AO83" s="648"/>
      <c r="AP83" s="648"/>
      <c r="AQ83" s="648"/>
      <c r="AR83" s="648"/>
      <c r="AS83" s="648"/>
      <c r="AT83" s="648"/>
      <c r="AU83" s="648"/>
      <c r="AV83" s="648"/>
      <c r="AW83" s="648"/>
      <c r="AX83" s="648"/>
      <c r="AY83" s="648"/>
      <c r="AZ83" s="648"/>
      <c r="BA83" s="648"/>
      <c r="BB83" s="648"/>
      <c r="BC83" s="648"/>
      <c r="BD83" s="648"/>
      <c r="BE83" s="648"/>
      <c r="BF83" s="648"/>
      <c r="BG83" s="648"/>
      <c r="BH83" s="648"/>
      <c r="BI83" s="648"/>
      <c r="BJ83" s="648"/>
      <c r="BT83" s="657"/>
      <c r="BU83" s="657"/>
      <c r="BV83" s="657"/>
      <c r="BW83" s="657"/>
    </row>
    <row r="84" s="99" customFormat="true" ht="16.5" hidden="false" customHeight="false" outlineLevel="0" collapsed="false">
      <c r="A84" s="648"/>
      <c r="B84" s="648"/>
      <c r="C84" s="648"/>
      <c r="D84" s="648"/>
      <c r="E84" s="648"/>
      <c r="F84" s="648"/>
      <c r="G84" s="648"/>
      <c r="H84" s="648"/>
      <c r="I84" s="648"/>
      <c r="J84" s="648"/>
      <c r="K84" s="648"/>
      <c r="L84" s="648"/>
      <c r="M84" s="648"/>
      <c r="N84" s="648"/>
      <c r="O84" s="648"/>
      <c r="P84" s="648"/>
      <c r="Q84" s="648"/>
      <c r="R84" s="648"/>
      <c r="S84" s="648"/>
      <c r="T84" s="648"/>
      <c r="U84" s="648"/>
      <c r="V84" s="648"/>
      <c r="W84" s="648"/>
      <c r="X84" s="648"/>
      <c r="Y84" s="648"/>
      <c r="Z84" s="648"/>
      <c r="AA84" s="648"/>
      <c r="AB84" s="648"/>
      <c r="AC84" s="648"/>
      <c r="AD84" s="648"/>
      <c r="AE84" s="648"/>
      <c r="AF84" s="648"/>
      <c r="AG84" s="648"/>
      <c r="AH84" s="648"/>
      <c r="AI84" s="648"/>
      <c r="AJ84" s="648"/>
      <c r="AK84" s="648"/>
      <c r="AL84" s="648"/>
      <c r="AM84" s="648"/>
      <c r="AN84" s="648"/>
      <c r="AO84" s="648"/>
      <c r="AP84" s="648"/>
      <c r="AQ84" s="648"/>
      <c r="AR84" s="648"/>
      <c r="AS84" s="648"/>
      <c r="AT84" s="648"/>
      <c r="AU84" s="648"/>
      <c r="AV84" s="648"/>
      <c r="AW84" s="648"/>
      <c r="AX84" s="648"/>
      <c r="AY84" s="648"/>
      <c r="AZ84" s="648"/>
      <c r="BA84" s="648"/>
      <c r="BB84" s="648"/>
      <c r="BC84" s="648"/>
      <c r="BD84" s="648"/>
      <c r="BE84" s="648"/>
      <c r="BF84" s="648"/>
      <c r="BG84" s="648"/>
      <c r="BH84" s="648"/>
      <c r="BI84" s="648"/>
      <c r="BJ84" s="648"/>
      <c r="BT84" s="657"/>
      <c r="BU84" s="657"/>
      <c r="BV84" s="657"/>
      <c r="BW84" s="657"/>
    </row>
    <row r="85" s="99" customFormat="true" ht="16.5" hidden="false" customHeight="false" outlineLevel="0" collapsed="false">
      <c r="A85" s="648"/>
      <c r="B85" s="648"/>
      <c r="C85" s="648"/>
      <c r="D85" s="648"/>
      <c r="E85" s="648"/>
      <c r="F85" s="648"/>
      <c r="G85" s="648"/>
      <c r="H85" s="648"/>
      <c r="I85" s="648"/>
      <c r="J85" s="648"/>
      <c r="K85" s="648"/>
      <c r="L85" s="648"/>
      <c r="M85" s="648"/>
      <c r="N85" s="648"/>
      <c r="O85" s="648"/>
      <c r="P85" s="648"/>
      <c r="Q85" s="648"/>
      <c r="R85" s="648"/>
      <c r="S85" s="648"/>
      <c r="T85" s="648"/>
      <c r="U85" s="648"/>
      <c r="V85" s="648"/>
      <c r="W85" s="648"/>
      <c r="X85" s="648"/>
      <c r="Y85" s="648"/>
      <c r="Z85" s="648"/>
      <c r="AA85" s="648"/>
      <c r="AB85" s="648"/>
      <c r="AC85" s="648"/>
      <c r="AD85" s="648"/>
      <c r="AE85" s="648"/>
      <c r="AF85" s="648"/>
      <c r="AG85" s="648"/>
      <c r="AH85" s="648"/>
      <c r="AI85" s="648"/>
      <c r="AJ85" s="648"/>
      <c r="AK85" s="648"/>
      <c r="AL85" s="648"/>
      <c r="AM85" s="648"/>
      <c r="AN85" s="648"/>
      <c r="AO85" s="648"/>
      <c r="AP85" s="648"/>
      <c r="AQ85" s="648"/>
      <c r="AR85" s="648"/>
      <c r="AS85" s="648"/>
      <c r="AT85" s="648"/>
      <c r="AU85" s="648"/>
      <c r="AV85" s="648"/>
      <c r="AW85" s="648"/>
      <c r="AX85" s="648"/>
      <c r="AY85" s="648"/>
      <c r="AZ85" s="648"/>
      <c r="BA85" s="648"/>
      <c r="BB85" s="648"/>
      <c r="BC85" s="648"/>
      <c r="BD85" s="648"/>
      <c r="BE85" s="648"/>
      <c r="BF85" s="648"/>
      <c r="BG85" s="648"/>
      <c r="BH85" s="648"/>
      <c r="BI85" s="648"/>
      <c r="BJ85" s="648"/>
      <c r="BT85" s="657"/>
      <c r="BU85" s="657"/>
      <c r="BV85" s="657"/>
      <c r="BW85" s="657"/>
    </row>
    <row r="86" s="99" customFormat="true" ht="16.5" hidden="false" customHeight="false" outlineLevel="0" collapsed="false">
      <c r="A86" s="648"/>
      <c r="B86" s="648"/>
      <c r="C86" s="648"/>
      <c r="D86" s="648"/>
      <c r="E86" s="648"/>
      <c r="F86" s="648"/>
      <c r="G86" s="648"/>
      <c r="H86" s="648"/>
      <c r="I86" s="648"/>
      <c r="J86" s="648"/>
      <c r="K86" s="648"/>
      <c r="L86" s="648"/>
      <c r="M86" s="648"/>
      <c r="N86" s="648"/>
      <c r="O86" s="648"/>
      <c r="P86" s="648"/>
      <c r="Q86" s="648"/>
      <c r="R86" s="648"/>
      <c r="S86" s="648"/>
      <c r="T86" s="648"/>
      <c r="U86" s="648"/>
      <c r="V86" s="648"/>
      <c r="W86" s="648"/>
      <c r="X86" s="648"/>
      <c r="Y86" s="648"/>
      <c r="Z86" s="648"/>
      <c r="AA86" s="648"/>
      <c r="AB86" s="648"/>
      <c r="AC86" s="648"/>
      <c r="AD86" s="648"/>
      <c r="AE86" s="648"/>
      <c r="AF86" s="648"/>
      <c r="AG86" s="648"/>
      <c r="AH86" s="648"/>
      <c r="AI86" s="648"/>
      <c r="AJ86" s="648"/>
      <c r="AK86" s="648"/>
      <c r="AL86" s="648"/>
      <c r="AM86" s="648"/>
      <c r="AN86" s="648"/>
      <c r="AO86" s="648"/>
      <c r="AP86" s="648"/>
      <c r="AQ86" s="648"/>
      <c r="AR86" s="648"/>
      <c r="AS86" s="648"/>
      <c r="AT86" s="648"/>
      <c r="AU86" s="648"/>
      <c r="AV86" s="648"/>
      <c r="AW86" s="648"/>
      <c r="AX86" s="648"/>
      <c r="AY86" s="648"/>
      <c r="AZ86" s="648"/>
      <c r="BA86" s="648"/>
      <c r="BB86" s="648"/>
      <c r="BC86" s="648"/>
      <c r="BD86" s="648"/>
      <c r="BE86" s="648"/>
      <c r="BF86" s="648"/>
      <c r="BG86" s="648"/>
      <c r="BH86" s="648"/>
      <c r="BI86" s="648"/>
      <c r="BJ86" s="648"/>
      <c r="BT86" s="657"/>
      <c r="BU86" s="657"/>
      <c r="BV86" s="657"/>
      <c r="BW86" s="657"/>
    </row>
    <row r="87" s="99" customFormat="true" ht="16.5" hidden="false" customHeight="false" outlineLevel="0" collapsed="false">
      <c r="A87" s="648"/>
      <c r="B87" s="648"/>
      <c r="C87" s="648"/>
      <c r="D87" s="648"/>
      <c r="E87" s="648"/>
      <c r="F87" s="648"/>
      <c r="G87" s="648"/>
      <c r="H87" s="648"/>
      <c r="I87" s="648"/>
      <c r="J87" s="648"/>
      <c r="K87" s="648"/>
      <c r="L87" s="648"/>
      <c r="M87" s="648"/>
      <c r="N87" s="648"/>
      <c r="O87" s="648"/>
      <c r="P87" s="648"/>
      <c r="Q87" s="648"/>
      <c r="R87" s="648"/>
      <c r="S87" s="648"/>
      <c r="T87" s="648"/>
      <c r="U87" s="648"/>
      <c r="V87" s="648"/>
      <c r="W87" s="648"/>
      <c r="X87" s="648"/>
      <c r="Y87" s="648"/>
      <c r="Z87" s="648"/>
      <c r="AA87" s="648"/>
      <c r="AB87" s="648"/>
      <c r="AC87" s="648"/>
      <c r="AD87" s="648"/>
      <c r="AE87" s="648"/>
      <c r="AF87" s="648"/>
      <c r="AG87" s="648"/>
      <c r="AH87" s="648"/>
      <c r="AI87" s="648"/>
      <c r="AJ87" s="648"/>
      <c r="AK87" s="648"/>
      <c r="AL87" s="648"/>
      <c r="AM87" s="648"/>
      <c r="AN87" s="648"/>
      <c r="AO87" s="648"/>
      <c r="AP87" s="648"/>
      <c r="AQ87" s="648"/>
      <c r="AR87" s="648"/>
      <c r="AS87" s="648"/>
      <c r="AT87" s="648"/>
      <c r="AU87" s="648"/>
      <c r="AV87" s="648"/>
      <c r="AW87" s="648"/>
      <c r="AX87" s="648"/>
      <c r="AY87" s="648"/>
      <c r="AZ87" s="648"/>
      <c r="BA87" s="648"/>
      <c r="BB87" s="648"/>
      <c r="BC87" s="648"/>
      <c r="BD87" s="648"/>
      <c r="BE87" s="648"/>
      <c r="BF87" s="648"/>
      <c r="BG87" s="648"/>
      <c r="BH87" s="648"/>
      <c r="BI87" s="648"/>
      <c r="BJ87" s="648"/>
      <c r="BT87" s="657"/>
      <c r="BU87" s="657"/>
      <c r="BV87" s="657"/>
      <c r="BW87" s="657"/>
    </row>
    <row r="88" s="99" customFormat="true" ht="16.5" hidden="false" customHeight="false" outlineLevel="0" collapsed="false">
      <c r="A88" s="648"/>
      <c r="B88" s="648"/>
      <c r="C88" s="648"/>
      <c r="D88" s="648"/>
      <c r="E88" s="648"/>
      <c r="F88" s="648"/>
      <c r="G88" s="648"/>
      <c r="H88" s="648"/>
      <c r="I88" s="648"/>
      <c r="J88" s="648"/>
      <c r="K88" s="648"/>
      <c r="L88" s="648"/>
      <c r="M88" s="648"/>
      <c r="N88" s="648"/>
      <c r="O88" s="648"/>
      <c r="P88" s="648"/>
      <c r="Q88" s="648"/>
      <c r="R88" s="648"/>
      <c r="S88" s="648"/>
      <c r="T88" s="648"/>
      <c r="U88" s="648"/>
      <c r="V88" s="648"/>
      <c r="W88" s="648"/>
      <c r="X88" s="648"/>
      <c r="Y88" s="648"/>
      <c r="Z88" s="648"/>
      <c r="AA88" s="648"/>
      <c r="AB88" s="648"/>
      <c r="AC88" s="648"/>
      <c r="AD88" s="648"/>
      <c r="AE88" s="648"/>
      <c r="AF88" s="648"/>
      <c r="AG88" s="648"/>
      <c r="AH88" s="648"/>
      <c r="AI88" s="648"/>
      <c r="AJ88" s="648"/>
      <c r="AK88" s="648"/>
      <c r="AL88" s="648"/>
      <c r="AM88" s="648"/>
      <c r="AN88" s="648"/>
      <c r="AO88" s="648"/>
      <c r="AP88" s="648"/>
      <c r="AQ88" s="648"/>
      <c r="AR88" s="648"/>
      <c r="AS88" s="648"/>
      <c r="AT88" s="648"/>
      <c r="AU88" s="648"/>
      <c r="AV88" s="648"/>
      <c r="AW88" s="648"/>
      <c r="AX88" s="648"/>
      <c r="AY88" s="648"/>
      <c r="AZ88" s="648"/>
      <c r="BA88" s="648"/>
      <c r="BB88" s="648"/>
      <c r="BC88" s="648"/>
      <c r="BD88" s="648"/>
      <c r="BE88" s="648"/>
      <c r="BF88" s="648"/>
      <c r="BG88" s="648"/>
      <c r="BH88" s="648"/>
      <c r="BI88" s="648"/>
      <c r="BJ88" s="648"/>
      <c r="BT88" s="657"/>
      <c r="BU88" s="657"/>
      <c r="BV88" s="657"/>
      <c r="BW88" s="657"/>
    </row>
    <row r="89" s="99" customFormat="true" ht="16.5" hidden="false" customHeight="false" outlineLevel="0" collapsed="false">
      <c r="A89" s="648"/>
      <c r="B89" s="648"/>
      <c r="C89" s="648"/>
      <c r="D89" s="648"/>
      <c r="E89" s="648"/>
      <c r="F89" s="648"/>
      <c r="G89" s="648"/>
      <c r="H89" s="648"/>
      <c r="I89" s="648"/>
      <c r="J89" s="648"/>
      <c r="K89" s="648"/>
      <c r="L89" s="648"/>
      <c r="M89" s="648"/>
      <c r="N89" s="648"/>
      <c r="O89" s="648"/>
      <c r="P89" s="648"/>
      <c r="Q89" s="648"/>
      <c r="R89" s="648"/>
      <c r="S89" s="648"/>
      <c r="T89" s="648"/>
      <c r="U89" s="648"/>
      <c r="V89" s="648"/>
      <c r="W89" s="648"/>
      <c r="X89" s="648"/>
      <c r="Y89" s="648"/>
      <c r="Z89" s="648"/>
      <c r="AA89" s="648"/>
      <c r="AB89" s="648"/>
      <c r="AC89" s="648"/>
      <c r="AD89" s="648"/>
      <c r="AE89" s="648"/>
      <c r="AF89" s="648"/>
      <c r="AG89" s="648"/>
      <c r="AH89" s="648"/>
      <c r="AI89" s="648"/>
      <c r="AJ89" s="648"/>
      <c r="AK89" s="648"/>
      <c r="AL89" s="648"/>
      <c r="AM89" s="648"/>
      <c r="AN89" s="648"/>
      <c r="AO89" s="648"/>
      <c r="AP89" s="648"/>
      <c r="AQ89" s="648"/>
      <c r="AR89" s="648"/>
      <c r="AS89" s="648"/>
      <c r="AT89" s="648"/>
      <c r="AU89" s="648"/>
      <c r="AV89" s="648"/>
      <c r="AW89" s="648"/>
      <c r="AX89" s="648"/>
      <c r="AY89" s="648"/>
      <c r="AZ89" s="648"/>
      <c r="BA89" s="648"/>
      <c r="BB89" s="648"/>
      <c r="BC89" s="648"/>
      <c r="BD89" s="648"/>
      <c r="BE89" s="648"/>
      <c r="BF89" s="648"/>
      <c r="BG89" s="648"/>
      <c r="BH89" s="648"/>
      <c r="BI89" s="648"/>
      <c r="BJ89" s="648"/>
      <c r="BT89" s="657"/>
      <c r="BU89" s="657"/>
      <c r="BV89" s="657"/>
      <c r="BW89" s="657"/>
    </row>
    <row r="90" s="99" customFormat="true" ht="16.5" hidden="false" customHeight="false" outlineLevel="0" collapsed="false">
      <c r="A90" s="648"/>
      <c r="B90" s="648"/>
      <c r="C90" s="648"/>
      <c r="D90" s="648"/>
      <c r="E90" s="648"/>
      <c r="F90" s="648"/>
      <c r="G90" s="648"/>
      <c r="H90" s="648"/>
      <c r="I90" s="648"/>
      <c r="J90" s="648"/>
      <c r="K90" s="648"/>
      <c r="L90" s="648"/>
      <c r="M90" s="648"/>
      <c r="N90" s="648"/>
      <c r="O90" s="648"/>
      <c r="P90" s="648"/>
      <c r="Q90" s="648"/>
      <c r="R90" s="648"/>
      <c r="S90" s="648"/>
      <c r="T90" s="648"/>
      <c r="U90" s="648"/>
      <c r="V90" s="648"/>
      <c r="W90" s="648"/>
      <c r="X90" s="648"/>
      <c r="Y90" s="648"/>
      <c r="Z90" s="648"/>
      <c r="AA90" s="648"/>
      <c r="AB90" s="648"/>
      <c r="AC90" s="648"/>
      <c r="AD90" s="648"/>
      <c r="AE90" s="648"/>
      <c r="AF90" s="648"/>
      <c r="AG90" s="648"/>
      <c r="AH90" s="648"/>
      <c r="AI90" s="648"/>
      <c r="AJ90" s="648"/>
      <c r="AK90" s="648"/>
      <c r="AL90" s="648"/>
      <c r="AM90" s="648"/>
      <c r="AN90" s="648"/>
      <c r="AO90" s="648"/>
      <c r="AP90" s="648"/>
      <c r="AQ90" s="648"/>
      <c r="AR90" s="648"/>
      <c r="AS90" s="648"/>
      <c r="AT90" s="648"/>
      <c r="AU90" s="648"/>
      <c r="AV90" s="648"/>
      <c r="AW90" s="648"/>
      <c r="AX90" s="648"/>
      <c r="AY90" s="648"/>
      <c r="AZ90" s="648"/>
      <c r="BA90" s="648"/>
      <c r="BB90" s="648"/>
      <c r="BC90" s="648"/>
      <c r="BD90" s="648"/>
      <c r="BE90" s="648"/>
      <c r="BF90" s="648"/>
      <c r="BG90" s="648"/>
      <c r="BH90" s="648"/>
      <c r="BI90" s="648"/>
      <c r="BJ90" s="648"/>
      <c r="BT90" s="657"/>
      <c r="BU90" s="657"/>
      <c r="BV90" s="657"/>
      <c r="BW90" s="657"/>
    </row>
    <row r="91" s="99" customFormat="true" ht="16.5" hidden="false" customHeight="false" outlineLevel="0" collapsed="false">
      <c r="A91" s="648"/>
      <c r="B91" s="648"/>
      <c r="C91" s="648"/>
      <c r="D91" s="648"/>
      <c r="E91" s="648"/>
      <c r="F91" s="648"/>
      <c r="G91" s="648"/>
      <c r="H91" s="648"/>
      <c r="I91" s="648"/>
      <c r="J91" s="648"/>
      <c r="K91" s="648"/>
      <c r="L91" s="648"/>
      <c r="M91" s="648"/>
      <c r="N91" s="648"/>
      <c r="O91" s="648"/>
      <c r="P91" s="648"/>
      <c r="Q91" s="648"/>
      <c r="R91" s="648"/>
      <c r="S91" s="648"/>
      <c r="T91" s="648"/>
      <c r="U91" s="648"/>
      <c r="V91" s="648"/>
      <c r="W91" s="648"/>
      <c r="X91" s="648"/>
      <c r="Y91" s="648"/>
      <c r="Z91" s="648"/>
      <c r="AA91" s="648"/>
      <c r="AB91" s="648"/>
      <c r="AC91" s="648"/>
      <c r="AD91" s="648"/>
      <c r="AE91" s="648"/>
      <c r="AF91" s="648"/>
      <c r="AG91" s="648"/>
      <c r="AH91" s="648"/>
      <c r="AI91" s="648"/>
      <c r="AJ91" s="648"/>
      <c r="AK91" s="648"/>
      <c r="AL91" s="648"/>
      <c r="AM91" s="648"/>
      <c r="AN91" s="648"/>
      <c r="AO91" s="648"/>
      <c r="AP91" s="648"/>
      <c r="AQ91" s="648"/>
      <c r="AR91" s="648"/>
      <c r="AS91" s="648"/>
      <c r="AT91" s="648"/>
      <c r="AU91" s="648"/>
      <c r="AV91" s="648"/>
      <c r="AW91" s="648"/>
      <c r="AX91" s="648"/>
      <c r="AY91" s="648"/>
      <c r="AZ91" s="648"/>
      <c r="BA91" s="648"/>
      <c r="BB91" s="648"/>
      <c r="BC91" s="648"/>
      <c r="BD91" s="648"/>
      <c r="BE91" s="648"/>
      <c r="BF91" s="648"/>
      <c r="BG91" s="648"/>
      <c r="BH91" s="648"/>
      <c r="BI91" s="648"/>
      <c r="BJ91" s="648"/>
      <c r="BT91" s="657"/>
      <c r="BU91" s="657"/>
      <c r="BV91" s="657"/>
      <c r="BW91" s="657"/>
    </row>
    <row r="92" s="99" customFormat="true" ht="16.5" hidden="false" customHeight="false" outlineLevel="0" collapsed="false">
      <c r="A92" s="648"/>
      <c r="B92" s="648"/>
      <c r="C92" s="648"/>
      <c r="D92" s="648"/>
      <c r="E92" s="648"/>
      <c r="F92" s="648"/>
      <c r="G92" s="648"/>
      <c r="H92" s="648"/>
      <c r="I92" s="648"/>
      <c r="J92" s="648"/>
      <c r="K92" s="648"/>
      <c r="L92" s="648"/>
      <c r="M92" s="648"/>
      <c r="N92" s="648"/>
      <c r="O92" s="648"/>
      <c r="P92" s="648"/>
      <c r="Q92" s="648"/>
      <c r="R92" s="648"/>
      <c r="S92" s="648"/>
      <c r="T92" s="648"/>
      <c r="U92" s="648"/>
      <c r="V92" s="648"/>
      <c r="W92" s="648"/>
      <c r="X92" s="648"/>
      <c r="Y92" s="648"/>
      <c r="Z92" s="648"/>
      <c r="AA92" s="648"/>
      <c r="AB92" s="648"/>
      <c r="AC92" s="648"/>
      <c r="AD92" s="648"/>
      <c r="AE92" s="648"/>
      <c r="AF92" s="648"/>
      <c r="AG92" s="648"/>
      <c r="AH92" s="648"/>
      <c r="AI92" s="648"/>
      <c r="AJ92" s="648"/>
      <c r="AK92" s="648"/>
      <c r="AL92" s="648"/>
      <c r="AM92" s="648"/>
      <c r="AN92" s="648"/>
      <c r="AO92" s="648"/>
      <c r="AP92" s="648"/>
      <c r="AQ92" s="648"/>
      <c r="AR92" s="648"/>
      <c r="AS92" s="648"/>
      <c r="AT92" s="648"/>
      <c r="AU92" s="648"/>
      <c r="AV92" s="648"/>
      <c r="AW92" s="648"/>
      <c r="AX92" s="648"/>
      <c r="AY92" s="648"/>
      <c r="AZ92" s="648"/>
      <c r="BA92" s="648"/>
      <c r="BB92" s="648"/>
      <c r="BC92" s="648"/>
      <c r="BD92" s="648"/>
      <c r="BE92" s="648"/>
      <c r="BF92" s="648"/>
      <c r="BG92" s="648"/>
      <c r="BH92" s="648"/>
      <c r="BI92" s="648"/>
      <c r="BJ92" s="648"/>
      <c r="BT92" s="657"/>
      <c r="BU92" s="657"/>
      <c r="BV92" s="657"/>
      <c r="BW92" s="657"/>
    </row>
    <row r="93" s="99" customFormat="true" ht="16.5" hidden="false" customHeight="false" outlineLevel="0" collapsed="false">
      <c r="A93" s="648"/>
      <c r="B93" s="648"/>
      <c r="C93" s="648"/>
      <c r="D93" s="648"/>
      <c r="E93" s="648"/>
      <c r="F93" s="648"/>
      <c r="G93" s="648"/>
      <c r="H93" s="648"/>
      <c r="I93" s="648"/>
      <c r="J93" s="648"/>
      <c r="K93" s="648"/>
      <c r="L93" s="648"/>
      <c r="M93" s="648"/>
      <c r="N93" s="648"/>
      <c r="O93" s="648"/>
      <c r="P93" s="648"/>
      <c r="Q93" s="648"/>
      <c r="R93" s="648"/>
      <c r="S93" s="648"/>
      <c r="T93" s="648"/>
      <c r="U93" s="648"/>
      <c r="V93" s="648"/>
      <c r="W93" s="648"/>
      <c r="X93" s="648"/>
      <c r="Y93" s="648"/>
      <c r="Z93" s="648"/>
      <c r="AA93" s="648"/>
      <c r="AB93" s="648"/>
      <c r="AC93" s="648"/>
      <c r="AD93" s="648"/>
      <c r="AE93" s="648"/>
      <c r="AF93" s="648"/>
      <c r="AG93" s="648"/>
      <c r="AH93" s="648"/>
      <c r="AI93" s="648"/>
      <c r="AJ93" s="648"/>
      <c r="AK93" s="648"/>
      <c r="AL93" s="648"/>
      <c r="AM93" s="648"/>
      <c r="AN93" s="648"/>
      <c r="AO93" s="648"/>
      <c r="AP93" s="648"/>
      <c r="AQ93" s="648"/>
      <c r="AR93" s="648"/>
      <c r="AS93" s="648"/>
      <c r="AT93" s="648"/>
      <c r="AU93" s="648"/>
      <c r="AV93" s="648"/>
      <c r="AW93" s="648"/>
      <c r="AX93" s="648"/>
      <c r="AY93" s="648"/>
      <c r="AZ93" s="648"/>
      <c r="BA93" s="648"/>
      <c r="BB93" s="648"/>
      <c r="BC93" s="648"/>
      <c r="BD93" s="648"/>
      <c r="BE93" s="648"/>
      <c r="BF93" s="648"/>
      <c r="BG93" s="648"/>
      <c r="BH93" s="648"/>
      <c r="BI93" s="648"/>
      <c r="BJ93" s="648"/>
      <c r="BT93" s="657"/>
      <c r="BU93" s="657"/>
      <c r="BV93" s="657"/>
      <c r="BW93" s="657"/>
    </row>
    <row r="94" s="99" customFormat="true" ht="16.5" hidden="false" customHeight="false" outlineLevel="0" collapsed="false">
      <c r="A94" s="648"/>
      <c r="B94" s="648"/>
      <c r="C94" s="648"/>
      <c r="D94" s="648"/>
      <c r="E94" s="648"/>
      <c r="F94" s="648"/>
      <c r="G94" s="648"/>
      <c r="H94" s="648"/>
      <c r="I94" s="648"/>
      <c r="J94" s="648"/>
      <c r="K94" s="648"/>
      <c r="L94" s="648"/>
      <c r="M94" s="648"/>
      <c r="N94" s="648"/>
      <c r="O94" s="648"/>
      <c r="P94" s="648"/>
      <c r="Q94" s="648"/>
      <c r="R94" s="648"/>
      <c r="S94" s="648"/>
      <c r="T94" s="648"/>
      <c r="U94" s="648"/>
      <c r="V94" s="648"/>
      <c r="W94" s="648"/>
      <c r="X94" s="648"/>
      <c r="Y94" s="648"/>
      <c r="Z94" s="648"/>
      <c r="AA94" s="648"/>
      <c r="AB94" s="648"/>
      <c r="AC94" s="648"/>
      <c r="AD94" s="648"/>
      <c r="AE94" s="648"/>
      <c r="AF94" s="648"/>
      <c r="AG94" s="648"/>
      <c r="AH94" s="648"/>
      <c r="AI94" s="648"/>
      <c r="AJ94" s="648"/>
      <c r="AK94" s="648"/>
      <c r="AL94" s="648"/>
      <c r="AM94" s="648"/>
      <c r="AN94" s="648"/>
      <c r="AO94" s="648"/>
      <c r="AP94" s="648"/>
      <c r="AQ94" s="648"/>
      <c r="AR94" s="648"/>
      <c r="AS94" s="648"/>
      <c r="AT94" s="648"/>
      <c r="AU94" s="648"/>
      <c r="AV94" s="648"/>
      <c r="AW94" s="648"/>
      <c r="AX94" s="648"/>
      <c r="AY94" s="648"/>
      <c r="AZ94" s="648"/>
      <c r="BA94" s="648"/>
      <c r="BB94" s="648"/>
      <c r="BC94" s="648"/>
      <c r="BD94" s="648"/>
      <c r="BE94" s="648"/>
      <c r="BF94" s="648"/>
      <c r="BG94" s="648"/>
      <c r="BH94" s="648"/>
      <c r="BI94" s="648"/>
      <c r="BJ94" s="648"/>
      <c r="BT94" s="657"/>
      <c r="BU94" s="657"/>
      <c r="BV94" s="657"/>
      <c r="BW94" s="657"/>
    </row>
    <row r="95" s="99" customFormat="true" ht="16.5" hidden="false" customHeight="false" outlineLevel="0" collapsed="false">
      <c r="A95" s="648"/>
      <c r="B95" s="648"/>
      <c r="C95" s="648"/>
      <c r="D95" s="648"/>
      <c r="E95" s="648"/>
      <c r="F95" s="648"/>
      <c r="G95" s="648"/>
      <c r="H95" s="648"/>
      <c r="I95" s="648"/>
      <c r="J95" s="648"/>
      <c r="K95" s="648"/>
      <c r="L95" s="648"/>
      <c r="M95" s="648"/>
      <c r="N95" s="648"/>
      <c r="O95" s="648"/>
      <c r="P95" s="648"/>
      <c r="Q95" s="648"/>
      <c r="R95" s="648"/>
      <c r="S95" s="648"/>
      <c r="T95" s="648"/>
      <c r="U95" s="648"/>
      <c r="V95" s="648"/>
      <c r="W95" s="648"/>
      <c r="X95" s="648"/>
      <c r="Y95" s="648"/>
      <c r="Z95" s="648"/>
      <c r="AA95" s="648"/>
      <c r="AB95" s="648"/>
      <c r="AC95" s="648"/>
      <c r="AD95" s="648"/>
      <c r="AE95" s="648"/>
      <c r="AF95" s="648"/>
      <c r="AG95" s="648"/>
      <c r="AH95" s="648"/>
      <c r="AI95" s="648"/>
      <c r="AJ95" s="648"/>
      <c r="AK95" s="648"/>
      <c r="AL95" s="648"/>
      <c r="AM95" s="648"/>
      <c r="AN95" s="648"/>
      <c r="AO95" s="648"/>
      <c r="AP95" s="648"/>
      <c r="AQ95" s="648"/>
      <c r="AR95" s="648"/>
      <c r="AS95" s="648"/>
      <c r="AT95" s="648"/>
      <c r="AU95" s="648"/>
      <c r="AV95" s="648"/>
      <c r="AW95" s="648"/>
      <c r="AX95" s="648"/>
      <c r="AY95" s="648"/>
      <c r="AZ95" s="648"/>
      <c r="BA95" s="648"/>
      <c r="BB95" s="648"/>
      <c r="BC95" s="648"/>
      <c r="BD95" s="648"/>
      <c r="BE95" s="648"/>
      <c r="BF95" s="648"/>
      <c r="BG95" s="648"/>
      <c r="BH95" s="648"/>
      <c r="BI95" s="648"/>
      <c r="BJ95" s="648"/>
      <c r="BT95" s="657"/>
      <c r="BU95" s="657"/>
      <c r="BV95" s="657"/>
      <c r="BW95" s="657"/>
    </row>
    <row r="96" s="99" customFormat="true" ht="16.5" hidden="false" customHeight="false" outlineLevel="0" collapsed="false">
      <c r="A96" s="648"/>
      <c r="B96" s="648"/>
      <c r="C96" s="648"/>
      <c r="D96" s="648"/>
      <c r="E96" s="648"/>
      <c r="F96" s="648"/>
      <c r="G96" s="648"/>
      <c r="H96" s="648"/>
      <c r="I96" s="648"/>
      <c r="J96" s="648"/>
      <c r="K96" s="648"/>
      <c r="L96" s="648"/>
      <c r="M96" s="648"/>
      <c r="N96" s="648"/>
      <c r="O96" s="648"/>
      <c r="P96" s="648"/>
      <c r="Q96" s="648"/>
      <c r="R96" s="648"/>
      <c r="S96" s="648"/>
      <c r="T96" s="648"/>
      <c r="U96" s="648"/>
      <c r="V96" s="648"/>
      <c r="W96" s="648"/>
      <c r="X96" s="648"/>
      <c r="Y96" s="648"/>
      <c r="Z96" s="648"/>
      <c r="AA96" s="648"/>
      <c r="AB96" s="648"/>
      <c r="AC96" s="648"/>
      <c r="AD96" s="648"/>
      <c r="AE96" s="648"/>
      <c r="AF96" s="648"/>
      <c r="AG96" s="648"/>
      <c r="AH96" s="648"/>
      <c r="AI96" s="648"/>
      <c r="AJ96" s="648"/>
      <c r="AK96" s="648"/>
      <c r="AL96" s="648"/>
      <c r="AM96" s="648"/>
      <c r="AN96" s="648"/>
      <c r="AO96" s="648"/>
      <c r="AP96" s="648"/>
      <c r="AQ96" s="648"/>
      <c r="AR96" s="648"/>
      <c r="AS96" s="648"/>
      <c r="AT96" s="648"/>
      <c r="AU96" s="648"/>
      <c r="AV96" s="648"/>
      <c r="AW96" s="648"/>
      <c r="AX96" s="648"/>
      <c r="AY96" s="648"/>
      <c r="AZ96" s="648"/>
      <c r="BA96" s="648"/>
      <c r="BB96" s="648"/>
      <c r="BC96" s="648"/>
      <c r="BD96" s="648"/>
      <c r="BE96" s="648"/>
      <c r="BF96" s="648"/>
      <c r="BG96" s="648"/>
      <c r="BH96" s="648"/>
      <c r="BI96" s="648"/>
      <c r="BJ96" s="648"/>
      <c r="BT96" s="657"/>
      <c r="BU96" s="657"/>
      <c r="BV96" s="657"/>
      <c r="BW96" s="657"/>
    </row>
    <row r="97" s="99" customFormat="true" ht="16.5" hidden="false" customHeight="false" outlineLevel="0" collapsed="false">
      <c r="A97" s="648"/>
      <c r="B97" s="648"/>
      <c r="C97" s="648"/>
      <c r="D97" s="648"/>
      <c r="E97" s="648"/>
      <c r="F97" s="648"/>
      <c r="G97" s="648"/>
      <c r="H97" s="648"/>
      <c r="I97" s="648"/>
      <c r="J97" s="648"/>
      <c r="K97" s="648"/>
      <c r="L97" s="648"/>
      <c r="M97" s="648"/>
      <c r="N97" s="648"/>
      <c r="O97" s="648"/>
      <c r="P97" s="648"/>
      <c r="Q97" s="648"/>
      <c r="R97" s="648"/>
      <c r="S97" s="648"/>
      <c r="T97" s="648"/>
      <c r="U97" s="648"/>
      <c r="V97" s="648"/>
      <c r="W97" s="648"/>
      <c r="X97" s="648"/>
      <c r="Y97" s="648"/>
      <c r="Z97" s="648"/>
      <c r="AA97" s="648"/>
      <c r="AB97" s="648"/>
      <c r="AC97" s="648"/>
      <c r="AD97" s="648"/>
      <c r="AE97" s="648"/>
      <c r="AF97" s="648"/>
      <c r="AG97" s="648"/>
      <c r="AH97" s="648"/>
      <c r="AI97" s="648"/>
      <c r="AJ97" s="648"/>
      <c r="AK97" s="648"/>
      <c r="AL97" s="648"/>
      <c r="AM97" s="648"/>
      <c r="AN97" s="648"/>
      <c r="AO97" s="648"/>
      <c r="AP97" s="648"/>
      <c r="AQ97" s="648"/>
      <c r="AR97" s="648"/>
      <c r="AS97" s="648"/>
      <c r="AT97" s="648"/>
      <c r="AU97" s="648"/>
      <c r="AV97" s="648"/>
      <c r="AW97" s="648"/>
      <c r="AX97" s="648"/>
      <c r="AY97" s="648"/>
      <c r="AZ97" s="648"/>
      <c r="BA97" s="648"/>
      <c r="BB97" s="648"/>
      <c r="BC97" s="648"/>
      <c r="BD97" s="648"/>
      <c r="BE97" s="648"/>
      <c r="BF97" s="648"/>
      <c r="BG97" s="648"/>
      <c r="BH97" s="648"/>
      <c r="BI97" s="648"/>
      <c r="BJ97" s="648"/>
      <c r="BT97" s="657"/>
      <c r="BU97" s="657"/>
      <c r="BV97" s="657"/>
      <c r="BW97" s="657"/>
    </row>
    <row r="98" s="99" customFormat="true" ht="16.5" hidden="false" customHeight="false" outlineLevel="0" collapsed="false">
      <c r="A98" s="648"/>
      <c r="B98" s="648"/>
      <c r="C98" s="648"/>
      <c r="D98" s="648"/>
      <c r="E98" s="648"/>
      <c r="F98" s="648"/>
      <c r="G98" s="648"/>
      <c r="H98" s="648"/>
      <c r="I98" s="648"/>
      <c r="J98" s="648"/>
      <c r="K98" s="648"/>
      <c r="L98" s="648"/>
      <c r="M98" s="648"/>
      <c r="N98" s="648"/>
      <c r="O98" s="648"/>
      <c r="P98" s="648"/>
      <c r="Q98" s="648"/>
      <c r="R98" s="648"/>
      <c r="S98" s="648"/>
      <c r="T98" s="648"/>
      <c r="U98" s="648"/>
      <c r="V98" s="648"/>
      <c r="W98" s="648"/>
      <c r="X98" s="648"/>
      <c r="Y98" s="648"/>
      <c r="Z98" s="648"/>
      <c r="AA98" s="648"/>
      <c r="AB98" s="648"/>
      <c r="AC98" s="648"/>
      <c r="AD98" s="648"/>
      <c r="AE98" s="648"/>
      <c r="AF98" s="648"/>
      <c r="AG98" s="648"/>
      <c r="AH98" s="648"/>
      <c r="AI98" s="648"/>
      <c r="AJ98" s="648"/>
      <c r="AK98" s="648"/>
      <c r="AL98" s="648"/>
      <c r="AM98" s="648"/>
      <c r="AN98" s="648"/>
      <c r="AO98" s="648"/>
      <c r="AP98" s="648"/>
      <c r="AQ98" s="648"/>
      <c r="AR98" s="648"/>
      <c r="AS98" s="648"/>
      <c r="AT98" s="648"/>
      <c r="AU98" s="648"/>
      <c r="AV98" s="648"/>
      <c r="AW98" s="648"/>
      <c r="AX98" s="648"/>
      <c r="AY98" s="648"/>
      <c r="AZ98" s="648"/>
      <c r="BA98" s="648"/>
      <c r="BB98" s="648"/>
      <c r="BC98" s="648"/>
      <c r="BD98" s="648"/>
      <c r="BE98" s="648"/>
      <c r="BF98" s="648"/>
      <c r="BG98" s="648"/>
      <c r="BH98" s="648"/>
      <c r="BI98" s="648"/>
      <c r="BJ98" s="648"/>
      <c r="BT98" s="657"/>
      <c r="BU98" s="657"/>
      <c r="BV98" s="657"/>
      <c r="BW98" s="657"/>
    </row>
    <row r="99" s="99" customFormat="true" ht="16.5" hidden="false" customHeight="false" outlineLevel="0" collapsed="false">
      <c r="A99" s="648"/>
      <c r="B99" s="648"/>
      <c r="C99" s="648"/>
      <c r="D99" s="648"/>
      <c r="E99" s="648"/>
      <c r="F99" s="648"/>
      <c r="G99" s="648"/>
      <c r="H99" s="648"/>
      <c r="I99" s="648"/>
      <c r="J99" s="648"/>
      <c r="K99" s="648"/>
      <c r="L99" s="648"/>
      <c r="M99" s="648"/>
      <c r="N99" s="648"/>
      <c r="O99" s="648"/>
      <c r="P99" s="648"/>
      <c r="Q99" s="648"/>
      <c r="R99" s="648"/>
      <c r="S99" s="648"/>
      <c r="T99" s="648"/>
      <c r="U99" s="648"/>
      <c r="V99" s="648"/>
      <c r="W99" s="648"/>
      <c r="X99" s="648"/>
      <c r="Y99" s="648"/>
      <c r="Z99" s="648"/>
      <c r="AA99" s="648"/>
      <c r="AB99" s="648"/>
      <c r="AC99" s="648"/>
      <c r="AD99" s="648"/>
      <c r="AE99" s="648"/>
      <c r="AF99" s="648"/>
      <c r="AG99" s="648"/>
      <c r="AH99" s="648"/>
      <c r="AI99" s="648"/>
      <c r="AJ99" s="648"/>
      <c r="AK99" s="648"/>
      <c r="AL99" s="648"/>
      <c r="AM99" s="648"/>
      <c r="AN99" s="648"/>
      <c r="AO99" s="648"/>
      <c r="AP99" s="648"/>
      <c r="AQ99" s="648"/>
      <c r="AR99" s="648"/>
      <c r="AS99" s="648"/>
      <c r="AT99" s="648"/>
      <c r="AU99" s="648"/>
      <c r="AV99" s="648"/>
      <c r="AW99" s="648"/>
      <c r="AX99" s="648"/>
      <c r="AY99" s="648"/>
      <c r="AZ99" s="648"/>
      <c r="BA99" s="648"/>
      <c r="BB99" s="648"/>
      <c r="BC99" s="648"/>
      <c r="BD99" s="648"/>
      <c r="BE99" s="648"/>
      <c r="BF99" s="648"/>
      <c r="BG99" s="648"/>
      <c r="BH99" s="648"/>
      <c r="BI99" s="648"/>
      <c r="BJ99" s="648"/>
      <c r="BT99" s="657"/>
      <c r="BU99" s="657"/>
      <c r="BV99" s="657"/>
      <c r="BW99" s="657"/>
    </row>
    <row r="100" s="99" customFormat="true" ht="16.5" hidden="false" customHeight="false" outlineLevel="0" collapsed="false">
      <c r="A100" s="648"/>
      <c r="B100" s="648"/>
      <c r="C100" s="648"/>
      <c r="D100" s="648"/>
      <c r="E100" s="648"/>
      <c r="F100" s="648"/>
      <c r="G100" s="648"/>
      <c r="H100" s="648"/>
      <c r="I100" s="648"/>
      <c r="J100" s="648"/>
      <c r="K100" s="648"/>
      <c r="L100" s="648"/>
      <c r="M100" s="648"/>
      <c r="N100" s="648"/>
      <c r="O100" s="648"/>
      <c r="P100" s="648"/>
      <c r="Q100" s="648"/>
      <c r="R100" s="648"/>
      <c r="S100" s="648"/>
      <c r="T100" s="648"/>
      <c r="U100" s="648"/>
      <c r="V100" s="648"/>
      <c r="W100" s="648"/>
      <c r="X100" s="648"/>
      <c r="Y100" s="648"/>
      <c r="Z100" s="648"/>
      <c r="AA100" s="648"/>
      <c r="AB100" s="648"/>
      <c r="AC100" s="648"/>
      <c r="AD100" s="648"/>
      <c r="AE100" s="648"/>
      <c r="AF100" s="648"/>
      <c r="AG100" s="648"/>
      <c r="AH100" s="648"/>
      <c r="AI100" s="648"/>
      <c r="AJ100" s="648"/>
      <c r="AK100" s="648"/>
      <c r="AL100" s="648"/>
      <c r="AM100" s="648"/>
      <c r="AN100" s="648"/>
      <c r="AO100" s="648"/>
      <c r="AP100" s="648"/>
      <c r="AQ100" s="648"/>
      <c r="AR100" s="648"/>
      <c r="AS100" s="648"/>
      <c r="AT100" s="648"/>
      <c r="AU100" s="648"/>
      <c r="AV100" s="648"/>
      <c r="AW100" s="648"/>
      <c r="AX100" s="648"/>
      <c r="AY100" s="648"/>
      <c r="AZ100" s="648"/>
      <c r="BA100" s="648"/>
      <c r="BB100" s="648"/>
      <c r="BC100" s="648"/>
      <c r="BD100" s="648"/>
      <c r="BE100" s="648"/>
      <c r="BF100" s="648"/>
      <c r="BG100" s="648"/>
      <c r="BH100" s="648"/>
      <c r="BI100" s="648"/>
      <c r="BJ100" s="648"/>
      <c r="BT100" s="657"/>
      <c r="BU100" s="657"/>
      <c r="BV100" s="657"/>
      <c r="BW100" s="657"/>
    </row>
    <row r="101" s="99" customFormat="true" ht="16.5" hidden="false" customHeight="false" outlineLevel="0" collapsed="false">
      <c r="A101" s="648"/>
      <c r="B101" s="648"/>
      <c r="C101" s="648"/>
      <c r="D101" s="648"/>
      <c r="E101" s="648"/>
      <c r="F101" s="648"/>
      <c r="G101" s="648"/>
      <c r="H101" s="648"/>
      <c r="I101" s="648"/>
      <c r="J101" s="648"/>
      <c r="K101" s="648"/>
      <c r="L101" s="648"/>
      <c r="M101" s="648"/>
      <c r="N101" s="648"/>
      <c r="O101" s="648"/>
      <c r="P101" s="648"/>
      <c r="Q101" s="648"/>
      <c r="R101" s="648"/>
      <c r="S101" s="648"/>
      <c r="T101" s="648"/>
      <c r="U101" s="648"/>
      <c r="V101" s="648"/>
      <c r="W101" s="648"/>
      <c r="X101" s="648"/>
      <c r="Y101" s="648"/>
      <c r="Z101" s="648"/>
      <c r="AA101" s="648"/>
      <c r="AB101" s="648"/>
      <c r="AC101" s="648"/>
      <c r="AD101" s="648"/>
      <c r="AE101" s="648"/>
      <c r="AF101" s="648"/>
      <c r="AG101" s="648"/>
      <c r="AH101" s="648"/>
      <c r="AI101" s="648"/>
      <c r="AJ101" s="648"/>
      <c r="AK101" s="648"/>
      <c r="AL101" s="648"/>
      <c r="AM101" s="648"/>
      <c r="AN101" s="648"/>
      <c r="AO101" s="648"/>
      <c r="AP101" s="648"/>
      <c r="AQ101" s="648"/>
      <c r="AR101" s="648"/>
      <c r="AS101" s="648"/>
      <c r="AT101" s="648"/>
      <c r="AU101" s="648"/>
      <c r="AV101" s="648"/>
      <c r="AW101" s="648"/>
      <c r="AX101" s="648"/>
      <c r="AY101" s="648"/>
      <c r="AZ101" s="648"/>
      <c r="BA101" s="648"/>
      <c r="BB101" s="648"/>
      <c r="BC101" s="648"/>
      <c r="BD101" s="648"/>
      <c r="BE101" s="648"/>
      <c r="BF101" s="648"/>
      <c r="BG101" s="648"/>
      <c r="BH101" s="648"/>
      <c r="BI101" s="648"/>
      <c r="BJ101" s="648"/>
      <c r="BT101" s="657"/>
      <c r="BU101" s="657"/>
      <c r="BV101" s="657"/>
      <c r="BW101" s="657"/>
    </row>
    <row r="102" s="99" customFormat="true" ht="16.5" hidden="false" customHeight="false" outlineLevel="0" collapsed="false">
      <c r="A102" s="648"/>
      <c r="B102" s="648"/>
      <c r="C102" s="648"/>
      <c r="D102" s="648"/>
      <c r="E102" s="648"/>
      <c r="F102" s="648"/>
      <c r="G102" s="648"/>
      <c r="H102" s="648"/>
      <c r="I102" s="648"/>
      <c r="J102" s="648"/>
      <c r="K102" s="648"/>
      <c r="L102" s="648"/>
      <c r="M102" s="648"/>
      <c r="N102" s="648"/>
      <c r="O102" s="648"/>
      <c r="P102" s="648"/>
      <c r="Q102" s="648"/>
      <c r="R102" s="648"/>
      <c r="S102" s="648"/>
      <c r="T102" s="648"/>
      <c r="U102" s="648"/>
      <c r="V102" s="648"/>
      <c r="W102" s="648"/>
      <c r="X102" s="648"/>
      <c r="Y102" s="648"/>
      <c r="Z102" s="648"/>
      <c r="AA102" s="648"/>
      <c r="AB102" s="648"/>
      <c r="AC102" s="648"/>
      <c r="AD102" s="648"/>
      <c r="AE102" s="648"/>
      <c r="AF102" s="648"/>
      <c r="AG102" s="648"/>
      <c r="AH102" s="648"/>
      <c r="AI102" s="648"/>
      <c r="AJ102" s="648"/>
      <c r="AK102" s="648"/>
      <c r="AL102" s="648"/>
      <c r="AM102" s="648"/>
      <c r="AN102" s="648"/>
      <c r="AO102" s="648"/>
      <c r="AP102" s="648"/>
      <c r="AQ102" s="648"/>
      <c r="AR102" s="648"/>
      <c r="AS102" s="648"/>
      <c r="AT102" s="648"/>
      <c r="AU102" s="648"/>
      <c r="AV102" s="648"/>
      <c r="AW102" s="648"/>
      <c r="AX102" s="648"/>
      <c r="AY102" s="648"/>
      <c r="AZ102" s="648"/>
      <c r="BA102" s="648"/>
      <c r="BB102" s="648"/>
      <c r="BC102" s="648"/>
      <c r="BD102" s="648"/>
      <c r="BE102" s="648"/>
      <c r="BF102" s="648"/>
      <c r="BG102" s="648"/>
      <c r="BH102" s="648"/>
      <c r="BI102" s="648"/>
      <c r="BJ102" s="648"/>
      <c r="BT102" s="657"/>
      <c r="BU102" s="657"/>
      <c r="BV102" s="657"/>
      <c r="BW102" s="657"/>
    </row>
    <row r="103" s="99" customFormat="true" ht="16.5" hidden="false" customHeight="false" outlineLevel="0" collapsed="false">
      <c r="A103" s="648"/>
      <c r="B103" s="648"/>
      <c r="C103" s="648"/>
      <c r="D103" s="648"/>
      <c r="E103" s="648"/>
      <c r="F103" s="648"/>
      <c r="G103" s="648"/>
      <c r="H103" s="648"/>
      <c r="I103" s="648"/>
      <c r="J103" s="648"/>
      <c r="K103" s="648"/>
      <c r="L103" s="648"/>
      <c r="M103" s="648"/>
      <c r="N103" s="648"/>
      <c r="O103" s="648"/>
      <c r="P103" s="648"/>
      <c r="Q103" s="648"/>
      <c r="R103" s="648"/>
      <c r="S103" s="648"/>
      <c r="T103" s="648"/>
      <c r="U103" s="648"/>
      <c r="V103" s="648"/>
      <c r="W103" s="648"/>
      <c r="X103" s="648"/>
      <c r="Y103" s="648"/>
      <c r="Z103" s="648"/>
      <c r="AA103" s="648"/>
      <c r="AB103" s="648"/>
      <c r="AC103" s="648"/>
      <c r="AD103" s="648"/>
      <c r="AE103" s="648"/>
      <c r="AF103" s="648"/>
      <c r="AG103" s="648"/>
      <c r="AH103" s="648"/>
      <c r="AI103" s="648"/>
      <c r="AJ103" s="648"/>
      <c r="AK103" s="648"/>
      <c r="AL103" s="648"/>
      <c r="AM103" s="648"/>
      <c r="AN103" s="648"/>
      <c r="AO103" s="648"/>
      <c r="AP103" s="648"/>
      <c r="AQ103" s="648"/>
      <c r="AR103" s="648"/>
      <c r="AS103" s="648"/>
      <c r="AT103" s="648"/>
      <c r="AU103" s="648"/>
      <c r="AV103" s="648"/>
      <c r="AW103" s="648"/>
      <c r="AX103" s="648"/>
      <c r="AY103" s="648"/>
      <c r="AZ103" s="648"/>
      <c r="BA103" s="648"/>
      <c r="BB103" s="648"/>
      <c r="BC103" s="648"/>
      <c r="BD103" s="648"/>
      <c r="BE103" s="648"/>
      <c r="BF103" s="648"/>
      <c r="BG103" s="648"/>
      <c r="BH103" s="648"/>
      <c r="BI103" s="648"/>
      <c r="BJ103" s="648"/>
      <c r="BT103" s="657"/>
      <c r="BU103" s="657"/>
      <c r="BV103" s="657"/>
      <c r="BW103" s="657"/>
    </row>
    <row r="104" s="99" customFormat="true" ht="16.5" hidden="false" customHeight="false" outlineLevel="0" collapsed="false">
      <c r="A104" s="648"/>
      <c r="B104" s="648"/>
      <c r="C104" s="648"/>
      <c r="D104" s="648"/>
      <c r="E104" s="648"/>
      <c r="F104" s="648"/>
      <c r="G104" s="648"/>
      <c r="H104" s="648"/>
      <c r="I104" s="648"/>
      <c r="J104" s="648"/>
      <c r="K104" s="648"/>
      <c r="L104" s="648"/>
      <c r="M104" s="648"/>
      <c r="N104" s="648"/>
      <c r="O104" s="648"/>
      <c r="P104" s="648"/>
      <c r="Q104" s="648"/>
      <c r="R104" s="648"/>
      <c r="S104" s="648"/>
      <c r="T104" s="648"/>
      <c r="U104" s="648"/>
      <c r="V104" s="648"/>
      <c r="W104" s="648"/>
      <c r="X104" s="648"/>
      <c r="Y104" s="648"/>
      <c r="Z104" s="648"/>
      <c r="AA104" s="648"/>
      <c r="AB104" s="648"/>
      <c r="AC104" s="648"/>
      <c r="AD104" s="648"/>
      <c r="AE104" s="648"/>
      <c r="AF104" s="648"/>
      <c r="AG104" s="648"/>
      <c r="AH104" s="648"/>
      <c r="AI104" s="648"/>
      <c r="AJ104" s="648"/>
      <c r="AK104" s="648"/>
      <c r="AL104" s="648"/>
      <c r="AM104" s="648"/>
      <c r="AN104" s="648"/>
      <c r="AO104" s="648"/>
      <c r="AP104" s="648"/>
      <c r="AQ104" s="648"/>
      <c r="AR104" s="648"/>
      <c r="AS104" s="648"/>
      <c r="AT104" s="648"/>
      <c r="AU104" s="648"/>
      <c r="AV104" s="648"/>
      <c r="AW104" s="648"/>
      <c r="AX104" s="648"/>
      <c r="AY104" s="648"/>
      <c r="AZ104" s="648"/>
      <c r="BA104" s="648"/>
      <c r="BB104" s="648"/>
      <c r="BC104" s="648"/>
      <c r="BD104" s="648"/>
      <c r="BE104" s="648"/>
      <c r="BF104" s="648"/>
      <c r="BG104" s="648"/>
      <c r="BH104" s="648"/>
      <c r="BI104" s="648"/>
      <c r="BJ104" s="648"/>
      <c r="BT104" s="657"/>
      <c r="BU104" s="657"/>
      <c r="BV104" s="657"/>
      <c r="BW104" s="657"/>
    </row>
    <row r="105" s="99" customFormat="true" ht="16.5" hidden="false" customHeight="false" outlineLevel="0" collapsed="false">
      <c r="A105" s="648"/>
      <c r="B105" s="648"/>
      <c r="C105" s="648"/>
      <c r="D105" s="648"/>
      <c r="E105" s="648"/>
      <c r="F105" s="648"/>
      <c r="G105" s="648"/>
      <c r="H105" s="648"/>
      <c r="I105" s="648"/>
      <c r="J105" s="648"/>
      <c r="K105" s="648"/>
      <c r="L105" s="648"/>
      <c r="M105" s="648"/>
      <c r="N105" s="648"/>
      <c r="O105" s="648"/>
      <c r="P105" s="648"/>
      <c r="Q105" s="648"/>
      <c r="R105" s="648"/>
      <c r="S105" s="648"/>
      <c r="T105" s="648"/>
      <c r="U105" s="648"/>
      <c r="V105" s="648"/>
      <c r="W105" s="648"/>
      <c r="X105" s="648"/>
      <c r="Y105" s="648"/>
      <c r="Z105" s="648"/>
      <c r="AA105" s="648"/>
      <c r="AB105" s="648"/>
      <c r="AC105" s="648"/>
      <c r="AD105" s="648"/>
      <c r="AE105" s="648"/>
      <c r="AF105" s="648"/>
      <c r="AG105" s="648"/>
      <c r="AH105" s="648"/>
      <c r="AI105" s="648"/>
      <c r="AJ105" s="648"/>
      <c r="AK105" s="648"/>
      <c r="AL105" s="648"/>
      <c r="AM105" s="648"/>
      <c r="AN105" s="648"/>
      <c r="AO105" s="648"/>
      <c r="AP105" s="648"/>
      <c r="AQ105" s="648"/>
      <c r="AR105" s="648"/>
      <c r="AS105" s="648"/>
      <c r="AT105" s="648"/>
      <c r="AU105" s="648"/>
      <c r="AV105" s="648"/>
      <c r="AW105" s="648"/>
      <c r="AX105" s="648"/>
      <c r="AY105" s="648"/>
      <c r="AZ105" s="648"/>
      <c r="BA105" s="648"/>
      <c r="BB105" s="648"/>
      <c r="BC105" s="648"/>
      <c r="BD105" s="648"/>
      <c r="BE105" s="648"/>
      <c r="BF105" s="648"/>
      <c r="BG105" s="648"/>
      <c r="BH105" s="648"/>
      <c r="BI105" s="648"/>
      <c r="BJ105" s="648"/>
      <c r="BT105" s="657"/>
      <c r="BU105" s="657"/>
      <c r="BV105" s="657"/>
      <c r="BW105" s="657"/>
    </row>
    <row r="106" s="99" customFormat="true" ht="16.5" hidden="false" customHeight="false" outlineLevel="0" collapsed="false">
      <c r="A106" s="648"/>
      <c r="B106" s="648"/>
      <c r="C106" s="648"/>
      <c r="D106" s="648"/>
      <c r="E106" s="648"/>
      <c r="F106" s="648"/>
      <c r="G106" s="648"/>
      <c r="H106" s="648"/>
      <c r="I106" s="648"/>
      <c r="J106" s="648"/>
      <c r="K106" s="648"/>
      <c r="L106" s="648"/>
      <c r="M106" s="648"/>
      <c r="N106" s="648"/>
      <c r="O106" s="648"/>
      <c r="P106" s="648"/>
      <c r="Q106" s="648"/>
      <c r="R106" s="648"/>
      <c r="S106" s="648"/>
      <c r="T106" s="648"/>
      <c r="U106" s="648"/>
      <c r="V106" s="648"/>
      <c r="W106" s="648"/>
      <c r="X106" s="648"/>
      <c r="Y106" s="648"/>
      <c r="Z106" s="648"/>
      <c r="AA106" s="648"/>
      <c r="AB106" s="648"/>
      <c r="AC106" s="648"/>
      <c r="AD106" s="648"/>
      <c r="AE106" s="648"/>
      <c r="AF106" s="648"/>
      <c r="AG106" s="648"/>
      <c r="AH106" s="648"/>
      <c r="AI106" s="648"/>
      <c r="AJ106" s="648"/>
      <c r="AK106" s="648"/>
      <c r="AL106" s="648"/>
      <c r="AM106" s="648"/>
      <c r="AN106" s="648"/>
      <c r="AO106" s="648"/>
      <c r="AP106" s="648"/>
      <c r="AQ106" s="648"/>
      <c r="AR106" s="648"/>
      <c r="AS106" s="648"/>
      <c r="AT106" s="648"/>
      <c r="AU106" s="648"/>
      <c r="AV106" s="648"/>
      <c r="AW106" s="648"/>
      <c r="AX106" s="648"/>
      <c r="AY106" s="648"/>
      <c r="AZ106" s="648"/>
      <c r="BA106" s="648"/>
      <c r="BB106" s="648"/>
      <c r="BC106" s="648"/>
      <c r="BD106" s="648"/>
      <c r="BE106" s="648"/>
      <c r="BF106" s="648"/>
      <c r="BG106" s="648"/>
      <c r="BH106" s="648"/>
      <c r="BI106" s="648"/>
      <c r="BJ106" s="648"/>
      <c r="BT106" s="657"/>
      <c r="BU106" s="657"/>
      <c r="BV106" s="657"/>
      <c r="BW106" s="657"/>
    </row>
    <row r="107" s="99" customFormat="true" ht="16.5" hidden="false" customHeight="false" outlineLevel="0" collapsed="false">
      <c r="A107" s="648"/>
      <c r="B107" s="648"/>
      <c r="C107" s="648"/>
      <c r="D107" s="648"/>
      <c r="E107" s="648"/>
      <c r="F107" s="648"/>
      <c r="G107" s="648"/>
      <c r="H107" s="648"/>
      <c r="I107" s="648"/>
      <c r="J107" s="648"/>
      <c r="K107" s="648"/>
      <c r="L107" s="648"/>
      <c r="M107" s="648"/>
      <c r="N107" s="648"/>
      <c r="O107" s="648"/>
      <c r="P107" s="648"/>
      <c r="Q107" s="648"/>
      <c r="R107" s="648"/>
      <c r="S107" s="648"/>
      <c r="T107" s="648"/>
      <c r="U107" s="648"/>
      <c r="V107" s="648"/>
      <c r="W107" s="648"/>
      <c r="X107" s="648"/>
      <c r="Y107" s="648"/>
      <c r="Z107" s="648"/>
      <c r="AA107" s="648"/>
      <c r="AB107" s="648"/>
      <c r="AC107" s="648"/>
      <c r="AD107" s="648"/>
      <c r="AE107" s="648"/>
      <c r="AF107" s="648"/>
      <c r="AG107" s="648"/>
      <c r="AH107" s="648"/>
      <c r="AI107" s="648"/>
      <c r="AJ107" s="648"/>
      <c r="AK107" s="648"/>
      <c r="AL107" s="648"/>
      <c r="AM107" s="648"/>
      <c r="AN107" s="648"/>
      <c r="AO107" s="648"/>
      <c r="AP107" s="648"/>
      <c r="AQ107" s="648"/>
      <c r="AR107" s="648"/>
      <c r="AS107" s="648"/>
      <c r="AT107" s="648"/>
      <c r="AU107" s="648"/>
      <c r="AV107" s="648"/>
      <c r="AW107" s="648"/>
      <c r="AX107" s="648"/>
      <c r="AY107" s="648"/>
      <c r="AZ107" s="648"/>
      <c r="BA107" s="648"/>
      <c r="BB107" s="648"/>
      <c r="BC107" s="648"/>
      <c r="BD107" s="648"/>
      <c r="BE107" s="648"/>
      <c r="BF107" s="648"/>
      <c r="BG107" s="648"/>
      <c r="BH107" s="648"/>
      <c r="BI107" s="648"/>
      <c r="BJ107" s="648"/>
      <c r="BT107" s="657"/>
      <c r="BU107" s="657"/>
      <c r="BV107" s="657"/>
      <c r="BW107" s="657"/>
    </row>
    <row r="108" s="99" customFormat="true" ht="16.5" hidden="false" customHeight="false" outlineLevel="0" collapsed="false">
      <c r="A108" s="648"/>
      <c r="B108" s="648"/>
      <c r="C108" s="648"/>
      <c r="D108" s="648"/>
      <c r="E108" s="648"/>
      <c r="F108" s="648"/>
      <c r="G108" s="648"/>
      <c r="H108" s="648"/>
      <c r="I108" s="648"/>
      <c r="J108" s="648"/>
      <c r="K108" s="648"/>
      <c r="L108" s="648"/>
      <c r="M108" s="648"/>
      <c r="N108" s="648"/>
      <c r="O108" s="648"/>
      <c r="P108" s="648"/>
      <c r="Q108" s="648"/>
      <c r="R108" s="648"/>
      <c r="S108" s="648"/>
      <c r="T108" s="648"/>
      <c r="U108" s="648"/>
      <c r="V108" s="648"/>
      <c r="W108" s="648"/>
      <c r="X108" s="648"/>
      <c r="Y108" s="648"/>
      <c r="Z108" s="648"/>
      <c r="AA108" s="648"/>
      <c r="AB108" s="648"/>
      <c r="AC108" s="648"/>
      <c r="AD108" s="648"/>
      <c r="AE108" s="648"/>
      <c r="AF108" s="648"/>
      <c r="AG108" s="648"/>
      <c r="AH108" s="648"/>
      <c r="AI108" s="648"/>
      <c r="AJ108" s="648"/>
      <c r="AK108" s="648"/>
      <c r="AL108" s="648"/>
      <c r="AM108" s="648"/>
      <c r="AN108" s="648"/>
      <c r="AO108" s="648"/>
      <c r="AP108" s="648"/>
      <c r="AQ108" s="648"/>
      <c r="AR108" s="648"/>
      <c r="AS108" s="648"/>
      <c r="AT108" s="648"/>
      <c r="AU108" s="648"/>
      <c r="AV108" s="648"/>
      <c r="AW108" s="648"/>
      <c r="AX108" s="648"/>
      <c r="AY108" s="648"/>
      <c r="AZ108" s="648"/>
      <c r="BA108" s="648"/>
      <c r="BB108" s="648"/>
      <c r="BC108" s="648"/>
      <c r="BD108" s="648"/>
      <c r="BE108" s="648"/>
      <c r="BF108" s="648"/>
      <c r="BG108" s="648"/>
      <c r="BH108" s="648"/>
      <c r="BI108" s="648"/>
      <c r="BJ108" s="648"/>
      <c r="BT108" s="657"/>
      <c r="BU108" s="657"/>
      <c r="BV108" s="657"/>
      <c r="BW108" s="657"/>
    </row>
    <row r="109" s="99" customFormat="true" ht="16.5" hidden="false" customHeight="false" outlineLevel="0" collapsed="false">
      <c r="A109" s="648"/>
      <c r="B109" s="648"/>
      <c r="C109" s="648"/>
      <c r="D109" s="648"/>
      <c r="E109" s="648"/>
      <c r="F109" s="648"/>
      <c r="G109" s="648"/>
      <c r="H109" s="648"/>
      <c r="I109" s="648"/>
      <c r="J109" s="648"/>
      <c r="K109" s="648"/>
      <c r="L109" s="648"/>
      <c r="M109" s="648"/>
      <c r="N109" s="648"/>
      <c r="O109" s="648"/>
      <c r="P109" s="648"/>
      <c r="Q109" s="648"/>
      <c r="R109" s="648"/>
      <c r="S109" s="648"/>
      <c r="T109" s="648"/>
      <c r="U109" s="648"/>
      <c r="V109" s="648"/>
      <c r="W109" s="648"/>
      <c r="X109" s="648"/>
      <c r="Y109" s="648"/>
      <c r="Z109" s="648"/>
      <c r="AA109" s="648"/>
      <c r="AB109" s="648"/>
      <c r="AC109" s="648"/>
      <c r="AD109" s="648"/>
      <c r="AE109" s="648"/>
      <c r="AF109" s="648"/>
      <c r="AG109" s="648"/>
      <c r="AH109" s="648"/>
      <c r="AI109" s="648"/>
      <c r="AJ109" s="648"/>
      <c r="AK109" s="648"/>
      <c r="AL109" s="648"/>
      <c r="AM109" s="648"/>
      <c r="AN109" s="648"/>
      <c r="AO109" s="648"/>
      <c r="AP109" s="648"/>
      <c r="AQ109" s="648"/>
      <c r="AR109" s="648"/>
      <c r="AS109" s="648"/>
      <c r="AT109" s="648"/>
      <c r="AU109" s="648"/>
      <c r="AV109" s="648"/>
      <c r="AW109" s="648"/>
      <c r="AX109" s="648"/>
      <c r="AY109" s="648"/>
      <c r="AZ109" s="648"/>
      <c r="BA109" s="648"/>
      <c r="BB109" s="648"/>
      <c r="BC109" s="648"/>
      <c r="BD109" s="648"/>
      <c r="BE109" s="648"/>
      <c r="BF109" s="648"/>
      <c r="BG109" s="648"/>
      <c r="BH109" s="648"/>
      <c r="BI109" s="648"/>
      <c r="BJ109" s="648"/>
      <c r="BT109" s="657"/>
      <c r="BU109" s="657"/>
      <c r="BV109" s="657"/>
      <c r="BW109" s="657"/>
    </row>
    <row r="110" s="99" customFormat="true" ht="16.5" hidden="false" customHeight="false" outlineLevel="0" collapsed="false">
      <c r="A110" s="648"/>
      <c r="B110" s="648"/>
      <c r="C110" s="648"/>
      <c r="D110" s="648"/>
      <c r="E110" s="648"/>
      <c r="F110" s="648"/>
      <c r="G110" s="648"/>
      <c r="H110" s="648"/>
      <c r="I110" s="648"/>
      <c r="J110" s="648"/>
      <c r="K110" s="648"/>
      <c r="L110" s="648"/>
      <c r="M110" s="648"/>
      <c r="N110" s="648"/>
      <c r="O110" s="648"/>
      <c r="P110" s="648"/>
      <c r="Q110" s="648"/>
      <c r="R110" s="648"/>
      <c r="S110" s="648"/>
      <c r="T110" s="648"/>
      <c r="U110" s="648"/>
      <c r="V110" s="648"/>
      <c r="W110" s="648"/>
      <c r="X110" s="648"/>
      <c r="Y110" s="648"/>
      <c r="Z110" s="648"/>
      <c r="AA110" s="648"/>
      <c r="AB110" s="648"/>
      <c r="AC110" s="648"/>
      <c r="AD110" s="648"/>
      <c r="AE110" s="648"/>
      <c r="AF110" s="648"/>
      <c r="AG110" s="648"/>
      <c r="AH110" s="648"/>
      <c r="AI110" s="648"/>
      <c r="AJ110" s="648"/>
      <c r="AK110" s="648"/>
      <c r="AL110" s="648"/>
      <c r="AM110" s="648"/>
      <c r="AN110" s="648"/>
      <c r="AO110" s="648"/>
      <c r="AP110" s="648"/>
      <c r="AQ110" s="648"/>
      <c r="AR110" s="648"/>
      <c r="AS110" s="648"/>
      <c r="AT110" s="648"/>
      <c r="AU110" s="648"/>
      <c r="AV110" s="648"/>
      <c r="AW110" s="648"/>
      <c r="AX110" s="648"/>
      <c r="AY110" s="648"/>
      <c r="AZ110" s="648"/>
      <c r="BA110" s="648"/>
      <c r="BB110" s="648"/>
      <c r="BC110" s="648"/>
      <c r="BD110" s="648"/>
      <c r="BE110" s="648"/>
      <c r="BF110" s="648"/>
      <c r="BG110" s="648"/>
      <c r="BH110" s="648"/>
      <c r="BI110" s="648"/>
      <c r="BJ110" s="648"/>
      <c r="BT110" s="657"/>
      <c r="BU110" s="657"/>
      <c r="BV110" s="657"/>
      <c r="BW110" s="657"/>
    </row>
    <row r="111" s="99" customFormat="true" ht="16.5" hidden="false" customHeight="false" outlineLevel="0" collapsed="false">
      <c r="A111" s="648"/>
      <c r="B111" s="648"/>
      <c r="C111" s="648"/>
      <c r="D111" s="648"/>
      <c r="E111" s="648"/>
      <c r="F111" s="648"/>
      <c r="G111" s="648"/>
      <c r="H111" s="648"/>
      <c r="I111" s="648"/>
      <c r="J111" s="648"/>
      <c r="K111" s="648"/>
      <c r="L111" s="648"/>
      <c r="M111" s="648"/>
      <c r="N111" s="648"/>
      <c r="O111" s="648"/>
      <c r="P111" s="648"/>
      <c r="Q111" s="648"/>
      <c r="R111" s="648"/>
      <c r="S111" s="648"/>
      <c r="T111" s="648"/>
      <c r="U111" s="648"/>
      <c r="V111" s="648"/>
      <c r="W111" s="648"/>
      <c r="X111" s="648"/>
      <c r="Y111" s="648"/>
      <c r="Z111" s="648"/>
      <c r="AA111" s="648"/>
      <c r="AB111" s="648"/>
      <c r="AC111" s="648"/>
      <c r="AD111" s="648"/>
      <c r="AE111" s="648"/>
      <c r="AF111" s="648"/>
      <c r="AG111" s="648"/>
      <c r="AH111" s="648"/>
      <c r="AI111" s="648"/>
      <c r="AJ111" s="648"/>
      <c r="AK111" s="648"/>
      <c r="AL111" s="648"/>
      <c r="AM111" s="648"/>
      <c r="AN111" s="648"/>
      <c r="AO111" s="648"/>
      <c r="AP111" s="648"/>
      <c r="AQ111" s="648"/>
      <c r="AR111" s="648"/>
      <c r="AS111" s="648"/>
      <c r="AT111" s="648"/>
      <c r="AU111" s="648"/>
      <c r="AV111" s="648"/>
      <c r="AW111" s="648"/>
      <c r="AX111" s="648"/>
      <c r="AY111" s="648"/>
      <c r="AZ111" s="648"/>
      <c r="BA111" s="648"/>
      <c r="BB111" s="648"/>
      <c r="BC111" s="648"/>
      <c r="BD111" s="648"/>
      <c r="BE111" s="648"/>
      <c r="BF111" s="648"/>
      <c r="BG111" s="648"/>
      <c r="BH111" s="648"/>
      <c r="BI111" s="648"/>
      <c r="BJ111" s="648"/>
      <c r="BT111" s="657"/>
      <c r="BU111" s="657"/>
      <c r="BV111" s="657"/>
      <c r="BW111" s="657"/>
    </row>
    <row r="112" s="99" customFormat="true" ht="16.5" hidden="false" customHeight="false" outlineLevel="0" collapsed="false">
      <c r="A112" s="648"/>
      <c r="B112" s="648"/>
      <c r="C112" s="648"/>
      <c r="D112" s="648"/>
      <c r="E112" s="648"/>
      <c r="F112" s="648"/>
      <c r="G112" s="648"/>
      <c r="H112" s="648"/>
      <c r="I112" s="648"/>
      <c r="J112" s="648"/>
      <c r="K112" s="648"/>
      <c r="L112" s="648"/>
      <c r="M112" s="648"/>
      <c r="N112" s="648"/>
      <c r="O112" s="648"/>
      <c r="P112" s="648"/>
      <c r="Q112" s="648"/>
      <c r="R112" s="648"/>
      <c r="S112" s="648"/>
      <c r="T112" s="648"/>
      <c r="U112" s="648"/>
      <c r="V112" s="648"/>
      <c r="W112" s="648"/>
      <c r="X112" s="648"/>
      <c r="Y112" s="648"/>
      <c r="Z112" s="648"/>
      <c r="AA112" s="648"/>
      <c r="AB112" s="648"/>
      <c r="AC112" s="648"/>
      <c r="AD112" s="648"/>
      <c r="AE112" s="648"/>
      <c r="AF112" s="648"/>
      <c r="AG112" s="648"/>
      <c r="AH112" s="648"/>
      <c r="AI112" s="648"/>
      <c r="AJ112" s="648"/>
      <c r="AK112" s="648"/>
      <c r="AL112" s="648"/>
      <c r="AM112" s="648"/>
      <c r="AN112" s="648"/>
      <c r="AO112" s="648"/>
      <c r="AP112" s="648"/>
      <c r="AQ112" s="648"/>
      <c r="AR112" s="648"/>
      <c r="AS112" s="648"/>
      <c r="AT112" s="648"/>
      <c r="AU112" s="648"/>
      <c r="AV112" s="648"/>
      <c r="AW112" s="648"/>
      <c r="AX112" s="648"/>
      <c r="AY112" s="648"/>
      <c r="AZ112" s="648"/>
      <c r="BA112" s="648"/>
      <c r="BB112" s="648"/>
      <c r="BC112" s="648"/>
      <c r="BD112" s="648"/>
      <c r="BE112" s="648"/>
      <c r="BF112" s="648"/>
      <c r="BG112" s="648"/>
      <c r="BH112" s="648"/>
      <c r="BI112" s="648"/>
      <c r="BJ112" s="648"/>
      <c r="BT112" s="657"/>
      <c r="BU112" s="657"/>
      <c r="BV112" s="657"/>
      <c r="BW112" s="657"/>
    </row>
    <row r="113" s="99" customFormat="true" ht="16.5" hidden="false" customHeight="false" outlineLevel="0" collapsed="false">
      <c r="A113" s="648"/>
      <c r="B113" s="648"/>
      <c r="C113" s="648"/>
      <c r="D113" s="648"/>
      <c r="E113" s="648"/>
      <c r="F113" s="648"/>
      <c r="G113" s="648"/>
      <c r="H113" s="648"/>
      <c r="I113" s="648"/>
      <c r="J113" s="648"/>
      <c r="K113" s="648"/>
      <c r="L113" s="648"/>
      <c r="M113" s="648"/>
      <c r="N113" s="648"/>
      <c r="O113" s="648"/>
      <c r="P113" s="648"/>
      <c r="Q113" s="648"/>
      <c r="R113" s="648"/>
      <c r="S113" s="648"/>
      <c r="T113" s="648"/>
      <c r="U113" s="648"/>
      <c r="V113" s="648"/>
      <c r="W113" s="648"/>
      <c r="X113" s="648"/>
      <c r="Y113" s="648"/>
      <c r="Z113" s="648"/>
      <c r="AA113" s="648"/>
      <c r="AB113" s="648"/>
      <c r="AC113" s="648"/>
      <c r="AD113" s="648"/>
      <c r="AE113" s="648"/>
      <c r="AF113" s="648"/>
      <c r="AG113" s="648"/>
      <c r="AH113" s="648"/>
      <c r="AI113" s="648"/>
      <c r="AJ113" s="648"/>
      <c r="AK113" s="648"/>
      <c r="AL113" s="648"/>
      <c r="AM113" s="648"/>
      <c r="AN113" s="648"/>
      <c r="AO113" s="648"/>
      <c r="AP113" s="648"/>
      <c r="AQ113" s="648"/>
      <c r="AR113" s="648"/>
      <c r="AS113" s="648"/>
      <c r="AT113" s="648"/>
      <c r="AU113" s="648"/>
      <c r="AV113" s="648"/>
      <c r="AW113" s="648"/>
      <c r="AX113" s="648"/>
      <c r="AY113" s="648"/>
      <c r="AZ113" s="648"/>
      <c r="BA113" s="648"/>
      <c r="BB113" s="648"/>
      <c r="BC113" s="648"/>
      <c r="BD113" s="648"/>
      <c r="BE113" s="648"/>
      <c r="BF113" s="648"/>
      <c r="BG113" s="648"/>
      <c r="BH113" s="648"/>
      <c r="BI113" s="648"/>
      <c r="BJ113" s="648"/>
      <c r="BT113" s="657"/>
      <c r="BU113" s="657"/>
      <c r="BV113" s="657"/>
      <c r="BW113" s="657"/>
    </row>
    <row r="114" s="99" customFormat="true" ht="16.5" hidden="false" customHeight="false" outlineLevel="0" collapsed="false">
      <c r="A114" s="648"/>
      <c r="B114" s="648"/>
      <c r="C114" s="648"/>
      <c r="D114" s="648"/>
      <c r="E114" s="648"/>
      <c r="F114" s="648"/>
      <c r="G114" s="648"/>
      <c r="H114" s="648"/>
      <c r="I114" s="648"/>
      <c r="J114" s="648"/>
      <c r="K114" s="648"/>
      <c r="L114" s="648"/>
      <c r="M114" s="648"/>
      <c r="N114" s="648"/>
      <c r="O114" s="648"/>
      <c r="P114" s="648"/>
      <c r="Q114" s="648"/>
      <c r="R114" s="648"/>
      <c r="S114" s="648"/>
      <c r="T114" s="648"/>
      <c r="U114" s="648"/>
      <c r="V114" s="648"/>
      <c r="W114" s="648"/>
      <c r="X114" s="648"/>
      <c r="Y114" s="648"/>
      <c r="Z114" s="648"/>
      <c r="AA114" s="648"/>
      <c r="AB114" s="648"/>
      <c r="AC114" s="648"/>
      <c r="AD114" s="648"/>
      <c r="AE114" s="648"/>
      <c r="AF114" s="648"/>
      <c r="AG114" s="648"/>
      <c r="AH114" s="648"/>
      <c r="AI114" s="648"/>
      <c r="AJ114" s="648"/>
      <c r="AK114" s="648"/>
      <c r="AL114" s="648"/>
      <c r="AM114" s="648"/>
      <c r="AN114" s="648"/>
      <c r="AO114" s="648"/>
      <c r="AP114" s="648"/>
      <c r="AQ114" s="648"/>
      <c r="AR114" s="648"/>
      <c r="AS114" s="648"/>
      <c r="AT114" s="648"/>
      <c r="AU114" s="648"/>
      <c r="AV114" s="648"/>
      <c r="AW114" s="648"/>
      <c r="AX114" s="648"/>
      <c r="AY114" s="648"/>
      <c r="AZ114" s="648"/>
      <c r="BA114" s="648"/>
      <c r="BB114" s="648"/>
      <c r="BC114" s="648"/>
      <c r="BD114" s="648"/>
      <c r="BE114" s="648"/>
      <c r="BF114" s="648"/>
      <c r="BG114" s="648"/>
      <c r="BH114" s="648"/>
      <c r="BI114" s="648"/>
      <c r="BJ114" s="648"/>
      <c r="BT114" s="657"/>
      <c r="BU114" s="657"/>
      <c r="BV114" s="657"/>
      <c r="BW114" s="657"/>
    </row>
    <row r="115" s="99" customFormat="true" ht="16.5" hidden="false" customHeight="false" outlineLevel="0" collapsed="false">
      <c r="A115" s="648"/>
      <c r="B115" s="648"/>
      <c r="C115" s="648"/>
      <c r="D115" s="648"/>
      <c r="E115" s="648"/>
      <c r="F115" s="648"/>
      <c r="G115" s="648"/>
      <c r="H115" s="648"/>
      <c r="I115" s="648"/>
      <c r="J115" s="648"/>
      <c r="K115" s="648"/>
      <c r="L115" s="648"/>
      <c r="M115" s="648"/>
      <c r="N115" s="648"/>
      <c r="O115" s="648"/>
      <c r="P115" s="648"/>
      <c r="Q115" s="648"/>
      <c r="R115" s="648"/>
      <c r="S115" s="648"/>
      <c r="T115" s="648"/>
      <c r="U115" s="648"/>
      <c r="V115" s="648"/>
      <c r="W115" s="648"/>
      <c r="X115" s="648"/>
      <c r="Y115" s="648"/>
      <c r="Z115" s="648"/>
      <c r="AA115" s="648"/>
      <c r="AB115" s="648"/>
      <c r="AC115" s="648"/>
      <c r="AD115" s="648"/>
      <c r="AE115" s="648"/>
      <c r="AF115" s="648"/>
      <c r="AG115" s="648"/>
      <c r="AH115" s="648"/>
      <c r="AI115" s="648"/>
      <c r="AJ115" s="648"/>
      <c r="AK115" s="648"/>
      <c r="AL115" s="648"/>
      <c r="AM115" s="648"/>
      <c r="AN115" s="648"/>
      <c r="AO115" s="648"/>
      <c r="AP115" s="648"/>
      <c r="AQ115" s="648"/>
      <c r="AR115" s="648"/>
      <c r="AS115" s="648"/>
      <c r="AT115" s="648"/>
      <c r="AU115" s="648"/>
      <c r="AV115" s="648"/>
      <c r="AW115" s="648"/>
      <c r="AX115" s="648"/>
      <c r="AY115" s="648"/>
      <c r="AZ115" s="648"/>
      <c r="BA115" s="648"/>
      <c r="BB115" s="648"/>
      <c r="BC115" s="648"/>
      <c r="BD115" s="648"/>
      <c r="BE115" s="648"/>
      <c r="BF115" s="648"/>
      <c r="BG115" s="648"/>
      <c r="BH115" s="648"/>
      <c r="BI115" s="648"/>
      <c r="BJ115" s="648"/>
      <c r="BT115" s="657"/>
      <c r="BU115" s="657"/>
      <c r="BV115" s="657"/>
      <c r="BW115" s="657"/>
    </row>
    <row r="116" s="99" customFormat="true" ht="16.5" hidden="false" customHeight="false" outlineLevel="0" collapsed="false">
      <c r="A116" s="648"/>
      <c r="B116" s="648"/>
      <c r="C116" s="648"/>
      <c r="D116" s="648"/>
      <c r="E116" s="648"/>
      <c r="F116" s="648"/>
      <c r="G116" s="648"/>
      <c r="H116" s="648"/>
      <c r="I116" s="648"/>
      <c r="J116" s="648"/>
      <c r="K116" s="648"/>
      <c r="L116" s="648"/>
      <c r="M116" s="648"/>
      <c r="N116" s="648"/>
      <c r="O116" s="648"/>
      <c r="P116" s="648"/>
      <c r="Q116" s="648"/>
      <c r="R116" s="648"/>
      <c r="S116" s="648"/>
      <c r="T116" s="648"/>
      <c r="U116" s="648"/>
      <c r="V116" s="648"/>
      <c r="W116" s="648"/>
      <c r="X116" s="648"/>
      <c r="Y116" s="648"/>
      <c r="Z116" s="648"/>
      <c r="AA116" s="648"/>
      <c r="AB116" s="648"/>
      <c r="AC116" s="648"/>
      <c r="AD116" s="648"/>
      <c r="AE116" s="648"/>
      <c r="AF116" s="648"/>
      <c r="AG116" s="648"/>
      <c r="AH116" s="648"/>
      <c r="AI116" s="648"/>
      <c r="AJ116" s="648"/>
      <c r="AK116" s="648"/>
      <c r="AL116" s="648"/>
      <c r="AM116" s="648"/>
      <c r="AN116" s="648"/>
      <c r="AO116" s="648"/>
      <c r="AP116" s="648"/>
      <c r="AQ116" s="648"/>
      <c r="AR116" s="648"/>
      <c r="AS116" s="648"/>
      <c r="AT116" s="648"/>
      <c r="AU116" s="648"/>
      <c r="AV116" s="648"/>
      <c r="AW116" s="648"/>
      <c r="AX116" s="648"/>
      <c r="AY116" s="648"/>
      <c r="AZ116" s="648"/>
      <c r="BA116" s="648"/>
      <c r="BB116" s="648"/>
      <c r="BC116" s="648"/>
      <c r="BD116" s="648"/>
      <c r="BE116" s="648"/>
      <c r="BF116" s="648"/>
      <c r="BG116" s="648"/>
      <c r="BH116" s="648"/>
      <c r="BI116" s="648"/>
      <c r="BJ116" s="648"/>
      <c r="BT116" s="657"/>
      <c r="BU116" s="657"/>
      <c r="BV116" s="657"/>
      <c r="BW116" s="657"/>
    </row>
    <row r="117" s="99" customFormat="true" ht="16.5" hidden="false" customHeight="false" outlineLevel="0" collapsed="false">
      <c r="A117" s="648"/>
      <c r="B117" s="648"/>
      <c r="C117" s="648"/>
      <c r="D117" s="648"/>
      <c r="E117" s="648"/>
      <c r="F117" s="648"/>
      <c r="G117" s="648"/>
      <c r="H117" s="648"/>
      <c r="I117" s="648"/>
      <c r="J117" s="648"/>
      <c r="K117" s="648"/>
      <c r="L117" s="648"/>
      <c r="M117" s="648"/>
      <c r="N117" s="648"/>
      <c r="O117" s="648"/>
      <c r="P117" s="648"/>
      <c r="Q117" s="648"/>
      <c r="R117" s="648"/>
      <c r="S117" s="648"/>
      <c r="T117" s="648"/>
      <c r="U117" s="648"/>
      <c r="V117" s="648"/>
      <c r="W117" s="648"/>
      <c r="X117" s="648"/>
      <c r="Y117" s="648"/>
      <c r="Z117" s="648"/>
      <c r="AA117" s="648"/>
      <c r="AB117" s="648"/>
      <c r="AC117" s="648"/>
      <c r="AD117" s="648"/>
      <c r="AE117" s="648"/>
      <c r="AF117" s="648"/>
      <c r="AG117" s="648"/>
      <c r="AH117" s="648"/>
      <c r="AI117" s="648"/>
      <c r="AJ117" s="648"/>
      <c r="AK117" s="648"/>
      <c r="AL117" s="648"/>
      <c r="AM117" s="648"/>
      <c r="AN117" s="648"/>
      <c r="AO117" s="648"/>
      <c r="AP117" s="648"/>
      <c r="AQ117" s="648"/>
      <c r="AR117" s="648"/>
      <c r="AS117" s="648"/>
      <c r="AT117" s="648"/>
      <c r="AU117" s="648"/>
      <c r="AV117" s="648"/>
      <c r="AW117" s="648"/>
      <c r="AX117" s="648"/>
      <c r="AY117" s="648"/>
      <c r="AZ117" s="648"/>
      <c r="BA117" s="648"/>
      <c r="BB117" s="648"/>
      <c r="BC117" s="648"/>
      <c r="BD117" s="648"/>
      <c r="BE117" s="648"/>
      <c r="BF117" s="648"/>
      <c r="BG117" s="648"/>
      <c r="BH117" s="648"/>
      <c r="BI117" s="648"/>
      <c r="BJ117" s="648"/>
      <c r="BT117" s="657"/>
      <c r="BU117" s="657"/>
      <c r="BV117" s="657"/>
      <c r="BW117" s="657"/>
    </row>
    <row r="118" s="99" customFormat="true" ht="16.5" hidden="false" customHeight="false" outlineLevel="0" collapsed="false">
      <c r="A118" s="648"/>
      <c r="B118" s="648"/>
      <c r="C118" s="648"/>
      <c r="D118" s="648"/>
      <c r="E118" s="648"/>
      <c r="F118" s="648"/>
      <c r="G118" s="648"/>
      <c r="H118" s="648"/>
      <c r="I118" s="648"/>
      <c r="J118" s="648"/>
      <c r="K118" s="648"/>
      <c r="L118" s="648"/>
      <c r="M118" s="648"/>
      <c r="N118" s="648"/>
      <c r="O118" s="648"/>
      <c r="P118" s="648"/>
      <c r="Q118" s="648"/>
      <c r="R118" s="648"/>
      <c r="S118" s="648"/>
      <c r="T118" s="648"/>
      <c r="U118" s="648"/>
      <c r="V118" s="648"/>
      <c r="W118" s="648"/>
      <c r="X118" s="648"/>
      <c r="Y118" s="648"/>
      <c r="Z118" s="648"/>
      <c r="AA118" s="648"/>
      <c r="AB118" s="648"/>
      <c r="AC118" s="648"/>
      <c r="AD118" s="648"/>
      <c r="AE118" s="648"/>
      <c r="AF118" s="648"/>
      <c r="AG118" s="648"/>
      <c r="AH118" s="648"/>
      <c r="AI118" s="648"/>
      <c r="AJ118" s="648"/>
      <c r="AK118" s="648"/>
      <c r="AL118" s="648"/>
      <c r="AM118" s="648"/>
      <c r="AN118" s="648"/>
      <c r="AO118" s="648"/>
      <c r="AP118" s="648"/>
      <c r="AQ118" s="648"/>
      <c r="AR118" s="648"/>
      <c r="AS118" s="648"/>
      <c r="AT118" s="648"/>
      <c r="AU118" s="648"/>
      <c r="AV118" s="648"/>
      <c r="AW118" s="648"/>
      <c r="AX118" s="648"/>
      <c r="AY118" s="648"/>
      <c r="AZ118" s="648"/>
      <c r="BA118" s="648"/>
      <c r="BB118" s="648"/>
      <c r="BC118" s="648"/>
      <c r="BD118" s="648"/>
      <c r="BE118" s="648"/>
      <c r="BF118" s="648"/>
      <c r="BG118" s="648"/>
      <c r="BH118" s="648"/>
      <c r="BI118" s="648"/>
      <c r="BJ118" s="648"/>
      <c r="BT118" s="657"/>
      <c r="BU118" s="657"/>
      <c r="BV118" s="657"/>
      <c r="BW118" s="657"/>
    </row>
    <row r="119" s="99" customFormat="true" ht="16.5" hidden="false" customHeight="false" outlineLevel="0" collapsed="false">
      <c r="A119" s="648"/>
      <c r="B119" s="648"/>
      <c r="C119" s="648"/>
      <c r="D119" s="648"/>
      <c r="E119" s="648"/>
      <c r="F119" s="648"/>
      <c r="G119" s="648"/>
      <c r="H119" s="648"/>
      <c r="I119" s="648"/>
      <c r="J119" s="648"/>
      <c r="K119" s="648"/>
      <c r="L119" s="648"/>
      <c r="M119" s="648"/>
      <c r="N119" s="648"/>
      <c r="O119" s="648"/>
      <c r="P119" s="648"/>
      <c r="Q119" s="648"/>
      <c r="R119" s="648"/>
      <c r="S119" s="648"/>
      <c r="T119" s="648"/>
      <c r="U119" s="648"/>
      <c r="V119" s="648"/>
      <c r="W119" s="648"/>
      <c r="X119" s="648"/>
      <c r="Y119" s="648"/>
      <c r="Z119" s="648"/>
      <c r="AA119" s="648"/>
      <c r="AB119" s="648"/>
      <c r="AC119" s="648"/>
      <c r="AD119" s="648"/>
      <c r="AE119" s="648"/>
      <c r="AF119" s="648"/>
      <c r="AG119" s="648"/>
      <c r="AH119" s="648"/>
      <c r="AI119" s="648"/>
      <c r="AJ119" s="648"/>
      <c r="AK119" s="648"/>
      <c r="AL119" s="648"/>
      <c r="AM119" s="648"/>
      <c r="AN119" s="648"/>
      <c r="AO119" s="648"/>
      <c r="AP119" s="648"/>
      <c r="AQ119" s="648"/>
      <c r="AR119" s="648"/>
      <c r="AS119" s="648"/>
      <c r="AT119" s="648"/>
      <c r="AU119" s="648"/>
      <c r="AV119" s="648"/>
      <c r="AW119" s="648"/>
      <c r="AX119" s="648"/>
      <c r="AY119" s="648"/>
      <c r="AZ119" s="648"/>
      <c r="BA119" s="648"/>
      <c r="BB119" s="648"/>
      <c r="BC119" s="648"/>
      <c r="BD119" s="648"/>
      <c r="BE119" s="648"/>
      <c r="BF119" s="648"/>
      <c r="BG119" s="648"/>
      <c r="BH119" s="648"/>
      <c r="BI119" s="648"/>
      <c r="BJ119" s="648"/>
      <c r="BT119" s="657"/>
      <c r="BU119" s="657"/>
      <c r="BV119" s="657"/>
      <c r="BW119" s="657"/>
    </row>
    <row r="120" s="99" customFormat="true" ht="16.5" hidden="false" customHeight="false" outlineLevel="0" collapsed="false">
      <c r="A120" s="648"/>
      <c r="B120" s="648"/>
      <c r="C120" s="648"/>
      <c r="D120" s="648"/>
      <c r="E120" s="648"/>
      <c r="F120" s="648"/>
      <c r="G120" s="648"/>
      <c r="H120" s="648"/>
      <c r="I120" s="648"/>
      <c r="J120" s="648"/>
      <c r="K120" s="648"/>
      <c r="L120" s="648"/>
      <c r="M120" s="648"/>
      <c r="N120" s="648"/>
      <c r="O120" s="648"/>
      <c r="P120" s="648"/>
      <c r="Q120" s="648"/>
      <c r="R120" s="648"/>
      <c r="S120" s="648"/>
      <c r="T120" s="648"/>
      <c r="U120" s="648"/>
      <c r="V120" s="648"/>
      <c r="W120" s="648"/>
      <c r="X120" s="648"/>
      <c r="Y120" s="648"/>
      <c r="Z120" s="648"/>
      <c r="AA120" s="648"/>
      <c r="AB120" s="648"/>
      <c r="AC120" s="648"/>
      <c r="AD120" s="648"/>
      <c r="AE120" s="648"/>
      <c r="AF120" s="648"/>
      <c r="AG120" s="648"/>
      <c r="AH120" s="648"/>
      <c r="AI120" s="648"/>
      <c r="AJ120" s="648"/>
      <c r="AK120" s="648"/>
      <c r="AL120" s="648"/>
      <c r="AM120" s="648"/>
      <c r="AN120" s="648"/>
      <c r="AO120" s="648"/>
      <c r="AP120" s="648"/>
      <c r="AQ120" s="648"/>
      <c r="AR120" s="648"/>
      <c r="AS120" s="648"/>
      <c r="AT120" s="648"/>
      <c r="AU120" s="648"/>
      <c r="AV120" s="648"/>
      <c r="AW120" s="648"/>
      <c r="AX120" s="648"/>
      <c r="AY120" s="648"/>
      <c r="AZ120" s="648"/>
      <c r="BA120" s="648"/>
      <c r="BB120" s="648"/>
      <c r="BC120" s="648"/>
      <c r="BD120" s="648"/>
      <c r="BE120" s="648"/>
      <c r="BF120" s="648"/>
      <c r="BG120" s="648"/>
      <c r="BH120" s="648"/>
      <c r="BI120" s="648"/>
      <c r="BJ120" s="648"/>
      <c r="BT120" s="657"/>
      <c r="BU120" s="657"/>
      <c r="BV120" s="657"/>
      <c r="BW120" s="657"/>
    </row>
    <row r="121" s="99" customFormat="true" ht="16.5" hidden="false" customHeight="false" outlineLevel="0" collapsed="false">
      <c r="A121" s="648"/>
      <c r="B121" s="648"/>
      <c r="C121" s="648"/>
      <c r="D121" s="648"/>
      <c r="E121" s="648"/>
      <c r="F121" s="648"/>
      <c r="G121" s="648"/>
      <c r="H121" s="648"/>
      <c r="I121" s="648"/>
      <c r="J121" s="648"/>
      <c r="K121" s="648"/>
      <c r="L121" s="648"/>
      <c r="M121" s="648"/>
      <c r="N121" s="648"/>
      <c r="O121" s="648"/>
      <c r="P121" s="648"/>
      <c r="Q121" s="648"/>
      <c r="R121" s="648"/>
      <c r="S121" s="648"/>
      <c r="T121" s="648"/>
      <c r="U121" s="648"/>
      <c r="V121" s="648"/>
      <c r="W121" s="648"/>
      <c r="X121" s="648"/>
      <c r="Y121" s="648"/>
      <c r="Z121" s="648"/>
      <c r="AA121" s="648"/>
      <c r="AB121" s="648"/>
      <c r="AC121" s="648"/>
      <c r="AD121" s="648"/>
      <c r="AE121" s="648"/>
      <c r="AF121" s="648"/>
      <c r="AG121" s="648"/>
      <c r="AH121" s="648"/>
      <c r="AI121" s="648"/>
      <c r="AJ121" s="648"/>
      <c r="AK121" s="648"/>
      <c r="AL121" s="648"/>
      <c r="AM121" s="648"/>
      <c r="AN121" s="648"/>
      <c r="AO121" s="648"/>
      <c r="AP121" s="648"/>
      <c r="AQ121" s="648"/>
      <c r="AR121" s="648"/>
      <c r="AS121" s="648"/>
      <c r="AT121" s="648"/>
      <c r="AU121" s="648"/>
      <c r="AV121" s="648"/>
      <c r="AW121" s="648"/>
      <c r="AX121" s="648"/>
      <c r="AY121" s="648"/>
      <c r="AZ121" s="648"/>
      <c r="BA121" s="648"/>
      <c r="BB121" s="648"/>
      <c r="BC121" s="648"/>
      <c r="BD121" s="648"/>
      <c r="BE121" s="648"/>
      <c r="BF121" s="648"/>
      <c r="BG121" s="648"/>
      <c r="BH121" s="648"/>
      <c r="BI121" s="648"/>
      <c r="BJ121" s="648"/>
      <c r="BT121" s="657"/>
      <c r="BU121" s="657"/>
      <c r="BV121" s="657"/>
      <c r="BW121" s="657"/>
    </row>
    <row r="122" s="99" customFormat="true" ht="16.5" hidden="false" customHeight="false" outlineLevel="0" collapsed="false">
      <c r="A122" s="648"/>
      <c r="B122" s="648"/>
      <c r="C122" s="648"/>
      <c r="D122" s="648"/>
      <c r="E122" s="648"/>
      <c r="F122" s="648"/>
      <c r="G122" s="648"/>
      <c r="H122" s="648"/>
      <c r="I122" s="648"/>
      <c r="J122" s="648"/>
      <c r="K122" s="648"/>
      <c r="L122" s="648"/>
      <c r="M122" s="648"/>
      <c r="N122" s="648"/>
      <c r="O122" s="648"/>
      <c r="P122" s="648"/>
      <c r="Q122" s="648"/>
      <c r="R122" s="648"/>
      <c r="S122" s="648"/>
      <c r="T122" s="648"/>
      <c r="U122" s="648"/>
      <c r="V122" s="648"/>
      <c r="W122" s="648"/>
      <c r="X122" s="648"/>
      <c r="Y122" s="648"/>
      <c r="Z122" s="648"/>
      <c r="AA122" s="648"/>
      <c r="AB122" s="648"/>
      <c r="AC122" s="648"/>
      <c r="AD122" s="648"/>
      <c r="AE122" s="648"/>
      <c r="AF122" s="648"/>
      <c r="AG122" s="648"/>
      <c r="AH122" s="648"/>
      <c r="AI122" s="648"/>
      <c r="AJ122" s="648"/>
      <c r="AK122" s="648"/>
      <c r="AL122" s="648"/>
      <c r="AM122" s="648"/>
      <c r="AN122" s="648"/>
      <c r="AO122" s="648"/>
      <c r="AP122" s="648"/>
      <c r="AQ122" s="648"/>
      <c r="AR122" s="648"/>
      <c r="AS122" s="648"/>
      <c r="AT122" s="648"/>
      <c r="AU122" s="648"/>
      <c r="AV122" s="648"/>
      <c r="AW122" s="648"/>
      <c r="AX122" s="648"/>
      <c r="AY122" s="648"/>
      <c r="AZ122" s="648"/>
      <c r="BA122" s="648"/>
      <c r="BB122" s="648"/>
      <c r="BC122" s="648"/>
      <c r="BD122" s="648"/>
      <c r="BE122" s="648"/>
      <c r="BF122" s="648"/>
      <c r="BG122" s="648"/>
      <c r="BH122" s="648"/>
      <c r="BI122" s="648"/>
      <c r="BJ122" s="648"/>
      <c r="BT122" s="657"/>
      <c r="BU122" s="657"/>
      <c r="BV122" s="657"/>
      <c r="BW122" s="657"/>
    </row>
    <row r="123" s="99" customFormat="true" ht="16.5" hidden="false" customHeight="false" outlineLevel="0" collapsed="false">
      <c r="A123" s="648"/>
      <c r="B123" s="648"/>
      <c r="C123" s="648"/>
      <c r="D123" s="648"/>
      <c r="E123" s="648"/>
      <c r="F123" s="648"/>
      <c r="G123" s="648"/>
      <c r="H123" s="648"/>
      <c r="I123" s="648"/>
      <c r="J123" s="648"/>
      <c r="K123" s="648"/>
      <c r="L123" s="648"/>
      <c r="M123" s="648"/>
      <c r="N123" s="648"/>
      <c r="O123" s="648"/>
      <c r="P123" s="648"/>
      <c r="Q123" s="648"/>
      <c r="R123" s="648"/>
      <c r="S123" s="648"/>
      <c r="T123" s="648"/>
      <c r="U123" s="648"/>
      <c r="V123" s="648"/>
      <c r="W123" s="648"/>
      <c r="X123" s="648"/>
      <c r="Y123" s="648"/>
      <c r="Z123" s="648"/>
      <c r="AA123" s="648"/>
      <c r="AB123" s="648"/>
      <c r="AC123" s="648"/>
      <c r="AD123" s="648"/>
      <c r="AE123" s="648"/>
      <c r="AF123" s="648"/>
      <c r="AG123" s="648"/>
      <c r="AH123" s="648"/>
      <c r="AI123" s="648"/>
      <c r="AJ123" s="648"/>
      <c r="AK123" s="648"/>
      <c r="AL123" s="648"/>
      <c r="AM123" s="648"/>
      <c r="AN123" s="648"/>
      <c r="AO123" s="648"/>
      <c r="AP123" s="648"/>
      <c r="AQ123" s="648"/>
      <c r="AR123" s="648"/>
      <c r="AS123" s="648"/>
      <c r="AT123" s="648"/>
      <c r="AU123" s="648"/>
      <c r="AV123" s="648"/>
      <c r="AW123" s="648"/>
      <c r="AX123" s="648"/>
      <c r="AY123" s="648"/>
      <c r="AZ123" s="648"/>
      <c r="BA123" s="648"/>
      <c r="BB123" s="648"/>
      <c r="BC123" s="648"/>
      <c r="BD123" s="648"/>
      <c r="BE123" s="648"/>
      <c r="BF123" s="648"/>
      <c r="BG123" s="648"/>
      <c r="BH123" s="648"/>
      <c r="BI123" s="648"/>
      <c r="BJ123" s="648"/>
      <c r="BT123" s="657"/>
      <c r="BU123" s="657"/>
      <c r="BV123" s="657"/>
      <c r="BW123" s="657"/>
    </row>
    <row r="124" s="99" customFormat="true" ht="16.5" hidden="false" customHeight="false" outlineLevel="0" collapsed="false">
      <c r="A124" s="648"/>
      <c r="B124" s="648"/>
      <c r="C124" s="648"/>
      <c r="D124" s="648"/>
      <c r="E124" s="648"/>
      <c r="F124" s="648"/>
      <c r="G124" s="648"/>
      <c r="H124" s="648"/>
      <c r="I124" s="648"/>
      <c r="J124" s="648"/>
      <c r="K124" s="648"/>
      <c r="L124" s="648"/>
      <c r="M124" s="648"/>
      <c r="N124" s="648"/>
      <c r="O124" s="648"/>
      <c r="P124" s="648"/>
      <c r="Q124" s="648"/>
      <c r="R124" s="648"/>
      <c r="S124" s="648"/>
      <c r="T124" s="648"/>
      <c r="U124" s="648"/>
      <c r="V124" s="648"/>
      <c r="W124" s="648"/>
      <c r="X124" s="648"/>
      <c r="Y124" s="648"/>
      <c r="Z124" s="648"/>
      <c r="AA124" s="648"/>
      <c r="AB124" s="648"/>
      <c r="AC124" s="648"/>
      <c r="AD124" s="648"/>
      <c r="AE124" s="648"/>
      <c r="AF124" s="648"/>
      <c r="AG124" s="648"/>
      <c r="AH124" s="648"/>
      <c r="AI124" s="648"/>
      <c r="AJ124" s="648"/>
      <c r="AK124" s="648"/>
      <c r="AL124" s="648"/>
      <c r="AM124" s="648"/>
      <c r="AN124" s="648"/>
      <c r="AO124" s="648"/>
      <c r="AP124" s="648"/>
      <c r="AQ124" s="648"/>
      <c r="AR124" s="648"/>
      <c r="AS124" s="648"/>
      <c r="AT124" s="648"/>
      <c r="AU124" s="648"/>
      <c r="AV124" s="648"/>
      <c r="AW124" s="648"/>
      <c r="AX124" s="648"/>
      <c r="AY124" s="648"/>
      <c r="AZ124" s="648"/>
      <c r="BA124" s="648"/>
      <c r="BB124" s="648"/>
      <c r="BC124" s="648"/>
      <c r="BD124" s="648"/>
      <c r="BE124" s="648"/>
      <c r="BF124" s="648"/>
      <c r="BG124" s="648"/>
      <c r="BH124" s="648"/>
      <c r="BI124" s="648"/>
      <c r="BJ124" s="648"/>
      <c r="BT124" s="657"/>
      <c r="BU124" s="657"/>
      <c r="BV124" s="657"/>
      <c r="BW124" s="657"/>
    </row>
    <row r="125" s="99" customFormat="true" ht="16.5" hidden="false" customHeight="false" outlineLevel="0" collapsed="false">
      <c r="A125" s="648"/>
      <c r="B125" s="648"/>
      <c r="C125" s="648"/>
      <c r="D125" s="648"/>
      <c r="E125" s="648"/>
      <c r="F125" s="648"/>
      <c r="G125" s="648"/>
      <c r="H125" s="648"/>
      <c r="I125" s="648"/>
      <c r="J125" s="648"/>
      <c r="K125" s="648"/>
      <c r="L125" s="648"/>
      <c r="M125" s="648"/>
      <c r="N125" s="648"/>
      <c r="O125" s="648"/>
      <c r="P125" s="648"/>
      <c r="Q125" s="648"/>
      <c r="R125" s="648"/>
      <c r="S125" s="648"/>
      <c r="T125" s="648"/>
      <c r="U125" s="648"/>
      <c r="V125" s="648"/>
      <c r="W125" s="648"/>
      <c r="X125" s="648"/>
      <c r="Y125" s="648"/>
      <c r="Z125" s="648"/>
      <c r="AA125" s="648"/>
      <c r="AB125" s="648"/>
      <c r="AC125" s="648"/>
      <c r="AD125" s="648"/>
      <c r="AE125" s="648"/>
      <c r="AF125" s="648"/>
      <c r="AG125" s="648"/>
      <c r="AH125" s="648"/>
      <c r="AI125" s="648"/>
      <c r="AJ125" s="648"/>
      <c r="AK125" s="648"/>
      <c r="AL125" s="648"/>
      <c r="AM125" s="648"/>
      <c r="AN125" s="648"/>
      <c r="AO125" s="648"/>
      <c r="AP125" s="648"/>
      <c r="AQ125" s="648"/>
      <c r="AR125" s="648"/>
      <c r="AS125" s="648"/>
      <c r="AT125" s="648"/>
      <c r="AU125" s="648"/>
      <c r="AV125" s="648"/>
      <c r="AW125" s="648"/>
      <c r="AX125" s="648"/>
      <c r="AY125" s="648"/>
      <c r="AZ125" s="648"/>
      <c r="BA125" s="648"/>
      <c r="BB125" s="648"/>
      <c r="BC125" s="648"/>
      <c r="BD125" s="648"/>
      <c r="BE125" s="648"/>
      <c r="BF125" s="648"/>
      <c r="BG125" s="648"/>
      <c r="BH125" s="648"/>
      <c r="BI125" s="648"/>
      <c r="BJ125" s="648"/>
      <c r="BT125" s="657"/>
      <c r="BU125" s="657"/>
      <c r="BV125" s="657"/>
      <c r="BW125" s="657"/>
    </row>
    <row r="126" s="99" customFormat="true" ht="16.5" hidden="false" customHeight="false" outlineLevel="0" collapsed="false">
      <c r="A126" s="648"/>
      <c r="B126" s="648"/>
      <c r="C126" s="648"/>
      <c r="D126" s="648"/>
      <c r="E126" s="648"/>
      <c r="F126" s="648"/>
      <c r="G126" s="648"/>
      <c r="H126" s="648"/>
      <c r="I126" s="648"/>
      <c r="J126" s="648"/>
      <c r="K126" s="648"/>
      <c r="L126" s="648"/>
      <c r="M126" s="648"/>
      <c r="N126" s="648"/>
      <c r="O126" s="648"/>
      <c r="P126" s="648"/>
      <c r="Q126" s="648"/>
      <c r="R126" s="648"/>
      <c r="S126" s="648"/>
      <c r="T126" s="648"/>
      <c r="U126" s="648"/>
      <c r="V126" s="648"/>
      <c r="W126" s="648"/>
      <c r="X126" s="648"/>
      <c r="Y126" s="648"/>
      <c r="Z126" s="648"/>
      <c r="AA126" s="648"/>
      <c r="AB126" s="648"/>
      <c r="AC126" s="648"/>
      <c r="AD126" s="648"/>
      <c r="AE126" s="648"/>
      <c r="AF126" s="648"/>
      <c r="AG126" s="648"/>
      <c r="AH126" s="648"/>
      <c r="AI126" s="648"/>
      <c r="AJ126" s="648"/>
      <c r="AK126" s="648"/>
      <c r="AL126" s="648"/>
      <c r="AM126" s="648"/>
      <c r="AN126" s="648"/>
      <c r="AO126" s="648"/>
      <c r="AP126" s="648"/>
      <c r="AQ126" s="648"/>
      <c r="AR126" s="648"/>
      <c r="AS126" s="648"/>
      <c r="AT126" s="648"/>
      <c r="AU126" s="648"/>
      <c r="AV126" s="648"/>
      <c r="AW126" s="648"/>
      <c r="AX126" s="648"/>
      <c r="AY126" s="648"/>
      <c r="AZ126" s="648"/>
      <c r="BA126" s="648"/>
      <c r="BB126" s="648"/>
      <c r="BC126" s="648"/>
      <c r="BD126" s="648"/>
      <c r="BE126" s="648"/>
      <c r="BF126" s="648"/>
      <c r="BG126" s="648"/>
      <c r="BH126" s="648"/>
      <c r="BI126" s="648"/>
      <c r="BJ126" s="648"/>
      <c r="BT126" s="657"/>
      <c r="BU126" s="657"/>
      <c r="BV126" s="657"/>
      <c r="BW126" s="657"/>
    </row>
    <row r="127" s="99" customFormat="true" ht="16.5" hidden="false" customHeight="false" outlineLevel="0" collapsed="false">
      <c r="A127" s="648"/>
      <c r="B127" s="648"/>
      <c r="C127" s="648"/>
      <c r="D127" s="648"/>
      <c r="E127" s="648"/>
      <c r="F127" s="648"/>
      <c r="G127" s="648"/>
      <c r="H127" s="648"/>
      <c r="I127" s="648"/>
      <c r="J127" s="648"/>
      <c r="K127" s="648"/>
      <c r="L127" s="648"/>
      <c r="M127" s="648"/>
      <c r="N127" s="648"/>
      <c r="O127" s="648"/>
      <c r="P127" s="648"/>
      <c r="Q127" s="648"/>
      <c r="R127" s="648"/>
      <c r="S127" s="648"/>
      <c r="T127" s="648"/>
      <c r="U127" s="648"/>
      <c r="V127" s="648"/>
      <c r="W127" s="648"/>
      <c r="X127" s="648"/>
      <c r="Y127" s="648"/>
      <c r="Z127" s="648"/>
      <c r="AA127" s="648"/>
      <c r="AB127" s="648"/>
      <c r="AC127" s="648"/>
      <c r="AD127" s="648"/>
      <c r="AE127" s="648"/>
      <c r="AF127" s="648"/>
      <c r="AG127" s="648"/>
      <c r="AH127" s="648"/>
      <c r="AI127" s="648"/>
      <c r="AJ127" s="648"/>
      <c r="AK127" s="648"/>
      <c r="AL127" s="648"/>
      <c r="AM127" s="648"/>
      <c r="AN127" s="648"/>
      <c r="AO127" s="648"/>
      <c r="AP127" s="648"/>
      <c r="AQ127" s="648"/>
      <c r="AR127" s="648"/>
      <c r="AS127" s="648"/>
      <c r="AT127" s="648"/>
      <c r="AU127" s="648"/>
      <c r="AV127" s="648"/>
      <c r="AW127" s="648"/>
      <c r="AX127" s="648"/>
      <c r="AY127" s="648"/>
      <c r="AZ127" s="648"/>
      <c r="BA127" s="648"/>
      <c r="BB127" s="648"/>
      <c r="BC127" s="648"/>
      <c r="BD127" s="648"/>
      <c r="BE127" s="648"/>
      <c r="BF127" s="648"/>
      <c r="BG127" s="648"/>
      <c r="BH127" s="648"/>
      <c r="BI127" s="648"/>
      <c r="BJ127" s="648"/>
      <c r="BT127" s="657"/>
      <c r="BU127" s="657"/>
      <c r="BV127" s="657"/>
      <c r="BW127" s="657"/>
    </row>
    <row r="128" s="99" customFormat="true" ht="16.5" hidden="false" customHeight="false" outlineLevel="0" collapsed="false">
      <c r="A128" s="648"/>
      <c r="B128" s="648"/>
      <c r="C128" s="648"/>
      <c r="D128" s="648"/>
      <c r="E128" s="648"/>
      <c r="F128" s="648"/>
      <c r="G128" s="648"/>
      <c r="H128" s="648"/>
      <c r="I128" s="648"/>
      <c r="J128" s="648"/>
      <c r="K128" s="648"/>
      <c r="L128" s="648"/>
      <c r="M128" s="648"/>
      <c r="N128" s="648"/>
      <c r="O128" s="648"/>
      <c r="P128" s="648"/>
      <c r="Q128" s="648"/>
      <c r="R128" s="648"/>
      <c r="S128" s="648"/>
      <c r="T128" s="648"/>
      <c r="U128" s="648"/>
      <c r="V128" s="648"/>
      <c r="W128" s="648"/>
      <c r="X128" s="648"/>
      <c r="Y128" s="648"/>
      <c r="Z128" s="648"/>
      <c r="AA128" s="648"/>
      <c r="AB128" s="648"/>
      <c r="AC128" s="648"/>
      <c r="AD128" s="648"/>
      <c r="AE128" s="648"/>
      <c r="AF128" s="648"/>
      <c r="AG128" s="648"/>
      <c r="AH128" s="648"/>
      <c r="AI128" s="648"/>
      <c r="AJ128" s="648"/>
      <c r="AK128" s="648"/>
      <c r="AL128" s="648"/>
      <c r="AM128" s="648"/>
      <c r="AN128" s="648"/>
      <c r="AO128" s="648"/>
      <c r="AP128" s="648"/>
      <c r="AQ128" s="648"/>
      <c r="AR128" s="648"/>
      <c r="AS128" s="648"/>
      <c r="AT128" s="648"/>
      <c r="AU128" s="648"/>
      <c r="AV128" s="648"/>
      <c r="AW128" s="648"/>
      <c r="AX128" s="648"/>
      <c r="AY128" s="648"/>
      <c r="AZ128" s="648"/>
      <c r="BA128" s="648"/>
      <c r="BB128" s="648"/>
      <c r="BC128" s="648"/>
      <c r="BD128" s="648"/>
      <c r="BE128" s="648"/>
      <c r="BF128" s="648"/>
      <c r="BG128" s="648"/>
      <c r="BH128" s="648"/>
      <c r="BI128" s="648"/>
      <c r="BJ128" s="648"/>
      <c r="BT128" s="657"/>
      <c r="BU128" s="657"/>
      <c r="BV128" s="657"/>
      <c r="BW128" s="657"/>
    </row>
    <row r="129" s="99" customFormat="true" ht="16.5" hidden="false" customHeight="false" outlineLevel="0" collapsed="false">
      <c r="A129" s="648"/>
      <c r="B129" s="648"/>
      <c r="C129" s="648"/>
      <c r="D129" s="648"/>
      <c r="E129" s="648"/>
      <c r="F129" s="648"/>
      <c r="G129" s="648"/>
      <c r="H129" s="648"/>
      <c r="I129" s="648"/>
      <c r="J129" s="648"/>
      <c r="K129" s="648"/>
      <c r="L129" s="648"/>
      <c r="M129" s="648"/>
      <c r="N129" s="648"/>
      <c r="O129" s="648"/>
      <c r="P129" s="648"/>
      <c r="Q129" s="648"/>
      <c r="R129" s="648"/>
      <c r="S129" s="648"/>
      <c r="T129" s="648"/>
      <c r="U129" s="648"/>
      <c r="V129" s="648"/>
      <c r="W129" s="648"/>
      <c r="X129" s="648"/>
      <c r="Y129" s="648"/>
      <c r="Z129" s="648"/>
      <c r="AA129" s="648"/>
      <c r="AB129" s="648"/>
      <c r="AC129" s="648"/>
      <c r="AD129" s="648"/>
      <c r="AE129" s="648"/>
      <c r="AF129" s="648"/>
      <c r="AG129" s="648"/>
      <c r="AH129" s="648"/>
      <c r="AI129" s="648"/>
      <c r="AJ129" s="648"/>
      <c r="AK129" s="648"/>
      <c r="AL129" s="648"/>
      <c r="AM129" s="648"/>
      <c r="AN129" s="648"/>
      <c r="AO129" s="648"/>
      <c r="AP129" s="648"/>
      <c r="AQ129" s="648"/>
      <c r="AR129" s="648"/>
      <c r="AS129" s="648"/>
      <c r="AT129" s="648"/>
      <c r="AU129" s="648"/>
      <c r="AV129" s="648"/>
      <c r="AW129" s="648"/>
      <c r="AX129" s="648"/>
      <c r="AY129" s="648"/>
      <c r="AZ129" s="648"/>
      <c r="BA129" s="648"/>
      <c r="BB129" s="648"/>
      <c r="BC129" s="648"/>
      <c r="BD129" s="648"/>
      <c r="BE129" s="648"/>
      <c r="BF129" s="648"/>
      <c r="BG129" s="648"/>
      <c r="BH129" s="648"/>
      <c r="BI129" s="648"/>
      <c r="BJ129" s="648"/>
      <c r="BT129" s="657"/>
      <c r="BU129" s="657"/>
      <c r="BV129" s="657"/>
      <c r="BW129" s="657"/>
    </row>
    <row r="130" s="99" customFormat="true" ht="16.5" hidden="false" customHeight="false" outlineLevel="0" collapsed="false">
      <c r="A130" s="648"/>
      <c r="B130" s="648"/>
      <c r="C130" s="648"/>
      <c r="D130" s="648"/>
      <c r="E130" s="648"/>
      <c r="F130" s="648"/>
      <c r="G130" s="648"/>
      <c r="H130" s="648"/>
      <c r="I130" s="648"/>
      <c r="J130" s="648"/>
      <c r="K130" s="648"/>
      <c r="L130" s="648"/>
      <c r="M130" s="648"/>
      <c r="N130" s="648"/>
      <c r="O130" s="648"/>
      <c r="P130" s="648"/>
      <c r="Q130" s="648"/>
      <c r="R130" s="648"/>
      <c r="S130" s="648"/>
      <c r="T130" s="648"/>
      <c r="U130" s="648"/>
      <c r="V130" s="648"/>
      <c r="W130" s="648"/>
      <c r="X130" s="648"/>
      <c r="Y130" s="648"/>
      <c r="Z130" s="648"/>
      <c r="AA130" s="648"/>
      <c r="AB130" s="648"/>
      <c r="AC130" s="648"/>
      <c r="AD130" s="648"/>
      <c r="AE130" s="648"/>
      <c r="AF130" s="648"/>
      <c r="AG130" s="648"/>
      <c r="AH130" s="648"/>
      <c r="AI130" s="648"/>
      <c r="AJ130" s="648"/>
      <c r="AK130" s="648"/>
      <c r="AL130" s="648"/>
      <c r="AM130" s="648"/>
      <c r="AN130" s="648"/>
      <c r="AO130" s="648"/>
      <c r="AP130" s="648"/>
      <c r="AQ130" s="648"/>
      <c r="AR130" s="648"/>
      <c r="AS130" s="648"/>
      <c r="AT130" s="648"/>
      <c r="AU130" s="648"/>
      <c r="AV130" s="648"/>
      <c r="AW130" s="648"/>
      <c r="AX130" s="648"/>
      <c r="AY130" s="648"/>
      <c r="AZ130" s="648"/>
      <c r="BA130" s="648"/>
      <c r="BB130" s="648"/>
      <c r="BC130" s="648"/>
      <c r="BD130" s="648"/>
      <c r="BE130" s="648"/>
      <c r="BF130" s="648"/>
      <c r="BG130" s="648"/>
      <c r="BH130" s="648"/>
      <c r="BI130" s="648"/>
      <c r="BJ130" s="648"/>
      <c r="BT130" s="657"/>
      <c r="BU130" s="657"/>
      <c r="BV130" s="657"/>
      <c r="BW130" s="657"/>
    </row>
    <row r="131" s="99" customFormat="true" ht="16.5" hidden="false" customHeight="false" outlineLevel="0" collapsed="false">
      <c r="A131" s="648"/>
      <c r="B131" s="648"/>
      <c r="C131" s="648"/>
      <c r="D131" s="648"/>
      <c r="E131" s="648"/>
      <c r="F131" s="648"/>
      <c r="G131" s="648"/>
      <c r="H131" s="648"/>
      <c r="I131" s="648"/>
      <c r="J131" s="648"/>
      <c r="K131" s="648"/>
      <c r="L131" s="648"/>
      <c r="M131" s="648"/>
      <c r="N131" s="648"/>
      <c r="O131" s="648"/>
      <c r="P131" s="648"/>
      <c r="Q131" s="648"/>
      <c r="R131" s="648"/>
      <c r="S131" s="648"/>
      <c r="T131" s="648"/>
      <c r="U131" s="648"/>
      <c r="V131" s="648"/>
      <c r="W131" s="648"/>
      <c r="X131" s="648"/>
      <c r="Y131" s="648"/>
      <c r="Z131" s="648"/>
      <c r="AA131" s="648"/>
      <c r="AB131" s="648"/>
      <c r="AC131" s="648"/>
      <c r="AD131" s="648"/>
      <c r="AE131" s="648"/>
      <c r="AF131" s="648"/>
      <c r="AG131" s="648"/>
      <c r="AH131" s="648"/>
      <c r="AI131" s="648"/>
      <c r="AJ131" s="648"/>
      <c r="AK131" s="648"/>
      <c r="AL131" s="648"/>
      <c r="AM131" s="648"/>
      <c r="AN131" s="648"/>
      <c r="AO131" s="648"/>
      <c r="AP131" s="648"/>
      <c r="AQ131" s="648"/>
      <c r="AR131" s="648"/>
      <c r="AS131" s="648"/>
      <c r="AT131" s="648"/>
      <c r="AU131" s="648"/>
      <c r="AV131" s="648"/>
      <c r="AW131" s="648"/>
      <c r="AX131" s="648"/>
      <c r="AY131" s="648"/>
      <c r="AZ131" s="648"/>
      <c r="BA131" s="648"/>
      <c r="BB131" s="648"/>
      <c r="BC131" s="648"/>
      <c r="BD131" s="648"/>
      <c r="BE131" s="648"/>
      <c r="BF131" s="648"/>
      <c r="BG131" s="648"/>
      <c r="BH131" s="648"/>
      <c r="BI131" s="648"/>
      <c r="BJ131" s="648"/>
      <c r="BT131" s="657"/>
      <c r="BU131" s="657"/>
      <c r="BV131" s="657"/>
      <c r="BW131" s="657"/>
    </row>
    <row r="132" s="99" customFormat="true" ht="16.5" hidden="false" customHeight="false" outlineLevel="0" collapsed="false">
      <c r="A132" s="648"/>
      <c r="B132" s="648"/>
      <c r="C132" s="648"/>
      <c r="D132" s="648"/>
      <c r="E132" s="648"/>
      <c r="F132" s="648"/>
      <c r="G132" s="648"/>
      <c r="H132" s="648"/>
      <c r="I132" s="648"/>
      <c r="J132" s="648"/>
      <c r="K132" s="648"/>
      <c r="L132" s="648"/>
      <c r="M132" s="648"/>
      <c r="N132" s="648"/>
      <c r="O132" s="648"/>
      <c r="P132" s="648"/>
      <c r="Q132" s="648"/>
      <c r="R132" s="648"/>
      <c r="S132" s="648"/>
      <c r="T132" s="648"/>
      <c r="U132" s="648"/>
      <c r="V132" s="648"/>
      <c r="W132" s="648"/>
      <c r="X132" s="648"/>
      <c r="Y132" s="648"/>
      <c r="Z132" s="648"/>
      <c r="AA132" s="648"/>
      <c r="AB132" s="648"/>
      <c r="AC132" s="648"/>
      <c r="AD132" s="648"/>
      <c r="AE132" s="648"/>
      <c r="AF132" s="648"/>
      <c r="AG132" s="648"/>
      <c r="AH132" s="648"/>
      <c r="AI132" s="648"/>
      <c r="AJ132" s="648"/>
      <c r="AK132" s="648"/>
      <c r="AL132" s="648"/>
      <c r="AM132" s="648"/>
      <c r="AN132" s="648"/>
      <c r="AO132" s="648"/>
      <c r="AP132" s="648"/>
      <c r="AQ132" s="648"/>
      <c r="AR132" s="648"/>
      <c r="AS132" s="648"/>
      <c r="AT132" s="648"/>
      <c r="AU132" s="648"/>
      <c r="AV132" s="648"/>
      <c r="AW132" s="648"/>
      <c r="AX132" s="648"/>
      <c r="AY132" s="648"/>
      <c r="AZ132" s="648"/>
      <c r="BA132" s="648"/>
      <c r="BB132" s="648"/>
      <c r="BC132" s="648"/>
      <c r="BD132" s="648"/>
      <c r="BE132" s="648"/>
      <c r="BF132" s="648"/>
      <c r="BG132" s="648"/>
      <c r="BH132" s="648"/>
      <c r="BI132" s="648"/>
      <c r="BJ132" s="648"/>
      <c r="BT132" s="657"/>
      <c r="BU132" s="657"/>
      <c r="BV132" s="657"/>
      <c r="BW132" s="657"/>
    </row>
    <row r="133" s="99" customFormat="true" ht="16.5" hidden="false" customHeight="false" outlineLevel="0" collapsed="false">
      <c r="A133" s="648"/>
      <c r="B133" s="648"/>
      <c r="C133" s="648"/>
      <c r="D133" s="648"/>
      <c r="E133" s="648"/>
      <c r="F133" s="648"/>
      <c r="G133" s="648"/>
      <c r="H133" s="648"/>
      <c r="I133" s="648"/>
      <c r="J133" s="648"/>
      <c r="K133" s="648"/>
      <c r="L133" s="648"/>
      <c r="M133" s="648"/>
      <c r="N133" s="648"/>
      <c r="O133" s="648"/>
      <c r="P133" s="648"/>
      <c r="Q133" s="648"/>
      <c r="R133" s="648"/>
      <c r="S133" s="648"/>
      <c r="T133" s="648"/>
      <c r="U133" s="648"/>
      <c r="V133" s="648"/>
      <c r="W133" s="648"/>
      <c r="X133" s="648"/>
      <c r="Y133" s="648"/>
      <c r="Z133" s="648"/>
      <c r="AA133" s="648"/>
      <c r="AB133" s="648"/>
      <c r="AC133" s="648"/>
      <c r="AD133" s="648"/>
      <c r="AE133" s="648"/>
      <c r="AF133" s="648"/>
      <c r="AG133" s="648"/>
      <c r="AH133" s="648"/>
      <c r="AI133" s="648"/>
      <c r="AJ133" s="648"/>
      <c r="AK133" s="648"/>
      <c r="AL133" s="648"/>
      <c r="AM133" s="648"/>
      <c r="AN133" s="648"/>
      <c r="AO133" s="648"/>
      <c r="AP133" s="648"/>
      <c r="AQ133" s="648"/>
      <c r="AR133" s="648"/>
      <c r="AS133" s="648"/>
      <c r="AT133" s="648"/>
      <c r="AU133" s="648"/>
      <c r="AV133" s="648"/>
      <c r="AW133" s="648"/>
      <c r="AX133" s="648"/>
      <c r="AY133" s="648"/>
      <c r="AZ133" s="648"/>
      <c r="BA133" s="648"/>
      <c r="BB133" s="648"/>
      <c r="BC133" s="648"/>
      <c r="BD133" s="648"/>
      <c r="BE133" s="648"/>
      <c r="BF133" s="648"/>
      <c r="BG133" s="648"/>
      <c r="BH133" s="648"/>
      <c r="BI133" s="648"/>
      <c r="BJ133" s="648"/>
      <c r="BT133" s="657"/>
      <c r="BU133" s="657"/>
      <c r="BV133" s="657"/>
      <c r="BW133" s="657"/>
    </row>
    <row r="134" s="99" customFormat="true" ht="16.5" hidden="false" customHeight="false" outlineLevel="0" collapsed="false">
      <c r="A134" s="648"/>
      <c r="B134" s="648"/>
      <c r="C134" s="648"/>
      <c r="D134" s="648"/>
      <c r="E134" s="648"/>
      <c r="F134" s="648"/>
      <c r="G134" s="648"/>
      <c r="H134" s="648"/>
      <c r="I134" s="648"/>
      <c r="J134" s="648"/>
      <c r="K134" s="648"/>
      <c r="L134" s="648"/>
      <c r="M134" s="648"/>
      <c r="N134" s="648"/>
      <c r="O134" s="648"/>
      <c r="P134" s="648"/>
      <c r="Q134" s="648"/>
      <c r="R134" s="648"/>
      <c r="S134" s="648"/>
      <c r="T134" s="648"/>
      <c r="U134" s="648"/>
      <c r="V134" s="648"/>
      <c r="W134" s="648"/>
      <c r="X134" s="648"/>
      <c r="Y134" s="648"/>
      <c r="Z134" s="648"/>
      <c r="AA134" s="648"/>
      <c r="AB134" s="648"/>
      <c r="AC134" s="648"/>
      <c r="AD134" s="648"/>
      <c r="AE134" s="648"/>
      <c r="AF134" s="648"/>
      <c r="AG134" s="648"/>
      <c r="AH134" s="648"/>
      <c r="AI134" s="648"/>
      <c r="AJ134" s="648"/>
      <c r="AK134" s="648"/>
      <c r="AL134" s="648"/>
      <c r="AM134" s="648"/>
      <c r="AN134" s="648"/>
      <c r="AO134" s="648"/>
      <c r="AP134" s="648"/>
      <c r="AQ134" s="648"/>
      <c r="AR134" s="648"/>
      <c r="AS134" s="648"/>
      <c r="AT134" s="648"/>
      <c r="AU134" s="648"/>
      <c r="AV134" s="648"/>
      <c r="AW134" s="648"/>
      <c r="AX134" s="648"/>
      <c r="AY134" s="648"/>
      <c r="AZ134" s="648"/>
      <c r="BA134" s="648"/>
      <c r="BB134" s="648"/>
      <c r="BC134" s="648"/>
      <c r="BD134" s="648"/>
      <c r="BE134" s="648"/>
      <c r="BF134" s="648"/>
      <c r="BG134" s="648"/>
      <c r="BH134" s="648"/>
      <c r="BI134" s="648"/>
      <c r="BJ134" s="648"/>
      <c r="BT134" s="657"/>
      <c r="BU134" s="657"/>
      <c r="BV134" s="657"/>
      <c r="BW134" s="657"/>
    </row>
    <row r="135" s="99" customFormat="true" ht="16.5" hidden="false" customHeight="false" outlineLevel="0" collapsed="false">
      <c r="A135" s="648"/>
      <c r="B135" s="648"/>
      <c r="C135" s="648"/>
      <c r="D135" s="648"/>
      <c r="E135" s="648"/>
      <c r="F135" s="648"/>
      <c r="G135" s="648"/>
      <c r="H135" s="648"/>
      <c r="I135" s="648"/>
      <c r="J135" s="648"/>
      <c r="K135" s="648"/>
      <c r="L135" s="648"/>
      <c r="M135" s="648"/>
      <c r="N135" s="648"/>
      <c r="O135" s="648"/>
      <c r="P135" s="648"/>
      <c r="Q135" s="648"/>
      <c r="R135" s="648"/>
      <c r="S135" s="648"/>
      <c r="T135" s="648"/>
      <c r="U135" s="648"/>
      <c r="V135" s="648"/>
      <c r="W135" s="648"/>
      <c r="X135" s="648"/>
      <c r="Y135" s="648"/>
      <c r="Z135" s="648"/>
      <c r="AA135" s="648"/>
      <c r="AB135" s="648"/>
      <c r="AC135" s="648"/>
      <c r="AD135" s="648"/>
      <c r="AE135" s="648"/>
      <c r="AF135" s="648"/>
      <c r="AG135" s="648"/>
      <c r="AH135" s="648"/>
      <c r="AI135" s="648"/>
      <c r="AJ135" s="648"/>
      <c r="AK135" s="648"/>
      <c r="AL135" s="648"/>
      <c r="AM135" s="648"/>
      <c r="AN135" s="648"/>
      <c r="AO135" s="648"/>
      <c r="AP135" s="648"/>
      <c r="AQ135" s="648"/>
      <c r="AR135" s="648"/>
      <c r="AS135" s="648"/>
      <c r="AT135" s="648"/>
      <c r="AU135" s="648"/>
      <c r="AV135" s="648"/>
      <c r="AW135" s="648"/>
      <c r="AX135" s="648"/>
      <c r="AY135" s="648"/>
      <c r="AZ135" s="648"/>
      <c r="BA135" s="648"/>
      <c r="BB135" s="648"/>
      <c r="BC135" s="648"/>
      <c r="BD135" s="648"/>
      <c r="BE135" s="648"/>
      <c r="BF135" s="648"/>
      <c r="BG135" s="648"/>
      <c r="BH135" s="648"/>
      <c r="BI135" s="648"/>
      <c r="BJ135" s="648"/>
      <c r="BT135" s="657"/>
      <c r="BU135" s="657"/>
      <c r="BV135" s="657"/>
      <c r="BW135" s="657"/>
    </row>
    <row r="136" s="99" customFormat="true" ht="16.5" hidden="false" customHeight="false" outlineLevel="0" collapsed="false">
      <c r="A136" s="648"/>
      <c r="B136" s="648"/>
      <c r="C136" s="648"/>
      <c r="D136" s="648"/>
      <c r="E136" s="648"/>
      <c r="F136" s="648"/>
      <c r="G136" s="648"/>
      <c r="H136" s="648"/>
      <c r="I136" s="648"/>
      <c r="J136" s="648"/>
      <c r="K136" s="648"/>
      <c r="L136" s="648"/>
      <c r="M136" s="648"/>
      <c r="N136" s="648"/>
      <c r="O136" s="648"/>
      <c r="P136" s="648"/>
      <c r="Q136" s="648"/>
      <c r="R136" s="648"/>
      <c r="S136" s="648"/>
      <c r="T136" s="648"/>
      <c r="U136" s="648"/>
      <c r="V136" s="648"/>
      <c r="W136" s="648"/>
      <c r="X136" s="648"/>
      <c r="Y136" s="648"/>
      <c r="Z136" s="648"/>
      <c r="AA136" s="648"/>
      <c r="AB136" s="648"/>
      <c r="AC136" s="648"/>
      <c r="AD136" s="648"/>
      <c r="AE136" s="648"/>
      <c r="AF136" s="648"/>
      <c r="AG136" s="648"/>
      <c r="AH136" s="648"/>
      <c r="AI136" s="648"/>
      <c r="AJ136" s="648"/>
      <c r="AK136" s="648"/>
      <c r="AL136" s="648"/>
      <c r="AM136" s="648"/>
      <c r="AN136" s="648"/>
      <c r="AO136" s="648"/>
      <c r="AP136" s="648"/>
      <c r="AQ136" s="648"/>
      <c r="AR136" s="648"/>
      <c r="AS136" s="648"/>
      <c r="AT136" s="648"/>
      <c r="AU136" s="648"/>
      <c r="AV136" s="648"/>
      <c r="AW136" s="648"/>
      <c r="AX136" s="648"/>
      <c r="AY136" s="648"/>
      <c r="AZ136" s="648"/>
      <c r="BA136" s="648"/>
      <c r="BB136" s="648"/>
      <c r="BC136" s="648"/>
      <c r="BD136" s="648"/>
      <c r="BE136" s="648"/>
      <c r="BF136" s="648"/>
      <c r="BG136" s="648"/>
      <c r="BH136" s="648"/>
      <c r="BI136" s="648"/>
      <c r="BJ136" s="648"/>
      <c r="BT136" s="657"/>
      <c r="BU136" s="657"/>
      <c r="BV136" s="657"/>
      <c r="BW136" s="657"/>
    </row>
    <row r="137" s="99" customFormat="true" ht="16.5" hidden="false" customHeight="false" outlineLevel="0" collapsed="false">
      <c r="A137" s="648"/>
      <c r="B137" s="648"/>
      <c r="C137" s="648"/>
      <c r="D137" s="648"/>
      <c r="E137" s="648"/>
      <c r="F137" s="648"/>
      <c r="G137" s="648"/>
      <c r="H137" s="648"/>
      <c r="I137" s="648"/>
      <c r="J137" s="648"/>
      <c r="K137" s="648"/>
      <c r="L137" s="648"/>
      <c r="M137" s="648"/>
      <c r="N137" s="648"/>
      <c r="O137" s="648"/>
      <c r="P137" s="648"/>
      <c r="Q137" s="648"/>
      <c r="R137" s="648"/>
      <c r="S137" s="648"/>
      <c r="T137" s="648"/>
      <c r="U137" s="648"/>
      <c r="V137" s="648"/>
      <c r="W137" s="648"/>
      <c r="X137" s="648"/>
      <c r="Y137" s="648"/>
      <c r="Z137" s="648"/>
      <c r="AA137" s="648"/>
      <c r="AB137" s="648"/>
      <c r="AC137" s="648"/>
      <c r="AD137" s="648"/>
      <c r="AE137" s="648"/>
      <c r="AF137" s="648"/>
      <c r="AG137" s="648"/>
      <c r="AH137" s="648"/>
      <c r="AI137" s="648"/>
      <c r="AJ137" s="648"/>
      <c r="AK137" s="648"/>
      <c r="AL137" s="648"/>
      <c r="AM137" s="648"/>
      <c r="AN137" s="648"/>
      <c r="AO137" s="648"/>
      <c r="AP137" s="648"/>
      <c r="AQ137" s="648"/>
      <c r="AR137" s="648"/>
      <c r="AS137" s="648"/>
      <c r="AT137" s="648"/>
      <c r="AU137" s="648"/>
      <c r="AV137" s="648"/>
      <c r="AW137" s="648"/>
      <c r="AX137" s="648"/>
      <c r="AY137" s="648"/>
      <c r="AZ137" s="648"/>
      <c r="BA137" s="648"/>
      <c r="BB137" s="648"/>
      <c r="BC137" s="648"/>
      <c r="BD137" s="648"/>
      <c r="BE137" s="648"/>
      <c r="BF137" s="648"/>
      <c r="BG137" s="648"/>
      <c r="BH137" s="648"/>
      <c r="BI137" s="648"/>
      <c r="BJ137" s="648"/>
      <c r="BT137" s="657"/>
      <c r="BU137" s="657"/>
      <c r="BV137" s="657"/>
      <c r="BW137" s="657"/>
    </row>
    <row r="138" s="99" customFormat="true" ht="16.5" hidden="false" customHeight="false" outlineLevel="0" collapsed="false">
      <c r="A138" s="648"/>
      <c r="B138" s="648"/>
      <c r="C138" s="648"/>
      <c r="D138" s="648"/>
      <c r="E138" s="648"/>
      <c r="F138" s="648"/>
      <c r="G138" s="648"/>
      <c r="H138" s="648"/>
      <c r="I138" s="648"/>
      <c r="J138" s="648"/>
      <c r="K138" s="648"/>
      <c r="L138" s="648"/>
      <c r="M138" s="648"/>
      <c r="N138" s="648"/>
      <c r="O138" s="648"/>
      <c r="P138" s="648"/>
      <c r="Q138" s="648"/>
      <c r="R138" s="648"/>
      <c r="S138" s="648"/>
      <c r="T138" s="648"/>
      <c r="U138" s="648"/>
      <c r="V138" s="648"/>
      <c r="W138" s="648"/>
      <c r="X138" s="648"/>
      <c r="Y138" s="648"/>
      <c r="Z138" s="648"/>
      <c r="AA138" s="648"/>
      <c r="AB138" s="648"/>
      <c r="AC138" s="648"/>
      <c r="AD138" s="648"/>
      <c r="AE138" s="648"/>
      <c r="AF138" s="648"/>
      <c r="AG138" s="648"/>
      <c r="AH138" s="648"/>
      <c r="AI138" s="648"/>
      <c r="AJ138" s="648"/>
      <c r="AK138" s="648"/>
      <c r="AL138" s="648"/>
      <c r="AM138" s="648"/>
      <c r="AN138" s="648"/>
      <c r="AO138" s="648"/>
      <c r="AP138" s="648"/>
      <c r="AQ138" s="648"/>
      <c r="AR138" s="648"/>
      <c r="AS138" s="648"/>
      <c r="AT138" s="648"/>
      <c r="AU138" s="648"/>
      <c r="AV138" s="648"/>
      <c r="AW138" s="648"/>
      <c r="AX138" s="648"/>
      <c r="AY138" s="648"/>
      <c r="AZ138" s="648"/>
      <c r="BA138" s="648"/>
      <c r="BB138" s="648"/>
      <c r="BC138" s="648"/>
      <c r="BD138" s="648"/>
      <c r="BE138" s="648"/>
      <c r="BF138" s="648"/>
      <c r="BG138" s="648"/>
      <c r="BH138" s="648"/>
      <c r="BI138" s="648"/>
      <c r="BJ138" s="648"/>
      <c r="BT138" s="657"/>
      <c r="BU138" s="657"/>
      <c r="BV138" s="657"/>
      <c r="BW138" s="657"/>
    </row>
    <row r="139" s="99" customFormat="true" ht="16.5" hidden="false" customHeight="false" outlineLevel="0" collapsed="false">
      <c r="A139" s="648"/>
      <c r="B139" s="648"/>
      <c r="C139" s="648"/>
      <c r="D139" s="648"/>
      <c r="E139" s="648"/>
      <c r="F139" s="648"/>
      <c r="G139" s="648"/>
      <c r="H139" s="648"/>
      <c r="I139" s="648"/>
      <c r="J139" s="648"/>
      <c r="K139" s="648"/>
      <c r="L139" s="648"/>
      <c r="M139" s="648"/>
      <c r="N139" s="648"/>
      <c r="O139" s="648"/>
      <c r="P139" s="648"/>
      <c r="Q139" s="648"/>
      <c r="R139" s="648"/>
      <c r="S139" s="648"/>
      <c r="T139" s="648"/>
      <c r="U139" s="648"/>
      <c r="V139" s="648"/>
      <c r="W139" s="648"/>
      <c r="X139" s="648"/>
      <c r="Y139" s="648"/>
      <c r="Z139" s="648"/>
      <c r="AA139" s="648"/>
      <c r="AB139" s="648"/>
      <c r="AC139" s="648"/>
      <c r="AD139" s="648"/>
      <c r="AE139" s="648"/>
      <c r="AF139" s="648"/>
      <c r="AG139" s="648"/>
      <c r="AH139" s="648"/>
      <c r="AI139" s="648"/>
      <c r="AJ139" s="648"/>
      <c r="AK139" s="648"/>
      <c r="AL139" s="648"/>
      <c r="AM139" s="648"/>
      <c r="AN139" s="648"/>
      <c r="AO139" s="648"/>
      <c r="AP139" s="648"/>
      <c r="AQ139" s="648"/>
      <c r="AR139" s="648"/>
      <c r="AS139" s="648"/>
      <c r="AT139" s="648"/>
      <c r="AU139" s="648"/>
      <c r="AV139" s="648"/>
      <c r="AW139" s="648"/>
      <c r="AX139" s="648"/>
      <c r="AY139" s="648"/>
      <c r="AZ139" s="648"/>
      <c r="BA139" s="648"/>
      <c r="BB139" s="648"/>
      <c r="BC139" s="648"/>
      <c r="BD139" s="648"/>
      <c r="BE139" s="648"/>
      <c r="BF139" s="648"/>
      <c r="BG139" s="648"/>
      <c r="BH139" s="648"/>
      <c r="BI139" s="648"/>
      <c r="BJ139" s="648"/>
      <c r="BT139" s="657"/>
      <c r="BU139" s="657"/>
      <c r="BV139" s="657"/>
      <c r="BW139" s="657"/>
    </row>
    <row r="140" s="99" customFormat="true" ht="16.5" hidden="false" customHeight="false" outlineLevel="0" collapsed="false">
      <c r="A140" s="648"/>
      <c r="B140" s="648"/>
      <c r="C140" s="648"/>
      <c r="D140" s="648"/>
      <c r="E140" s="648"/>
      <c r="F140" s="648"/>
      <c r="G140" s="648"/>
      <c r="H140" s="648"/>
      <c r="I140" s="648"/>
      <c r="J140" s="648"/>
      <c r="K140" s="648"/>
      <c r="L140" s="648"/>
      <c r="M140" s="648"/>
      <c r="N140" s="648"/>
      <c r="O140" s="648"/>
      <c r="P140" s="648"/>
      <c r="Q140" s="648"/>
      <c r="R140" s="648"/>
      <c r="S140" s="648"/>
      <c r="T140" s="648"/>
      <c r="U140" s="648"/>
      <c r="V140" s="648"/>
      <c r="W140" s="648"/>
      <c r="X140" s="648"/>
      <c r="Y140" s="648"/>
      <c r="Z140" s="648"/>
      <c r="AA140" s="648"/>
      <c r="AB140" s="648"/>
      <c r="AC140" s="648"/>
      <c r="AD140" s="648"/>
      <c r="AE140" s="648"/>
      <c r="AF140" s="648"/>
      <c r="AG140" s="648"/>
      <c r="AH140" s="648"/>
      <c r="AI140" s="648"/>
      <c r="AJ140" s="648"/>
      <c r="AK140" s="648"/>
      <c r="AL140" s="648"/>
      <c r="AM140" s="648"/>
      <c r="AN140" s="648"/>
      <c r="AO140" s="648"/>
      <c r="AP140" s="648"/>
      <c r="AQ140" s="648"/>
      <c r="AR140" s="648"/>
      <c r="AS140" s="648"/>
      <c r="AT140" s="648"/>
      <c r="AU140" s="648"/>
      <c r="AV140" s="648"/>
      <c r="AW140" s="648"/>
      <c r="AX140" s="648"/>
      <c r="AY140" s="648"/>
      <c r="AZ140" s="648"/>
      <c r="BA140" s="648"/>
      <c r="BB140" s="648"/>
      <c r="BC140" s="648"/>
      <c r="BD140" s="648"/>
      <c r="BE140" s="648"/>
      <c r="BF140" s="648"/>
      <c r="BG140" s="648"/>
      <c r="BH140" s="648"/>
      <c r="BI140" s="648"/>
      <c r="BJ140" s="648"/>
      <c r="BT140" s="657"/>
      <c r="BU140" s="657"/>
      <c r="BV140" s="657"/>
      <c r="BW140" s="657"/>
    </row>
    <row r="141" s="99" customFormat="true" ht="16.5" hidden="false" customHeight="false" outlineLevel="0" collapsed="false">
      <c r="A141" s="648"/>
      <c r="B141" s="648"/>
      <c r="C141" s="648"/>
      <c r="D141" s="648"/>
      <c r="E141" s="648"/>
      <c r="F141" s="648"/>
      <c r="G141" s="648"/>
      <c r="H141" s="648"/>
      <c r="I141" s="648"/>
      <c r="J141" s="648"/>
      <c r="K141" s="648"/>
      <c r="L141" s="648"/>
      <c r="M141" s="648"/>
      <c r="N141" s="648"/>
      <c r="O141" s="648"/>
      <c r="P141" s="648"/>
      <c r="Q141" s="648"/>
      <c r="R141" s="648"/>
      <c r="S141" s="648"/>
      <c r="T141" s="648"/>
      <c r="U141" s="648"/>
      <c r="V141" s="648"/>
      <c r="W141" s="648"/>
      <c r="X141" s="648"/>
      <c r="Y141" s="648"/>
      <c r="Z141" s="648"/>
      <c r="AA141" s="648"/>
      <c r="AB141" s="648"/>
      <c r="AC141" s="648"/>
      <c r="AD141" s="648"/>
      <c r="AE141" s="648"/>
      <c r="AF141" s="648"/>
      <c r="AG141" s="648"/>
      <c r="AH141" s="648"/>
      <c r="AI141" s="648"/>
      <c r="AJ141" s="648"/>
      <c r="AK141" s="648"/>
      <c r="AL141" s="648"/>
      <c r="AM141" s="648"/>
      <c r="AN141" s="648"/>
      <c r="AO141" s="648"/>
      <c r="AP141" s="648"/>
      <c r="AQ141" s="648"/>
      <c r="AR141" s="648"/>
      <c r="AS141" s="648"/>
      <c r="AT141" s="648"/>
      <c r="AU141" s="648"/>
      <c r="AV141" s="648"/>
      <c r="AW141" s="648"/>
      <c r="AX141" s="648"/>
      <c r="AY141" s="648"/>
      <c r="AZ141" s="648"/>
      <c r="BA141" s="648"/>
      <c r="BB141" s="648"/>
      <c r="BC141" s="648"/>
      <c r="BD141" s="648"/>
      <c r="BE141" s="648"/>
      <c r="BF141" s="648"/>
      <c r="BG141" s="648"/>
      <c r="BH141" s="648"/>
      <c r="BI141" s="648"/>
      <c r="BJ141" s="648"/>
      <c r="BT141" s="657"/>
      <c r="BU141" s="657"/>
      <c r="BV141" s="657"/>
      <c r="BW141" s="657"/>
    </row>
    <row r="142" s="99" customFormat="true" ht="16.5" hidden="false" customHeight="false" outlineLevel="0" collapsed="false">
      <c r="A142" s="648"/>
      <c r="B142" s="648"/>
      <c r="C142" s="648"/>
      <c r="D142" s="648"/>
      <c r="E142" s="648"/>
      <c r="F142" s="648"/>
      <c r="G142" s="648"/>
      <c r="H142" s="648"/>
      <c r="I142" s="648"/>
      <c r="J142" s="648"/>
      <c r="K142" s="648"/>
      <c r="L142" s="648"/>
      <c r="M142" s="648"/>
      <c r="N142" s="648"/>
      <c r="O142" s="648"/>
      <c r="P142" s="648"/>
      <c r="Q142" s="648"/>
      <c r="R142" s="648"/>
      <c r="S142" s="648"/>
      <c r="T142" s="648"/>
      <c r="U142" s="648"/>
      <c r="V142" s="648"/>
      <c r="W142" s="648"/>
      <c r="X142" s="648"/>
      <c r="Y142" s="648"/>
      <c r="Z142" s="648"/>
      <c r="AA142" s="648"/>
      <c r="AB142" s="648"/>
      <c r="AC142" s="648"/>
      <c r="AD142" s="648"/>
      <c r="AE142" s="648"/>
      <c r="AF142" s="648"/>
      <c r="AG142" s="648"/>
      <c r="AH142" s="648"/>
      <c r="AI142" s="648"/>
      <c r="AJ142" s="648"/>
      <c r="AK142" s="648"/>
      <c r="AL142" s="648"/>
      <c r="AM142" s="648"/>
      <c r="AN142" s="648"/>
      <c r="AO142" s="648"/>
      <c r="AP142" s="648"/>
      <c r="AQ142" s="648"/>
      <c r="AR142" s="648"/>
      <c r="AS142" s="648"/>
      <c r="AT142" s="648"/>
      <c r="AU142" s="648"/>
      <c r="AV142" s="648"/>
      <c r="AW142" s="648"/>
      <c r="AX142" s="648"/>
      <c r="AY142" s="648"/>
      <c r="AZ142" s="648"/>
      <c r="BA142" s="648"/>
      <c r="BB142" s="648"/>
      <c r="BC142" s="648"/>
      <c r="BD142" s="648"/>
      <c r="BE142" s="648"/>
      <c r="BF142" s="648"/>
      <c r="BG142" s="648"/>
      <c r="BH142" s="648"/>
      <c r="BI142" s="648"/>
      <c r="BJ142" s="648"/>
      <c r="BT142" s="657"/>
      <c r="BU142" s="657"/>
      <c r="BV142" s="657"/>
      <c r="BW142" s="657"/>
    </row>
    <row r="143" s="99" customFormat="true" ht="16.5" hidden="false" customHeight="false" outlineLevel="0" collapsed="false">
      <c r="A143" s="648"/>
      <c r="B143" s="648"/>
      <c r="C143" s="648"/>
      <c r="D143" s="648"/>
      <c r="E143" s="648"/>
      <c r="F143" s="648"/>
      <c r="G143" s="648"/>
      <c r="H143" s="648"/>
      <c r="I143" s="648"/>
      <c r="J143" s="648"/>
      <c r="K143" s="648"/>
      <c r="L143" s="648"/>
      <c r="M143" s="648"/>
      <c r="N143" s="648"/>
      <c r="O143" s="648"/>
      <c r="P143" s="648"/>
      <c r="Q143" s="648"/>
      <c r="R143" s="648"/>
      <c r="S143" s="648"/>
      <c r="T143" s="648"/>
      <c r="U143" s="648"/>
      <c r="V143" s="648"/>
      <c r="W143" s="648"/>
      <c r="X143" s="648"/>
      <c r="Y143" s="648"/>
      <c r="Z143" s="648"/>
      <c r="AA143" s="648"/>
      <c r="AB143" s="648"/>
      <c r="AC143" s="648"/>
      <c r="AD143" s="648"/>
      <c r="AE143" s="648"/>
      <c r="AF143" s="648"/>
      <c r="AG143" s="648"/>
      <c r="AH143" s="648"/>
      <c r="AI143" s="648"/>
      <c r="AJ143" s="648"/>
      <c r="AK143" s="648"/>
      <c r="AL143" s="648"/>
      <c r="AM143" s="648"/>
      <c r="AN143" s="648"/>
      <c r="AO143" s="648"/>
      <c r="AP143" s="648"/>
      <c r="AQ143" s="648"/>
      <c r="AR143" s="648"/>
      <c r="AS143" s="648"/>
      <c r="AT143" s="648"/>
      <c r="AU143" s="648"/>
      <c r="AV143" s="648"/>
      <c r="AW143" s="648"/>
      <c r="AX143" s="648"/>
      <c r="AY143" s="648"/>
      <c r="AZ143" s="648"/>
      <c r="BA143" s="648"/>
      <c r="BB143" s="648"/>
      <c r="BC143" s="648"/>
      <c r="BD143" s="648"/>
      <c r="BE143" s="648"/>
      <c r="BF143" s="648"/>
      <c r="BG143" s="648"/>
      <c r="BH143" s="648"/>
      <c r="BI143" s="648"/>
      <c r="BJ143" s="648"/>
      <c r="BT143" s="657"/>
      <c r="BU143" s="657"/>
      <c r="BV143" s="657"/>
      <c r="BW143" s="657"/>
    </row>
    <row r="144" s="99" customFormat="true" ht="16.5" hidden="false" customHeight="false" outlineLevel="0" collapsed="false">
      <c r="A144" s="648"/>
      <c r="B144" s="648"/>
      <c r="C144" s="648"/>
      <c r="D144" s="648"/>
      <c r="E144" s="648"/>
      <c r="F144" s="648"/>
      <c r="G144" s="648"/>
      <c r="H144" s="648"/>
      <c r="I144" s="648"/>
      <c r="J144" s="648"/>
      <c r="K144" s="648"/>
      <c r="L144" s="648"/>
      <c r="M144" s="648"/>
      <c r="N144" s="648"/>
      <c r="O144" s="648"/>
      <c r="P144" s="648"/>
      <c r="Q144" s="648"/>
      <c r="R144" s="648"/>
      <c r="S144" s="648"/>
      <c r="T144" s="648"/>
      <c r="U144" s="648"/>
      <c r="V144" s="648"/>
      <c r="W144" s="648"/>
      <c r="X144" s="648"/>
      <c r="Y144" s="648"/>
      <c r="Z144" s="648"/>
      <c r="AA144" s="648"/>
      <c r="AB144" s="648"/>
      <c r="AC144" s="648"/>
      <c r="AD144" s="648"/>
      <c r="AE144" s="648"/>
      <c r="AF144" s="648"/>
      <c r="AG144" s="648"/>
      <c r="AH144" s="648"/>
      <c r="AI144" s="648"/>
      <c r="AJ144" s="648"/>
      <c r="AK144" s="648"/>
      <c r="AL144" s="648"/>
      <c r="AM144" s="648"/>
      <c r="AN144" s="648"/>
      <c r="AO144" s="648"/>
      <c r="AP144" s="648"/>
      <c r="AQ144" s="648"/>
      <c r="AR144" s="648"/>
      <c r="AS144" s="648"/>
      <c r="AT144" s="648"/>
      <c r="AU144" s="648"/>
      <c r="AV144" s="648"/>
      <c r="AW144" s="648"/>
      <c r="AX144" s="648"/>
      <c r="AY144" s="648"/>
      <c r="AZ144" s="648"/>
      <c r="BA144" s="648"/>
      <c r="BB144" s="648"/>
      <c r="BC144" s="648"/>
      <c r="BD144" s="648"/>
      <c r="BE144" s="648"/>
      <c r="BF144" s="648"/>
      <c r="BG144" s="648"/>
      <c r="BH144" s="648"/>
      <c r="BI144" s="648"/>
      <c r="BJ144" s="648"/>
      <c r="BT144" s="657"/>
      <c r="BU144" s="657"/>
      <c r="BV144" s="657"/>
      <c r="BW144" s="657"/>
    </row>
    <row r="145" s="99" customFormat="true" ht="16.5" hidden="false" customHeight="false" outlineLevel="0" collapsed="false">
      <c r="A145" s="648"/>
      <c r="B145" s="648"/>
      <c r="C145" s="648"/>
      <c r="D145" s="648"/>
      <c r="E145" s="648"/>
      <c r="F145" s="648"/>
      <c r="G145" s="648"/>
      <c r="H145" s="648"/>
      <c r="I145" s="648"/>
      <c r="J145" s="648"/>
      <c r="K145" s="648"/>
      <c r="L145" s="648"/>
      <c r="M145" s="648"/>
      <c r="N145" s="648"/>
      <c r="O145" s="648"/>
      <c r="P145" s="648"/>
      <c r="Q145" s="648"/>
      <c r="R145" s="648"/>
      <c r="S145" s="648"/>
      <c r="T145" s="648"/>
      <c r="U145" s="648"/>
      <c r="V145" s="648"/>
      <c r="W145" s="648"/>
      <c r="X145" s="648"/>
      <c r="Y145" s="648"/>
      <c r="Z145" s="648"/>
      <c r="AA145" s="648"/>
      <c r="AB145" s="648"/>
      <c r="AC145" s="648"/>
      <c r="AD145" s="648"/>
      <c r="AE145" s="648"/>
      <c r="AF145" s="648"/>
      <c r="AG145" s="648"/>
      <c r="AH145" s="648"/>
      <c r="AI145" s="648"/>
      <c r="AJ145" s="648"/>
      <c r="AK145" s="648"/>
      <c r="AL145" s="648"/>
      <c r="AM145" s="648"/>
      <c r="AN145" s="648"/>
      <c r="AO145" s="648"/>
      <c r="AP145" s="648"/>
      <c r="AQ145" s="648"/>
      <c r="AR145" s="648"/>
      <c r="AS145" s="648"/>
      <c r="AT145" s="648"/>
      <c r="AU145" s="648"/>
      <c r="AV145" s="648"/>
      <c r="AW145" s="648"/>
      <c r="AX145" s="648"/>
      <c r="AY145" s="648"/>
      <c r="AZ145" s="648"/>
      <c r="BA145" s="648"/>
      <c r="BB145" s="648"/>
      <c r="BC145" s="648"/>
      <c r="BD145" s="648"/>
      <c r="BE145" s="648"/>
      <c r="BF145" s="648"/>
      <c r="BG145" s="648"/>
      <c r="BH145" s="648"/>
      <c r="BI145" s="648"/>
      <c r="BJ145" s="648"/>
      <c r="BT145" s="657"/>
      <c r="BU145" s="657"/>
      <c r="BV145" s="657"/>
      <c r="BW145" s="657"/>
    </row>
    <row r="146" s="99" customFormat="true" ht="16.5" hidden="false" customHeight="false" outlineLevel="0" collapsed="false">
      <c r="A146" s="648"/>
      <c r="B146" s="648"/>
      <c r="C146" s="648"/>
      <c r="D146" s="648"/>
      <c r="E146" s="648"/>
      <c r="F146" s="648"/>
      <c r="G146" s="648"/>
      <c r="H146" s="648"/>
      <c r="I146" s="648"/>
      <c r="J146" s="648"/>
      <c r="K146" s="648"/>
      <c r="L146" s="648"/>
      <c r="M146" s="648"/>
      <c r="N146" s="648"/>
      <c r="O146" s="648"/>
      <c r="P146" s="648"/>
      <c r="Q146" s="648"/>
      <c r="R146" s="648"/>
      <c r="S146" s="648"/>
      <c r="T146" s="648"/>
      <c r="U146" s="648"/>
      <c r="V146" s="648"/>
      <c r="W146" s="648"/>
      <c r="X146" s="648"/>
      <c r="Y146" s="648"/>
      <c r="Z146" s="648"/>
      <c r="AA146" s="648"/>
      <c r="AB146" s="648"/>
      <c r="AC146" s="648"/>
      <c r="AD146" s="648"/>
      <c r="AE146" s="648"/>
      <c r="AF146" s="648"/>
      <c r="AG146" s="648"/>
      <c r="AH146" s="648"/>
      <c r="AI146" s="648"/>
      <c r="AJ146" s="648"/>
      <c r="AK146" s="648"/>
      <c r="AL146" s="648"/>
      <c r="AM146" s="648"/>
      <c r="AN146" s="648"/>
      <c r="AO146" s="648"/>
      <c r="AP146" s="648"/>
      <c r="AQ146" s="648"/>
      <c r="AR146" s="648"/>
      <c r="AS146" s="648"/>
      <c r="AT146" s="648"/>
      <c r="AU146" s="648"/>
      <c r="AV146" s="648"/>
      <c r="AW146" s="648"/>
      <c r="AX146" s="648"/>
      <c r="AY146" s="648"/>
      <c r="AZ146" s="648"/>
      <c r="BA146" s="648"/>
      <c r="BB146" s="648"/>
      <c r="BC146" s="648"/>
      <c r="BD146" s="648"/>
      <c r="BE146" s="648"/>
      <c r="BF146" s="648"/>
      <c r="BG146" s="648"/>
      <c r="BH146" s="648"/>
      <c r="BI146" s="648"/>
      <c r="BJ146" s="648"/>
      <c r="BT146" s="657"/>
      <c r="BU146" s="657"/>
      <c r="BV146" s="657"/>
      <c r="BW146" s="657"/>
    </row>
    <row r="147" s="99" customFormat="true" ht="16.5" hidden="false" customHeight="false" outlineLevel="0" collapsed="false">
      <c r="A147" s="648"/>
      <c r="B147" s="648"/>
      <c r="C147" s="648"/>
      <c r="D147" s="648"/>
      <c r="E147" s="648"/>
      <c r="F147" s="648"/>
      <c r="G147" s="648"/>
      <c r="H147" s="648"/>
      <c r="I147" s="648"/>
      <c r="J147" s="648"/>
      <c r="K147" s="648"/>
      <c r="L147" s="648"/>
      <c r="M147" s="648"/>
      <c r="N147" s="648"/>
      <c r="O147" s="648"/>
      <c r="P147" s="648"/>
      <c r="Q147" s="648"/>
      <c r="R147" s="648"/>
      <c r="S147" s="648"/>
      <c r="T147" s="648"/>
      <c r="U147" s="648"/>
      <c r="V147" s="648"/>
      <c r="W147" s="648"/>
      <c r="X147" s="648"/>
      <c r="Y147" s="648"/>
      <c r="Z147" s="648"/>
      <c r="AA147" s="648"/>
      <c r="AB147" s="648"/>
      <c r="AC147" s="648"/>
      <c r="AD147" s="648"/>
      <c r="AE147" s="648"/>
      <c r="AF147" s="648"/>
      <c r="AG147" s="648"/>
      <c r="AH147" s="648"/>
      <c r="AI147" s="648"/>
      <c r="AJ147" s="648"/>
      <c r="AK147" s="648"/>
      <c r="AL147" s="648"/>
      <c r="AM147" s="648"/>
      <c r="AN147" s="648"/>
      <c r="AO147" s="648"/>
      <c r="AP147" s="648"/>
      <c r="AQ147" s="648"/>
      <c r="AR147" s="648"/>
      <c r="AS147" s="648"/>
      <c r="AT147" s="648"/>
      <c r="AU147" s="648"/>
      <c r="AV147" s="648"/>
      <c r="AW147" s="648"/>
      <c r="AX147" s="648"/>
      <c r="AY147" s="648"/>
      <c r="AZ147" s="648"/>
      <c r="BA147" s="648"/>
      <c r="BB147" s="648"/>
      <c r="BC147" s="648"/>
      <c r="BD147" s="648"/>
      <c r="BE147" s="648"/>
      <c r="BF147" s="648"/>
      <c r="BG147" s="648"/>
      <c r="BH147" s="648"/>
      <c r="BI147" s="648"/>
      <c r="BJ147" s="648"/>
      <c r="BT147" s="657"/>
      <c r="BU147" s="657"/>
      <c r="BV147" s="657"/>
      <c r="BW147" s="657"/>
    </row>
    <row r="148" s="99" customFormat="true" ht="16.5" hidden="false" customHeight="false" outlineLevel="0" collapsed="false">
      <c r="A148" s="648"/>
      <c r="B148" s="648"/>
      <c r="C148" s="648"/>
      <c r="D148" s="648"/>
      <c r="E148" s="648"/>
      <c r="F148" s="648"/>
      <c r="G148" s="648"/>
      <c r="H148" s="648"/>
      <c r="I148" s="648"/>
      <c r="J148" s="648"/>
      <c r="K148" s="648"/>
      <c r="L148" s="648"/>
      <c r="M148" s="648"/>
      <c r="N148" s="648"/>
      <c r="O148" s="648"/>
      <c r="P148" s="648"/>
      <c r="Q148" s="648"/>
      <c r="R148" s="648"/>
      <c r="S148" s="648"/>
      <c r="T148" s="648"/>
      <c r="U148" s="648"/>
      <c r="V148" s="648"/>
      <c r="W148" s="648"/>
      <c r="X148" s="648"/>
      <c r="Y148" s="648"/>
      <c r="Z148" s="648"/>
      <c r="AA148" s="648"/>
      <c r="AB148" s="648"/>
      <c r="AC148" s="648"/>
      <c r="AD148" s="648"/>
      <c r="AE148" s="648"/>
      <c r="AF148" s="648"/>
      <c r="AG148" s="648"/>
      <c r="AH148" s="648"/>
      <c r="AI148" s="648"/>
      <c r="AJ148" s="648"/>
      <c r="AK148" s="648"/>
      <c r="AL148" s="648"/>
      <c r="AM148" s="648"/>
      <c r="AN148" s="648"/>
      <c r="AO148" s="648"/>
      <c r="AP148" s="648"/>
      <c r="AQ148" s="648"/>
      <c r="AR148" s="648"/>
      <c r="AS148" s="648"/>
      <c r="AT148" s="648"/>
      <c r="AU148" s="648"/>
      <c r="AV148" s="648"/>
      <c r="AW148" s="648"/>
      <c r="AX148" s="648"/>
      <c r="AY148" s="648"/>
      <c r="AZ148" s="648"/>
      <c r="BA148" s="648"/>
      <c r="BB148" s="648"/>
      <c r="BC148" s="648"/>
      <c r="BD148" s="648"/>
      <c r="BE148" s="648"/>
      <c r="BF148" s="648"/>
      <c r="BG148" s="648"/>
      <c r="BH148" s="648"/>
      <c r="BI148" s="648"/>
      <c r="BJ148" s="648"/>
      <c r="BT148" s="657"/>
      <c r="BU148" s="657"/>
      <c r="BV148" s="657"/>
      <c r="BW148" s="657"/>
    </row>
    <row r="149" s="99" customFormat="true" ht="16.5" hidden="false" customHeight="false" outlineLevel="0" collapsed="false">
      <c r="A149" s="648"/>
      <c r="B149" s="648"/>
      <c r="C149" s="648"/>
      <c r="D149" s="648"/>
      <c r="E149" s="648"/>
      <c r="F149" s="648"/>
      <c r="G149" s="648"/>
      <c r="H149" s="648"/>
      <c r="I149" s="648"/>
      <c r="J149" s="648"/>
      <c r="K149" s="648"/>
      <c r="L149" s="648"/>
      <c r="M149" s="648"/>
      <c r="N149" s="648"/>
      <c r="O149" s="648"/>
      <c r="P149" s="648"/>
      <c r="Q149" s="648"/>
      <c r="R149" s="648"/>
      <c r="S149" s="648"/>
      <c r="T149" s="648"/>
      <c r="U149" s="648"/>
      <c r="V149" s="648"/>
      <c r="W149" s="648"/>
      <c r="X149" s="648"/>
      <c r="Y149" s="648"/>
      <c r="Z149" s="648"/>
      <c r="AA149" s="648"/>
      <c r="AB149" s="648"/>
      <c r="AC149" s="648"/>
      <c r="AD149" s="648"/>
      <c r="AE149" s="648"/>
      <c r="AF149" s="648"/>
      <c r="AG149" s="648"/>
      <c r="AH149" s="648"/>
      <c r="AI149" s="648"/>
      <c r="AJ149" s="648"/>
      <c r="AK149" s="648"/>
      <c r="AL149" s="648"/>
      <c r="AM149" s="648"/>
      <c r="AN149" s="648"/>
      <c r="AO149" s="648"/>
      <c r="AP149" s="648"/>
      <c r="AQ149" s="648"/>
      <c r="AR149" s="648"/>
      <c r="AS149" s="648"/>
      <c r="AT149" s="648"/>
      <c r="AU149" s="648"/>
      <c r="AV149" s="648"/>
      <c r="AW149" s="648"/>
      <c r="AX149" s="648"/>
      <c r="AY149" s="648"/>
      <c r="AZ149" s="648"/>
      <c r="BA149" s="648"/>
      <c r="BB149" s="648"/>
      <c r="BC149" s="648"/>
      <c r="BD149" s="648"/>
      <c r="BE149" s="648"/>
      <c r="BF149" s="648"/>
      <c r="BG149" s="648"/>
      <c r="BH149" s="648"/>
      <c r="BI149" s="648"/>
      <c r="BJ149" s="648"/>
      <c r="BT149" s="657"/>
      <c r="BU149" s="657"/>
      <c r="BV149" s="657"/>
      <c r="BW149" s="657"/>
    </row>
    <row r="150" s="99" customFormat="true" ht="16.5" hidden="false" customHeight="false" outlineLevel="0" collapsed="false">
      <c r="A150" s="648"/>
      <c r="B150" s="648"/>
      <c r="C150" s="648"/>
      <c r="D150" s="648"/>
      <c r="E150" s="648"/>
      <c r="F150" s="648"/>
      <c r="G150" s="648"/>
      <c r="H150" s="648"/>
      <c r="I150" s="648"/>
      <c r="J150" s="648"/>
      <c r="K150" s="648"/>
      <c r="L150" s="648"/>
      <c r="M150" s="648"/>
      <c r="N150" s="648"/>
      <c r="O150" s="648"/>
      <c r="P150" s="648"/>
      <c r="Q150" s="648"/>
      <c r="R150" s="648"/>
      <c r="S150" s="648"/>
      <c r="T150" s="648"/>
      <c r="U150" s="648"/>
      <c r="V150" s="648"/>
      <c r="W150" s="648"/>
      <c r="X150" s="648"/>
      <c r="Y150" s="648"/>
      <c r="Z150" s="648"/>
      <c r="AA150" s="648"/>
      <c r="AB150" s="648"/>
      <c r="AC150" s="648"/>
      <c r="AD150" s="648"/>
      <c r="AE150" s="648"/>
      <c r="AF150" s="648"/>
      <c r="AG150" s="648"/>
      <c r="AH150" s="648"/>
      <c r="AI150" s="648"/>
      <c r="AJ150" s="648"/>
      <c r="AK150" s="648"/>
      <c r="AL150" s="648"/>
      <c r="AM150" s="648"/>
      <c r="AN150" s="648"/>
      <c r="AO150" s="648"/>
      <c r="AP150" s="648"/>
      <c r="AQ150" s="648"/>
      <c r="AR150" s="648"/>
      <c r="AS150" s="648"/>
      <c r="AT150" s="648"/>
      <c r="AU150" s="648"/>
      <c r="AV150" s="648"/>
      <c r="AW150" s="648"/>
      <c r="AX150" s="648"/>
      <c r="AY150" s="648"/>
      <c r="AZ150" s="648"/>
      <c r="BA150" s="648"/>
      <c r="BB150" s="648"/>
      <c r="BC150" s="648"/>
      <c r="BD150" s="648"/>
      <c r="BE150" s="648"/>
      <c r="BF150" s="648"/>
      <c r="BG150" s="648"/>
      <c r="BH150" s="648"/>
      <c r="BI150" s="648"/>
      <c r="BJ150" s="648"/>
      <c r="BT150" s="657"/>
      <c r="BU150" s="657"/>
      <c r="BV150" s="657"/>
      <c r="BW150" s="657"/>
    </row>
    <row r="151" s="99" customFormat="true" ht="16.5" hidden="false" customHeight="false" outlineLevel="0" collapsed="false">
      <c r="A151" s="648"/>
      <c r="B151" s="648"/>
      <c r="C151" s="648"/>
      <c r="D151" s="648"/>
      <c r="E151" s="648"/>
      <c r="F151" s="648"/>
      <c r="G151" s="648"/>
      <c r="H151" s="648"/>
      <c r="I151" s="648"/>
      <c r="J151" s="648"/>
      <c r="K151" s="648"/>
      <c r="L151" s="648"/>
      <c r="M151" s="648"/>
      <c r="N151" s="648"/>
      <c r="O151" s="648"/>
      <c r="P151" s="648"/>
      <c r="Q151" s="648"/>
      <c r="R151" s="648"/>
      <c r="S151" s="648"/>
      <c r="T151" s="648"/>
      <c r="U151" s="648"/>
      <c r="V151" s="648"/>
      <c r="W151" s="648"/>
      <c r="X151" s="648"/>
      <c r="Y151" s="648"/>
      <c r="Z151" s="648"/>
      <c r="AA151" s="648"/>
      <c r="AB151" s="648"/>
      <c r="AC151" s="648"/>
      <c r="AD151" s="648"/>
      <c r="AE151" s="648"/>
      <c r="AF151" s="648"/>
      <c r="AG151" s="648"/>
      <c r="AH151" s="648"/>
      <c r="AI151" s="648"/>
      <c r="AJ151" s="648"/>
      <c r="AK151" s="648"/>
      <c r="AL151" s="648"/>
      <c r="AM151" s="648"/>
      <c r="AN151" s="648"/>
      <c r="AO151" s="648"/>
      <c r="AP151" s="648"/>
      <c r="AQ151" s="648"/>
      <c r="AR151" s="648"/>
      <c r="AS151" s="648"/>
      <c r="AT151" s="648"/>
      <c r="AU151" s="648"/>
      <c r="AV151" s="648"/>
      <c r="AW151" s="648"/>
      <c r="AX151" s="648"/>
      <c r="AY151" s="648"/>
      <c r="AZ151" s="648"/>
      <c r="BA151" s="648"/>
      <c r="BB151" s="648"/>
      <c r="BC151" s="648"/>
      <c r="BD151" s="648"/>
      <c r="BE151" s="648"/>
      <c r="BF151" s="648"/>
      <c r="BG151" s="648"/>
      <c r="BH151" s="648"/>
      <c r="BI151" s="648"/>
      <c r="BJ151" s="648"/>
      <c r="BT151" s="657"/>
      <c r="BU151" s="657"/>
      <c r="BV151" s="657"/>
      <c r="BW151" s="657"/>
    </row>
    <row r="152" s="99" customFormat="true" ht="16.5" hidden="false" customHeight="false" outlineLevel="0" collapsed="false">
      <c r="A152" s="648"/>
      <c r="B152" s="648"/>
      <c r="C152" s="648"/>
      <c r="D152" s="648"/>
      <c r="E152" s="648"/>
      <c r="F152" s="648"/>
      <c r="G152" s="648"/>
      <c r="H152" s="648"/>
      <c r="I152" s="648"/>
      <c r="J152" s="648"/>
      <c r="K152" s="648"/>
      <c r="L152" s="648"/>
      <c r="M152" s="648"/>
      <c r="N152" s="648"/>
      <c r="O152" s="648"/>
      <c r="P152" s="648"/>
      <c r="Q152" s="648"/>
      <c r="R152" s="648"/>
      <c r="S152" s="648"/>
      <c r="T152" s="648"/>
      <c r="U152" s="648"/>
      <c r="V152" s="648"/>
      <c r="W152" s="648"/>
      <c r="X152" s="648"/>
      <c r="Y152" s="648"/>
      <c r="Z152" s="648"/>
      <c r="AA152" s="648"/>
      <c r="AB152" s="648"/>
      <c r="AC152" s="648"/>
      <c r="AD152" s="648"/>
      <c r="AE152" s="648"/>
      <c r="AF152" s="648"/>
      <c r="AG152" s="648"/>
      <c r="AH152" s="648"/>
      <c r="AI152" s="648"/>
      <c r="AJ152" s="648"/>
      <c r="AK152" s="648"/>
      <c r="AL152" s="648"/>
      <c r="AM152" s="648"/>
      <c r="AN152" s="648"/>
      <c r="AO152" s="648"/>
      <c r="AP152" s="648"/>
      <c r="AQ152" s="648"/>
      <c r="AR152" s="648"/>
      <c r="AS152" s="648"/>
      <c r="AT152" s="648"/>
      <c r="AU152" s="648"/>
      <c r="AV152" s="648"/>
      <c r="AW152" s="648"/>
      <c r="AX152" s="648"/>
      <c r="AY152" s="648"/>
      <c r="AZ152" s="648"/>
      <c r="BA152" s="648"/>
      <c r="BB152" s="648"/>
      <c r="BC152" s="648"/>
      <c r="BD152" s="648"/>
      <c r="BE152" s="648"/>
      <c r="BF152" s="648"/>
      <c r="BG152" s="648"/>
      <c r="BH152" s="648"/>
      <c r="BI152" s="648"/>
      <c r="BJ152" s="648"/>
      <c r="BT152" s="657"/>
      <c r="BU152" s="657"/>
      <c r="BV152" s="657"/>
      <c r="BW152" s="657"/>
    </row>
    <row r="153" s="99" customFormat="true" ht="16.5" hidden="false" customHeight="false" outlineLevel="0" collapsed="false">
      <c r="A153" s="648"/>
      <c r="B153" s="648"/>
      <c r="C153" s="648"/>
      <c r="D153" s="648"/>
      <c r="E153" s="648"/>
      <c r="F153" s="648"/>
      <c r="G153" s="648"/>
      <c r="H153" s="648"/>
      <c r="I153" s="648"/>
      <c r="J153" s="648"/>
      <c r="K153" s="648"/>
      <c r="L153" s="648"/>
      <c r="M153" s="648"/>
      <c r="N153" s="648"/>
      <c r="O153" s="648"/>
      <c r="P153" s="648"/>
      <c r="Q153" s="648"/>
      <c r="R153" s="648"/>
      <c r="S153" s="648"/>
      <c r="T153" s="648"/>
      <c r="U153" s="648"/>
      <c r="V153" s="648"/>
      <c r="W153" s="648"/>
      <c r="X153" s="648"/>
      <c r="Y153" s="648"/>
      <c r="Z153" s="648"/>
      <c r="AA153" s="648"/>
      <c r="AB153" s="648"/>
      <c r="AC153" s="648"/>
      <c r="AD153" s="648"/>
      <c r="AE153" s="648"/>
      <c r="AF153" s="648"/>
      <c r="AG153" s="648"/>
      <c r="AH153" s="648"/>
      <c r="AI153" s="648"/>
      <c r="AJ153" s="648"/>
      <c r="AK153" s="648"/>
      <c r="AL153" s="648"/>
      <c r="AM153" s="648"/>
      <c r="AN153" s="648"/>
      <c r="AO153" s="648"/>
      <c r="AP153" s="648"/>
      <c r="AQ153" s="648"/>
      <c r="AR153" s="648"/>
      <c r="AS153" s="648"/>
      <c r="AT153" s="648"/>
      <c r="AU153" s="648"/>
      <c r="AV153" s="648"/>
      <c r="AW153" s="648"/>
      <c r="AX153" s="648"/>
      <c r="AY153" s="648"/>
      <c r="AZ153" s="648"/>
      <c r="BA153" s="648"/>
      <c r="BB153" s="648"/>
      <c r="BC153" s="648"/>
      <c r="BD153" s="648"/>
      <c r="BE153" s="648"/>
      <c r="BF153" s="648"/>
      <c r="BG153" s="648"/>
      <c r="BH153" s="648"/>
      <c r="BI153" s="648"/>
      <c r="BJ153" s="648"/>
      <c r="BT153" s="657"/>
      <c r="BU153" s="657"/>
      <c r="BV153" s="657"/>
      <c r="BW153" s="657"/>
    </row>
    <row r="154" s="99" customFormat="true" ht="16.5" hidden="false" customHeight="false" outlineLevel="0" collapsed="false">
      <c r="A154" s="648"/>
      <c r="B154" s="648"/>
      <c r="C154" s="648"/>
      <c r="D154" s="648"/>
      <c r="E154" s="648"/>
      <c r="F154" s="648"/>
      <c r="G154" s="648"/>
      <c r="H154" s="648"/>
      <c r="I154" s="648"/>
      <c r="J154" s="648"/>
      <c r="K154" s="648"/>
      <c r="L154" s="648"/>
      <c r="M154" s="648"/>
      <c r="N154" s="648"/>
      <c r="O154" s="648"/>
      <c r="P154" s="648"/>
      <c r="Q154" s="648"/>
      <c r="R154" s="648"/>
      <c r="S154" s="648"/>
      <c r="T154" s="648"/>
      <c r="U154" s="648"/>
      <c r="V154" s="648"/>
      <c r="W154" s="648"/>
      <c r="X154" s="648"/>
      <c r="Y154" s="648"/>
      <c r="Z154" s="648"/>
      <c r="AA154" s="648"/>
      <c r="AB154" s="648"/>
      <c r="AC154" s="648"/>
      <c r="AD154" s="648"/>
      <c r="AE154" s="648"/>
      <c r="AF154" s="648"/>
      <c r="AG154" s="648"/>
      <c r="AH154" s="648"/>
      <c r="AI154" s="648"/>
      <c r="AJ154" s="648"/>
      <c r="AK154" s="648"/>
      <c r="AL154" s="648"/>
      <c r="AM154" s="648"/>
      <c r="AN154" s="648"/>
      <c r="AO154" s="648"/>
      <c r="AP154" s="648"/>
      <c r="AQ154" s="648"/>
      <c r="AR154" s="648"/>
      <c r="AS154" s="648"/>
      <c r="AT154" s="648"/>
      <c r="AU154" s="648"/>
      <c r="AV154" s="648"/>
      <c r="AW154" s="648"/>
      <c r="AX154" s="648"/>
      <c r="AY154" s="648"/>
      <c r="AZ154" s="648"/>
      <c r="BA154" s="648"/>
      <c r="BB154" s="648"/>
      <c r="BC154" s="648"/>
      <c r="BD154" s="648"/>
      <c r="BE154" s="648"/>
      <c r="BF154" s="648"/>
      <c r="BG154" s="648"/>
      <c r="BH154" s="648"/>
      <c r="BI154" s="648"/>
      <c r="BJ154" s="648"/>
      <c r="BT154" s="657"/>
      <c r="BU154" s="657"/>
      <c r="BV154" s="657"/>
      <c r="BW154" s="657"/>
    </row>
    <row r="155" s="99" customFormat="true" ht="16.5" hidden="false" customHeight="false" outlineLevel="0" collapsed="false">
      <c r="A155" s="648"/>
      <c r="B155" s="648"/>
      <c r="C155" s="648"/>
      <c r="D155" s="648"/>
      <c r="E155" s="648"/>
      <c r="F155" s="648"/>
      <c r="G155" s="648"/>
      <c r="H155" s="648"/>
      <c r="I155" s="648"/>
      <c r="J155" s="648"/>
      <c r="K155" s="648"/>
      <c r="L155" s="648"/>
      <c r="M155" s="648"/>
      <c r="N155" s="648"/>
      <c r="O155" s="648"/>
      <c r="P155" s="648"/>
      <c r="Q155" s="648"/>
      <c r="R155" s="648"/>
      <c r="S155" s="648"/>
      <c r="T155" s="648"/>
      <c r="U155" s="648"/>
      <c r="V155" s="648"/>
      <c r="W155" s="648"/>
      <c r="X155" s="648"/>
      <c r="Y155" s="648"/>
      <c r="Z155" s="648"/>
      <c r="AA155" s="648"/>
      <c r="AB155" s="648"/>
      <c r="AC155" s="648"/>
      <c r="AD155" s="648"/>
      <c r="AE155" s="648"/>
      <c r="AF155" s="648"/>
      <c r="AG155" s="648"/>
      <c r="AH155" s="648"/>
      <c r="AI155" s="648"/>
      <c r="AJ155" s="648"/>
      <c r="AK155" s="648"/>
      <c r="AL155" s="648"/>
      <c r="AM155" s="648"/>
      <c r="AN155" s="648"/>
      <c r="AO155" s="648"/>
      <c r="AP155" s="648"/>
      <c r="AQ155" s="648"/>
      <c r="AR155" s="648"/>
      <c r="AS155" s="648"/>
      <c r="AT155" s="648"/>
      <c r="AU155" s="648"/>
      <c r="AV155" s="648"/>
      <c r="AW155" s="648"/>
      <c r="AX155" s="648"/>
      <c r="AY155" s="648"/>
      <c r="AZ155" s="648"/>
      <c r="BA155" s="648"/>
      <c r="BB155" s="648"/>
      <c r="BC155" s="648"/>
      <c r="BD155" s="648"/>
      <c r="BE155" s="648"/>
      <c r="BF155" s="648"/>
      <c r="BG155" s="648"/>
      <c r="BH155" s="648"/>
      <c r="BI155" s="648"/>
      <c r="BJ155" s="648"/>
      <c r="BT155" s="657"/>
      <c r="BU155" s="657"/>
      <c r="BV155" s="657"/>
      <c r="BW155" s="657"/>
    </row>
    <row r="156" s="99" customFormat="true" ht="16.5" hidden="false" customHeight="false" outlineLevel="0" collapsed="false">
      <c r="A156" s="648"/>
      <c r="B156" s="648"/>
      <c r="C156" s="648"/>
      <c r="D156" s="648"/>
      <c r="E156" s="648"/>
      <c r="F156" s="648"/>
      <c r="G156" s="648"/>
      <c r="H156" s="648"/>
      <c r="I156" s="648"/>
      <c r="J156" s="648"/>
      <c r="K156" s="648"/>
      <c r="L156" s="648"/>
      <c r="M156" s="648"/>
      <c r="N156" s="648"/>
      <c r="O156" s="648"/>
      <c r="P156" s="648"/>
      <c r="Q156" s="648"/>
      <c r="R156" s="648"/>
      <c r="S156" s="648"/>
      <c r="T156" s="648"/>
      <c r="U156" s="648"/>
      <c r="V156" s="648"/>
      <c r="W156" s="648"/>
      <c r="X156" s="648"/>
      <c r="Y156" s="648"/>
      <c r="Z156" s="648"/>
      <c r="AA156" s="648"/>
      <c r="AB156" s="648"/>
      <c r="AC156" s="648"/>
      <c r="AD156" s="648"/>
      <c r="AE156" s="648"/>
      <c r="AF156" s="648"/>
      <c r="AG156" s="648"/>
      <c r="AH156" s="648"/>
      <c r="AI156" s="648"/>
      <c r="AJ156" s="648"/>
      <c r="AK156" s="648"/>
      <c r="AL156" s="648"/>
      <c r="AM156" s="648"/>
      <c r="AN156" s="648"/>
      <c r="AO156" s="648"/>
      <c r="AP156" s="648"/>
      <c r="AQ156" s="648"/>
      <c r="AR156" s="648"/>
      <c r="AS156" s="648"/>
      <c r="AT156" s="648"/>
      <c r="AU156" s="648"/>
      <c r="AV156" s="648"/>
      <c r="AW156" s="648"/>
      <c r="AX156" s="648"/>
      <c r="AY156" s="648"/>
      <c r="AZ156" s="648"/>
      <c r="BA156" s="648"/>
      <c r="BB156" s="648"/>
      <c r="BC156" s="648"/>
      <c r="BD156" s="648"/>
      <c r="BE156" s="648"/>
      <c r="BF156" s="648"/>
      <c r="BG156" s="648"/>
      <c r="BH156" s="648"/>
      <c r="BI156" s="648"/>
      <c r="BJ156" s="648"/>
      <c r="BT156" s="657"/>
      <c r="BU156" s="657"/>
      <c r="BV156" s="657"/>
      <c r="BW156" s="657"/>
    </row>
    <row r="157" s="99" customFormat="true" ht="16.5" hidden="false" customHeight="false" outlineLevel="0" collapsed="false">
      <c r="A157" s="648"/>
      <c r="B157" s="648"/>
      <c r="C157" s="648"/>
      <c r="D157" s="648"/>
      <c r="E157" s="648"/>
      <c r="F157" s="648"/>
      <c r="G157" s="648"/>
      <c r="H157" s="648"/>
      <c r="I157" s="648"/>
      <c r="J157" s="648"/>
      <c r="K157" s="648"/>
      <c r="L157" s="648"/>
      <c r="M157" s="648"/>
      <c r="N157" s="648"/>
      <c r="O157" s="648"/>
      <c r="P157" s="648"/>
      <c r="Q157" s="648"/>
      <c r="R157" s="648"/>
      <c r="S157" s="648"/>
      <c r="T157" s="648"/>
      <c r="U157" s="648"/>
      <c r="V157" s="648"/>
      <c r="W157" s="648"/>
      <c r="X157" s="648"/>
      <c r="Y157" s="648"/>
      <c r="Z157" s="648"/>
      <c r="AA157" s="648"/>
      <c r="AB157" s="648"/>
      <c r="AC157" s="648"/>
      <c r="AD157" s="648"/>
      <c r="AE157" s="648"/>
      <c r="AF157" s="648"/>
      <c r="AG157" s="648"/>
      <c r="AH157" s="648"/>
      <c r="AI157" s="648"/>
      <c r="AJ157" s="648"/>
      <c r="AK157" s="648"/>
      <c r="AL157" s="648"/>
      <c r="AM157" s="648"/>
      <c r="AN157" s="648"/>
      <c r="AO157" s="648"/>
      <c r="AP157" s="648"/>
      <c r="AQ157" s="648"/>
      <c r="AR157" s="648"/>
      <c r="AS157" s="648"/>
      <c r="AT157" s="648"/>
      <c r="AU157" s="648"/>
      <c r="AV157" s="648"/>
      <c r="AW157" s="648"/>
      <c r="AX157" s="648"/>
      <c r="AY157" s="648"/>
      <c r="AZ157" s="648"/>
      <c r="BA157" s="648"/>
      <c r="BB157" s="648"/>
      <c r="BC157" s="648"/>
      <c r="BD157" s="648"/>
      <c r="BE157" s="648"/>
      <c r="BF157" s="648"/>
      <c r="BG157" s="648"/>
      <c r="BH157" s="648"/>
      <c r="BI157" s="648"/>
      <c r="BJ157" s="648"/>
      <c r="BT157" s="657"/>
      <c r="BU157" s="657"/>
      <c r="BV157" s="657"/>
      <c r="BW157" s="657"/>
    </row>
    <row r="158" s="99" customFormat="true" ht="16.5" hidden="false" customHeight="false" outlineLevel="0" collapsed="false">
      <c r="A158" s="648"/>
      <c r="B158" s="648"/>
      <c r="C158" s="648"/>
      <c r="D158" s="648"/>
      <c r="E158" s="648"/>
      <c r="F158" s="648"/>
      <c r="G158" s="648"/>
      <c r="H158" s="648"/>
      <c r="I158" s="648"/>
      <c r="J158" s="648"/>
      <c r="K158" s="648"/>
      <c r="L158" s="648"/>
      <c r="M158" s="648"/>
      <c r="N158" s="648"/>
      <c r="O158" s="648"/>
      <c r="P158" s="648"/>
      <c r="Q158" s="648"/>
      <c r="R158" s="648"/>
      <c r="S158" s="648"/>
      <c r="T158" s="648"/>
      <c r="U158" s="648"/>
      <c r="V158" s="648"/>
      <c r="W158" s="648"/>
      <c r="X158" s="648"/>
      <c r="Y158" s="648"/>
      <c r="Z158" s="648"/>
      <c r="AA158" s="648"/>
      <c r="AB158" s="648"/>
      <c r="AC158" s="648"/>
      <c r="AD158" s="648"/>
      <c r="AE158" s="648"/>
      <c r="AF158" s="648"/>
      <c r="AG158" s="648"/>
      <c r="AH158" s="648"/>
      <c r="AI158" s="648"/>
      <c r="AJ158" s="648"/>
      <c r="AK158" s="648"/>
      <c r="AL158" s="648"/>
      <c r="AM158" s="648"/>
      <c r="AN158" s="648"/>
      <c r="AO158" s="648"/>
      <c r="AP158" s="648"/>
      <c r="AQ158" s="648"/>
      <c r="AR158" s="648"/>
      <c r="AS158" s="648"/>
      <c r="AT158" s="648"/>
      <c r="AU158" s="648"/>
      <c r="AV158" s="648"/>
      <c r="AW158" s="648"/>
      <c r="AX158" s="648"/>
      <c r="AY158" s="648"/>
      <c r="AZ158" s="648"/>
      <c r="BA158" s="648"/>
      <c r="BB158" s="648"/>
      <c r="BC158" s="648"/>
      <c r="BD158" s="648"/>
      <c r="BE158" s="648"/>
      <c r="BF158" s="648"/>
      <c r="BG158" s="648"/>
      <c r="BH158" s="648"/>
      <c r="BI158" s="648"/>
      <c r="BJ158" s="648"/>
      <c r="BT158" s="657"/>
      <c r="BU158" s="657"/>
      <c r="BV158" s="657"/>
      <c r="BW158" s="657"/>
    </row>
    <row r="159" s="99" customFormat="true" ht="16.5" hidden="false" customHeight="false" outlineLevel="0" collapsed="false">
      <c r="A159" s="648"/>
      <c r="B159" s="648"/>
      <c r="C159" s="648"/>
      <c r="D159" s="648"/>
      <c r="E159" s="648"/>
      <c r="F159" s="648"/>
      <c r="G159" s="648"/>
      <c r="H159" s="648"/>
      <c r="I159" s="648"/>
      <c r="J159" s="648"/>
      <c r="K159" s="648"/>
      <c r="L159" s="648"/>
      <c r="M159" s="648"/>
      <c r="N159" s="648"/>
      <c r="O159" s="648"/>
      <c r="P159" s="648"/>
      <c r="Q159" s="648"/>
      <c r="R159" s="648"/>
      <c r="S159" s="648"/>
      <c r="T159" s="648"/>
      <c r="U159" s="648"/>
      <c r="V159" s="648"/>
      <c r="W159" s="648"/>
      <c r="X159" s="648"/>
      <c r="Y159" s="648"/>
      <c r="Z159" s="648"/>
      <c r="AA159" s="648"/>
      <c r="AB159" s="648"/>
      <c r="AC159" s="648"/>
      <c r="AD159" s="648"/>
      <c r="AE159" s="648"/>
      <c r="AF159" s="648"/>
      <c r="AG159" s="648"/>
      <c r="AH159" s="648"/>
      <c r="AI159" s="648"/>
      <c r="AJ159" s="648"/>
      <c r="AK159" s="648"/>
      <c r="AL159" s="648"/>
      <c r="AM159" s="648"/>
      <c r="AN159" s="648"/>
      <c r="AO159" s="648"/>
      <c r="AP159" s="648"/>
      <c r="AQ159" s="648"/>
      <c r="AR159" s="648"/>
      <c r="AS159" s="648"/>
      <c r="AT159" s="648"/>
      <c r="AU159" s="648"/>
      <c r="AV159" s="648"/>
      <c r="AW159" s="648"/>
      <c r="AX159" s="648"/>
      <c r="AY159" s="648"/>
      <c r="AZ159" s="648"/>
      <c r="BA159" s="648"/>
      <c r="BB159" s="648"/>
      <c r="BC159" s="648"/>
      <c r="BD159" s="648"/>
      <c r="BE159" s="648"/>
      <c r="BF159" s="648"/>
      <c r="BG159" s="648"/>
      <c r="BH159" s="648"/>
      <c r="BI159" s="648"/>
      <c r="BJ159" s="648"/>
      <c r="BT159" s="657"/>
      <c r="BU159" s="657"/>
      <c r="BV159" s="657"/>
      <c r="BW159" s="657"/>
    </row>
    <row r="160" s="99" customFormat="true" ht="16.5" hidden="false" customHeight="false" outlineLevel="0" collapsed="false">
      <c r="A160" s="648"/>
      <c r="B160" s="648"/>
      <c r="C160" s="648"/>
      <c r="D160" s="648"/>
      <c r="E160" s="648"/>
      <c r="F160" s="648"/>
      <c r="G160" s="648"/>
      <c r="H160" s="648"/>
      <c r="I160" s="648"/>
      <c r="J160" s="648"/>
      <c r="K160" s="648"/>
      <c r="L160" s="648"/>
      <c r="M160" s="648"/>
      <c r="N160" s="648"/>
      <c r="O160" s="648"/>
      <c r="P160" s="648"/>
      <c r="Q160" s="648"/>
      <c r="R160" s="648"/>
      <c r="S160" s="648"/>
      <c r="T160" s="648"/>
      <c r="U160" s="648"/>
      <c r="V160" s="648"/>
      <c r="W160" s="648"/>
      <c r="X160" s="648"/>
      <c r="Y160" s="648"/>
      <c r="Z160" s="648"/>
      <c r="AA160" s="648"/>
      <c r="AB160" s="648"/>
      <c r="AC160" s="648"/>
      <c r="AD160" s="648"/>
      <c r="AE160" s="648"/>
      <c r="AF160" s="648"/>
      <c r="AG160" s="648"/>
      <c r="AH160" s="648"/>
      <c r="AI160" s="648"/>
      <c r="AJ160" s="648"/>
      <c r="AK160" s="648"/>
      <c r="AL160" s="648"/>
      <c r="AM160" s="648"/>
      <c r="AN160" s="648"/>
      <c r="AO160" s="648"/>
      <c r="AP160" s="648"/>
      <c r="AQ160" s="648"/>
      <c r="AR160" s="648"/>
      <c r="AS160" s="648"/>
      <c r="AT160" s="648"/>
      <c r="AU160" s="648"/>
      <c r="AV160" s="648"/>
      <c r="AW160" s="648"/>
      <c r="AX160" s="648"/>
      <c r="AY160" s="648"/>
      <c r="AZ160" s="648"/>
      <c r="BA160" s="648"/>
      <c r="BB160" s="648"/>
      <c r="BC160" s="648"/>
      <c r="BD160" s="648"/>
      <c r="BE160" s="648"/>
      <c r="BF160" s="648"/>
      <c r="BG160" s="648"/>
      <c r="BH160" s="648"/>
      <c r="BI160" s="648"/>
      <c r="BJ160" s="648"/>
      <c r="BT160" s="657"/>
      <c r="BU160" s="657"/>
      <c r="BV160" s="657"/>
      <c r="BW160" s="657"/>
    </row>
    <row r="161" s="99" customFormat="true" ht="16.5" hidden="false" customHeight="false" outlineLevel="0" collapsed="false">
      <c r="A161" s="648"/>
      <c r="B161" s="648"/>
      <c r="C161" s="648"/>
      <c r="D161" s="648"/>
      <c r="E161" s="648"/>
      <c r="F161" s="648"/>
      <c r="G161" s="648"/>
      <c r="H161" s="648"/>
      <c r="I161" s="648"/>
      <c r="J161" s="648"/>
      <c r="K161" s="648"/>
      <c r="L161" s="648"/>
      <c r="M161" s="648"/>
      <c r="N161" s="648"/>
      <c r="O161" s="648"/>
      <c r="P161" s="648"/>
      <c r="Q161" s="648"/>
      <c r="R161" s="648"/>
      <c r="S161" s="648"/>
      <c r="T161" s="648"/>
      <c r="U161" s="648"/>
      <c r="V161" s="648"/>
      <c r="W161" s="648"/>
      <c r="X161" s="648"/>
      <c r="Y161" s="648"/>
      <c r="Z161" s="648"/>
      <c r="AA161" s="648"/>
      <c r="AB161" s="648"/>
      <c r="AC161" s="648"/>
      <c r="AD161" s="648"/>
      <c r="AE161" s="648"/>
      <c r="AF161" s="648"/>
      <c r="AG161" s="648"/>
      <c r="AH161" s="648"/>
      <c r="AI161" s="648"/>
      <c r="AJ161" s="648"/>
      <c r="AK161" s="648"/>
      <c r="AL161" s="648"/>
      <c r="AM161" s="648"/>
      <c r="AN161" s="648"/>
      <c r="AO161" s="648"/>
      <c r="AP161" s="648"/>
      <c r="AQ161" s="648"/>
      <c r="AR161" s="648"/>
      <c r="AS161" s="648"/>
      <c r="AT161" s="648"/>
      <c r="AU161" s="648"/>
      <c r="AV161" s="648"/>
      <c r="AW161" s="648"/>
      <c r="AX161" s="648"/>
      <c r="AY161" s="648"/>
      <c r="AZ161" s="648"/>
      <c r="BA161" s="648"/>
      <c r="BB161" s="648"/>
      <c r="BC161" s="648"/>
      <c r="BD161" s="648"/>
      <c r="BE161" s="648"/>
      <c r="BF161" s="648"/>
      <c r="BG161" s="648"/>
      <c r="BH161" s="648"/>
      <c r="BI161" s="648"/>
      <c r="BJ161" s="648"/>
      <c r="BT161" s="657"/>
      <c r="BU161" s="657"/>
      <c r="BV161" s="657"/>
      <c r="BW161" s="657"/>
    </row>
    <row r="162" s="99" customFormat="true" ht="16.5" hidden="false" customHeight="false" outlineLevel="0" collapsed="false">
      <c r="A162" s="648"/>
      <c r="B162" s="648"/>
      <c r="C162" s="648"/>
      <c r="D162" s="648"/>
      <c r="E162" s="648"/>
      <c r="F162" s="648"/>
      <c r="G162" s="648"/>
      <c r="H162" s="648"/>
      <c r="I162" s="648"/>
      <c r="J162" s="648"/>
      <c r="K162" s="648"/>
      <c r="L162" s="648"/>
      <c r="M162" s="648"/>
      <c r="N162" s="648"/>
      <c r="O162" s="648"/>
      <c r="P162" s="648"/>
      <c r="Q162" s="648"/>
      <c r="R162" s="648"/>
      <c r="S162" s="648"/>
      <c r="T162" s="648"/>
      <c r="U162" s="648"/>
      <c r="V162" s="648"/>
      <c r="W162" s="648"/>
      <c r="X162" s="648"/>
      <c r="Y162" s="648"/>
      <c r="Z162" s="648"/>
      <c r="AA162" s="648"/>
      <c r="AB162" s="648"/>
      <c r="AC162" s="648"/>
      <c r="AD162" s="648"/>
      <c r="AE162" s="648"/>
      <c r="AF162" s="648"/>
      <c r="AG162" s="648"/>
      <c r="AH162" s="648"/>
      <c r="AI162" s="648"/>
      <c r="AJ162" s="648"/>
      <c r="AK162" s="648"/>
      <c r="AL162" s="648"/>
      <c r="AM162" s="648"/>
      <c r="AN162" s="648"/>
      <c r="AO162" s="648"/>
      <c r="AP162" s="648"/>
      <c r="AQ162" s="648"/>
      <c r="AR162" s="648"/>
      <c r="AS162" s="648"/>
      <c r="AT162" s="648"/>
      <c r="AU162" s="648"/>
      <c r="AV162" s="648"/>
      <c r="AW162" s="648"/>
      <c r="AX162" s="648"/>
      <c r="AY162" s="648"/>
      <c r="AZ162" s="648"/>
      <c r="BA162" s="648"/>
      <c r="BB162" s="648"/>
      <c r="BC162" s="648"/>
      <c r="BD162" s="648"/>
      <c r="BE162" s="648"/>
      <c r="BF162" s="648"/>
      <c r="BG162" s="648"/>
      <c r="BH162" s="648"/>
      <c r="BI162" s="648"/>
      <c r="BJ162" s="648"/>
      <c r="BT162" s="657"/>
      <c r="BU162" s="657"/>
      <c r="BV162" s="657"/>
      <c r="BW162" s="657"/>
    </row>
    <row r="163" s="99" customFormat="true" ht="16.5" hidden="false" customHeight="false" outlineLevel="0" collapsed="false">
      <c r="A163" s="648"/>
      <c r="B163" s="648"/>
      <c r="C163" s="648"/>
      <c r="D163" s="648"/>
      <c r="E163" s="648"/>
      <c r="F163" s="648"/>
      <c r="G163" s="648"/>
      <c r="H163" s="648"/>
      <c r="I163" s="648"/>
      <c r="J163" s="648"/>
      <c r="K163" s="648"/>
      <c r="L163" s="648"/>
      <c r="M163" s="648"/>
      <c r="N163" s="648"/>
      <c r="O163" s="648"/>
      <c r="P163" s="648"/>
      <c r="Q163" s="648"/>
      <c r="R163" s="648"/>
      <c r="S163" s="648"/>
      <c r="T163" s="648"/>
      <c r="U163" s="648"/>
      <c r="V163" s="648"/>
      <c r="W163" s="648"/>
      <c r="X163" s="648"/>
      <c r="Y163" s="648"/>
      <c r="Z163" s="648"/>
      <c r="AA163" s="648"/>
      <c r="AB163" s="648"/>
      <c r="AC163" s="648"/>
      <c r="AD163" s="648"/>
      <c r="AE163" s="648"/>
      <c r="AF163" s="648"/>
      <c r="AG163" s="648"/>
      <c r="AH163" s="648"/>
      <c r="AI163" s="648"/>
      <c r="AJ163" s="648"/>
      <c r="AK163" s="648"/>
      <c r="AL163" s="648"/>
      <c r="AM163" s="648"/>
      <c r="AN163" s="648"/>
      <c r="AO163" s="648"/>
      <c r="AP163" s="648"/>
      <c r="AQ163" s="648"/>
      <c r="AR163" s="648"/>
      <c r="AS163" s="648"/>
      <c r="AT163" s="648"/>
      <c r="AU163" s="648"/>
      <c r="AV163" s="648"/>
      <c r="AW163" s="648"/>
      <c r="AX163" s="648"/>
      <c r="AY163" s="648"/>
      <c r="AZ163" s="648"/>
      <c r="BA163" s="648"/>
      <c r="BB163" s="648"/>
      <c r="BC163" s="648"/>
      <c r="BD163" s="648"/>
      <c r="BE163" s="648"/>
      <c r="BF163" s="648"/>
      <c r="BG163" s="648"/>
      <c r="BH163" s="648"/>
      <c r="BI163" s="648"/>
      <c r="BJ163" s="648"/>
      <c r="BT163" s="657"/>
      <c r="BU163" s="657"/>
      <c r="BV163" s="657"/>
      <c r="BW163" s="657"/>
    </row>
    <row r="164" s="99" customFormat="true" ht="16.5" hidden="false" customHeight="false" outlineLevel="0" collapsed="false">
      <c r="A164" s="648"/>
      <c r="B164" s="648"/>
      <c r="C164" s="648"/>
      <c r="D164" s="648"/>
      <c r="E164" s="648"/>
      <c r="F164" s="648"/>
      <c r="G164" s="648"/>
      <c r="H164" s="648"/>
      <c r="I164" s="648"/>
      <c r="J164" s="648"/>
      <c r="K164" s="648"/>
      <c r="L164" s="648"/>
      <c r="M164" s="648"/>
      <c r="N164" s="648"/>
      <c r="O164" s="648"/>
      <c r="P164" s="648"/>
      <c r="Q164" s="648"/>
      <c r="R164" s="648"/>
      <c r="S164" s="648"/>
      <c r="T164" s="648"/>
      <c r="U164" s="648"/>
      <c r="V164" s="648"/>
      <c r="W164" s="648"/>
      <c r="X164" s="648"/>
      <c r="Y164" s="648"/>
      <c r="Z164" s="648"/>
      <c r="AA164" s="648"/>
      <c r="AB164" s="648"/>
      <c r="AC164" s="648"/>
      <c r="AD164" s="648"/>
      <c r="AE164" s="648"/>
      <c r="AF164" s="648"/>
      <c r="AG164" s="648"/>
      <c r="AH164" s="648"/>
      <c r="AI164" s="648"/>
      <c r="AJ164" s="648"/>
      <c r="AK164" s="648"/>
      <c r="AL164" s="648"/>
      <c r="AM164" s="648"/>
      <c r="AN164" s="648"/>
      <c r="AO164" s="648"/>
      <c r="AP164" s="648"/>
      <c r="AQ164" s="648"/>
      <c r="AR164" s="648"/>
      <c r="AS164" s="648"/>
      <c r="AT164" s="648"/>
      <c r="AU164" s="648"/>
      <c r="AV164" s="648"/>
      <c r="AW164" s="648"/>
      <c r="AX164" s="648"/>
      <c r="AY164" s="648"/>
      <c r="AZ164" s="648"/>
      <c r="BA164" s="648"/>
      <c r="BB164" s="648"/>
      <c r="BC164" s="648"/>
      <c r="BD164" s="648"/>
      <c r="BE164" s="648"/>
      <c r="BF164" s="648"/>
      <c r="BG164" s="648"/>
      <c r="BH164" s="648"/>
      <c r="BI164" s="648"/>
      <c r="BJ164" s="648"/>
      <c r="BT164" s="657"/>
      <c r="BU164" s="657"/>
      <c r="BV164" s="657"/>
      <c r="BW164" s="657"/>
    </row>
    <row r="165" s="99" customFormat="true" ht="16.5" hidden="false" customHeight="false" outlineLevel="0" collapsed="false">
      <c r="A165" s="648"/>
      <c r="B165" s="648"/>
      <c r="C165" s="648"/>
      <c r="D165" s="648"/>
      <c r="E165" s="648"/>
      <c r="F165" s="648"/>
      <c r="G165" s="648"/>
      <c r="H165" s="648"/>
      <c r="I165" s="648"/>
      <c r="J165" s="648"/>
      <c r="K165" s="648"/>
      <c r="L165" s="648"/>
      <c r="M165" s="648"/>
      <c r="N165" s="648"/>
      <c r="O165" s="648"/>
      <c r="P165" s="648"/>
      <c r="Q165" s="648"/>
      <c r="R165" s="648"/>
      <c r="S165" s="648"/>
      <c r="T165" s="648"/>
      <c r="U165" s="648"/>
      <c r="V165" s="648"/>
      <c r="W165" s="648"/>
      <c r="X165" s="648"/>
      <c r="Y165" s="648"/>
      <c r="Z165" s="648"/>
      <c r="AA165" s="648"/>
      <c r="AB165" s="648"/>
      <c r="AC165" s="648"/>
      <c r="AD165" s="648"/>
      <c r="AE165" s="648"/>
      <c r="AF165" s="648"/>
      <c r="AG165" s="648"/>
      <c r="AH165" s="648"/>
      <c r="AI165" s="648"/>
      <c r="AJ165" s="648"/>
      <c r="AK165" s="648"/>
      <c r="AL165" s="648"/>
      <c r="AM165" s="648"/>
      <c r="AN165" s="648"/>
      <c r="AO165" s="648"/>
      <c r="AP165" s="648"/>
      <c r="AQ165" s="648"/>
      <c r="AR165" s="648"/>
      <c r="AS165" s="648"/>
      <c r="AT165" s="648"/>
      <c r="AU165" s="648"/>
      <c r="AV165" s="648"/>
      <c r="AW165" s="648"/>
      <c r="AX165" s="648"/>
      <c r="AY165" s="648"/>
      <c r="AZ165" s="648"/>
      <c r="BA165" s="648"/>
      <c r="BB165" s="648"/>
      <c r="BC165" s="648"/>
      <c r="BD165" s="648"/>
      <c r="BE165" s="648"/>
      <c r="BF165" s="648"/>
      <c r="BG165" s="648"/>
      <c r="BH165" s="648"/>
      <c r="BI165" s="648"/>
      <c r="BJ165" s="648"/>
      <c r="BT165" s="657"/>
      <c r="BU165" s="657"/>
      <c r="BV165" s="657"/>
      <c r="BW165" s="657"/>
    </row>
    <row r="166" s="99" customFormat="true" ht="16.5" hidden="false" customHeight="false" outlineLevel="0" collapsed="false">
      <c r="A166" s="648"/>
      <c r="B166" s="648"/>
      <c r="C166" s="648"/>
      <c r="D166" s="648"/>
      <c r="E166" s="648"/>
      <c r="F166" s="648"/>
      <c r="G166" s="648"/>
      <c r="H166" s="648"/>
      <c r="I166" s="648"/>
      <c r="J166" s="648"/>
      <c r="K166" s="648"/>
      <c r="L166" s="648"/>
      <c r="M166" s="648"/>
      <c r="N166" s="648"/>
      <c r="O166" s="648"/>
      <c r="P166" s="648"/>
      <c r="Q166" s="648"/>
      <c r="R166" s="648"/>
      <c r="S166" s="648"/>
      <c r="T166" s="648"/>
      <c r="U166" s="648"/>
      <c r="V166" s="648"/>
      <c r="W166" s="648"/>
      <c r="X166" s="648"/>
      <c r="Y166" s="648"/>
      <c r="Z166" s="648"/>
      <c r="AA166" s="648"/>
      <c r="AB166" s="648"/>
      <c r="AC166" s="648"/>
      <c r="AD166" s="648"/>
      <c r="AE166" s="648"/>
      <c r="AF166" s="648"/>
      <c r="AG166" s="648"/>
      <c r="AH166" s="648"/>
      <c r="AI166" s="648"/>
      <c r="AJ166" s="648"/>
      <c r="AK166" s="648"/>
      <c r="AL166" s="648"/>
      <c r="AM166" s="648"/>
      <c r="AN166" s="648"/>
      <c r="AO166" s="648"/>
      <c r="AP166" s="648"/>
      <c r="AQ166" s="648"/>
      <c r="AR166" s="648"/>
      <c r="AS166" s="648"/>
      <c r="AT166" s="648"/>
      <c r="AU166" s="648"/>
      <c r="AV166" s="648"/>
      <c r="AW166" s="648"/>
      <c r="AX166" s="648"/>
      <c r="AY166" s="648"/>
      <c r="AZ166" s="648"/>
      <c r="BA166" s="648"/>
      <c r="BB166" s="648"/>
      <c r="BC166" s="648"/>
      <c r="BD166" s="648"/>
      <c r="BE166" s="648"/>
      <c r="BF166" s="648"/>
      <c r="BG166" s="648"/>
      <c r="BH166" s="648"/>
      <c r="BI166" s="648"/>
      <c r="BJ166" s="648"/>
      <c r="BT166" s="657"/>
      <c r="BU166" s="657"/>
      <c r="BV166" s="657"/>
      <c r="BW166" s="657"/>
    </row>
    <row r="167" s="99" customFormat="true" ht="16.5" hidden="false" customHeight="false" outlineLevel="0" collapsed="false">
      <c r="A167" s="648"/>
      <c r="B167" s="648"/>
      <c r="C167" s="648"/>
      <c r="D167" s="648"/>
      <c r="E167" s="648"/>
      <c r="F167" s="648"/>
      <c r="G167" s="648"/>
      <c r="H167" s="648"/>
      <c r="I167" s="648"/>
      <c r="J167" s="648"/>
      <c r="K167" s="648"/>
      <c r="L167" s="648"/>
      <c r="M167" s="648"/>
      <c r="N167" s="648"/>
      <c r="O167" s="648"/>
      <c r="P167" s="648"/>
      <c r="Q167" s="648"/>
      <c r="R167" s="648"/>
      <c r="S167" s="648"/>
      <c r="T167" s="648"/>
      <c r="U167" s="648"/>
      <c r="V167" s="648"/>
      <c r="W167" s="648"/>
      <c r="X167" s="648"/>
      <c r="Y167" s="648"/>
      <c r="Z167" s="648"/>
      <c r="AA167" s="648"/>
      <c r="AB167" s="648"/>
      <c r="AC167" s="648"/>
      <c r="AD167" s="648"/>
      <c r="AE167" s="648"/>
      <c r="AF167" s="648"/>
      <c r="AG167" s="648"/>
      <c r="AH167" s="648"/>
      <c r="AI167" s="648"/>
      <c r="AJ167" s="648"/>
      <c r="AK167" s="648"/>
      <c r="AL167" s="648"/>
      <c r="AM167" s="648"/>
      <c r="AN167" s="648"/>
      <c r="AO167" s="648"/>
      <c r="AP167" s="648"/>
      <c r="AQ167" s="648"/>
      <c r="AR167" s="648"/>
      <c r="AS167" s="648"/>
      <c r="AT167" s="648"/>
      <c r="AU167" s="648"/>
      <c r="AV167" s="648"/>
      <c r="AW167" s="648"/>
      <c r="AX167" s="648"/>
      <c r="AY167" s="648"/>
      <c r="AZ167" s="648"/>
      <c r="BA167" s="648"/>
      <c r="BB167" s="648"/>
      <c r="BC167" s="648"/>
      <c r="BD167" s="648"/>
      <c r="BE167" s="648"/>
      <c r="BF167" s="648"/>
      <c r="BG167" s="648"/>
      <c r="BH167" s="648"/>
      <c r="BI167" s="648"/>
      <c r="BJ167" s="648"/>
      <c r="BT167" s="657"/>
      <c r="BU167" s="657"/>
      <c r="BV167" s="657"/>
      <c r="BW167" s="657"/>
    </row>
    <row r="168" s="99" customFormat="true" ht="16.5" hidden="false" customHeight="false" outlineLevel="0" collapsed="false">
      <c r="A168" s="648"/>
      <c r="B168" s="648"/>
      <c r="C168" s="648"/>
      <c r="D168" s="648"/>
      <c r="E168" s="648"/>
      <c r="F168" s="648"/>
      <c r="G168" s="648"/>
      <c r="H168" s="648"/>
      <c r="I168" s="648"/>
      <c r="J168" s="648"/>
      <c r="K168" s="648"/>
      <c r="L168" s="648"/>
      <c r="M168" s="648"/>
      <c r="N168" s="648"/>
      <c r="O168" s="648"/>
      <c r="P168" s="648"/>
      <c r="Q168" s="648"/>
      <c r="R168" s="648"/>
      <c r="S168" s="648"/>
      <c r="T168" s="648"/>
      <c r="U168" s="648"/>
      <c r="V168" s="648"/>
      <c r="W168" s="648"/>
      <c r="X168" s="648"/>
      <c r="Y168" s="648"/>
      <c r="Z168" s="648"/>
      <c r="AA168" s="648"/>
      <c r="AB168" s="648"/>
      <c r="AC168" s="648"/>
      <c r="AD168" s="648"/>
      <c r="AE168" s="648"/>
      <c r="AF168" s="648"/>
      <c r="AG168" s="648"/>
      <c r="AH168" s="648"/>
      <c r="AI168" s="648"/>
      <c r="AJ168" s="648"/>
      <c r="AK168" s="648"/>
      <c r="AL168" s="648"/>
      <c r="AM168" s="648"/>
      <c r="AN168" s="648"/>
      <c r="AO168" s="648"/>
      <c r="AP168" s="648"/>
      <c r="AQ168" s="648"/>
      <c r="AR168" s="648"/>
      <c r="AS168" s="648"/>
      <c r="AT168" s="648"/>
      <c r="AU168" s="648"/>
      <c r="AV168" s="648"/>
      <c r="AW168" s="648"/>
      <c r="AX168" s="648"/>
      <c r="AY168" s="648"/>
      <c r="AZ168" s="648"/>
      <c r="BA168" s="648"/>
      <c r="BB168" s="648"/>
      <c r="BC168" s="648"/>
      <c r="BD168" s="648"/>
      <c r="BE168" s="648"/>
      <c r="BF168" s="648"/>
      <c r="BG168" s="648"/>
      <c r="BH168" s="648"/>
      <c r="BI168" s="648"/>
      <c r="BJ168" s="648"/>
      <c r="BT168" s="657"/>
      <c r="BU168" s="657"/>
      <c r="BV168" s="657"/>
      <c r="BW168" s="657"/>
    </row>
    <row r="169" s="99" customFormat="true" ht="16.5" hidden="false" customHeight="false" outlineLevel="0" collapsed="false">
      <c r="A169" s="648"/>
      <c r="B169" s="648"/>
      <c r="C169" s="648"/>
      <c r="D169" s="648"/>
      <c r="E169" s="648"/>
      <c r="F169" s="648"/>
      <c r="G169" s="648"/>
      <c r="H169" s="648"/>
      <c r="I169" s="648"/>
      <c r="J169" s="648"/>
      <c r="K169" s="648"/>
      <c r="L169" s="648"/>
      <c r="M169" s="648"/>
      <c r="N169" s="648"/>
      <c r="O169" s="648"/>
      <c r="P169" s="648"/>
      <c r="Q169" s="648"/>
      <c r="R169" s="648"/>
      <c r="S169" s="648"/>
      <c r="T169" s="648"/>
      <c r="U169" s="648"/>
      <c r="V169" s="648"/>
      <c r="W169" s="648"/>
      <c r="X169" s="648"/>
      <c r="Y169" s="648"/>
      <c r="Z169" s="648"/>
      <c r="AA169" s="648"/>
      <c r="AB169" s="648"/>
      <c r="AC169" s="648"/>
      <c r="AD169" s="648"/>
      <c r="AE169" s="648"/>
      <c r="AF169" s="648"/>
      <c r="AG169" s="648"/>
      <c r="AH169" s="648"/>
      <c r="AI169" s="648"/>
      <c r="AJ169" s="648"/>
      <c r="AK169" s="648"/>
      <c r="AL169" s="648"/>
      <c r="AM169" s="648"/>
      <c r="AN169" s="648"/>
      <c r="AO169" s="648"/>
      <c r="AP169" s="648"/>
      <c r="AQ169" s="648"/>
      <c r="AR169" s="648"/>
      <c r="AS169" s="648"/>
      <c r="AT169" s="648"/>
      <c r="AU169" s="648"/>
      <c r="AV169" s="648"/>
      <c r="AW169" s="648"/>
      <c r="AX169" s="648"/>
      <c r="AY169" s="648"/>
      <c r="AZ169" s="648"/>
      <c r="BA169" s="648"/>
      <c r="BB169" s="648"/>
      <c r="BC169" s="648"/>
      <c r="BD169" s="648"/>
      <c r="BE169" s="648"/>
      <c r="BF169" s="648"/>
      <c r="BG169" s="648"/>
      <c r="BH169" s="648"/>
      <c r="BI169" s="648"/>
      <c r="BJ169" s="648"/>
      <c r="BT169" s="657"/>
      <c r="BU169" s="657"/>
      <c r="BV169" s="657"/>
      <c r="BW169" s="657"/>
    </row>
    <row r="170" s="99" customFormat="true" ht="16.5" hidden="false" customHeight="false" outlineLevel="0" collapsed="false">
      <c r="A170" s="648"/>
      <c r="B170" s="648"/>
      <c r="C170" s="648"/>
      <c r="D170" s="648"/>
      <c r="E170" s="648"/>
      <c r="F170" s="648"/>
      <c r="G170" s="648"/>
      <c r="H170" s="648"/>
      <c r="I170" s="648"/>
      <c r="J170" s="648"/>
      <c r="K170" s="648"/>
      <c r="L170" s="648"/>
      <c r="M170" s="648"/>
      <c r="N170" s="648"/>
      <c r="O170" s="648"/>
      <c r="P170" s="648"/>
      <c r="Q170" s="648"/>
      <c r="R170" s="648"/>
      <c r="S170" s="648"/>
      <c r="T170" s="648"/>
      <c r="U170" s="648"/>
      <c r="V170" s="648"/>
      <c r="W170" s="648"/>
      <c r="X170" s="648"/>
      <c r="Y170" s="648"/>
      <c r="Z170" s="648"/>
      <c r="AA170" s="648"/>
      <c r="AB170" s="648"/>
      <c r="AC170" s="648"/>
      <c r="AD170" s="648"/>
      <c r="AE170" s="648"/>
      <c r="AF170" s="648"/>
      <c r="AG170" s="648"/>
      <c r="AH170" s="648"/>
      <c r="AI170" s="648"/>
      <c r="AJ170" s="648"/>
      <c r="AK170" s="648"/>
      <c r="AL170" s="648"/>
      <c r="AM170" s="648"/>
      <c r="AN170" s="648"/>
      <c r="AO170" s="648"/>
      <c r="AP170" s="648"/>
      <c r="AQ170" s="648"/>
      <c r="AR170" s="648"/>
      <c r="AS170" s="648"/>
      <c r="AT170" s="648"/>
      <c r="AU170" s="648"/>
      <c r="AV170" s="648"/>
      <c r="AW170" s="648"/>
      <c r="AX170" s="648"/>
      <c r="AY170" s="648"/>
      <c r="AZ170" s="648"/>
      <c r="BA170" s="648"/>
      <c r="BB170" s="648"/>
      <c r="BC170" s="648"/>
      <c r="BD170" s="648"/>
      <c r="BE170" s="648"/>
      <c r="BF170" s="648"/>
      <c r="BG170" s="648"/>
      <c r="BH170" s="648"/>
      <c r="BI170" s="648"/>
      <c r="BJ170" s="648"/>
      <c r="BT170" s="657"/>
      <c r="BU170" s="657"/>
      <c r="BV170" s="657"/>
      <c r="BW170" s="657"/>
    </row>
    <row r="171" s="99" customFormat="true" ht="16.5" hidden="false" customHeight="false" outlineLevel="0" collapsed="false">
      <c r="A171" s="648"/>
      <c r="B171" s="648"/>
      <c r="C171" s="648"/>
      <c r="D171" s="648"/>
      <c r="E171" s="648"/>
      <c r="F171" s="648"/>
      <c r="G171" s="648"/>
      <c r="H171" s="648"/>
      <c r="I171" s="648"/>
      <c r="J171" s="648"/>
      <c r="K171" s="648"/>
      <c r="L171" s="648"/>
      <c r="M171" s="648"/>
      <c r="N171" s="648"/>
      <c r="O171" s="648"/>
      <c r="P171" s="648"/>
      <c r="Q171" s="648"/>
      <c r="R171" s="648"/>
      <c r="S171" s="648"/>
      <c r="T171" s="648"/>
      <c r="U171" s="648"/>
      <c r="V171" s="648"/>
      <c r="W171" s="648"/>
      <c r="X171" s="648"/>
      <c r="Y171" s="648"/>
      <c r="Z171" s="648"/>
      <c r="AA171" s="648"/>
      <c r="AB171" s="648"/>
      <c r="AC171" s="648"/>
      <c r="AD171" s="648"/>
      <c r="AE171" s="648"/>
      <c r="AF171" s="648"/>
      <c r="AG171" s="648"/>
      <c r="AH171" s="648"/>
      <c r="AI171" s="648"/>
      <c r="AJ171" s="648"/>
      <c r="AK171" s="648"/>
      <c r="AL171" s="648"/>
      <c r="AM171" s="648"/>
      <c r="AN171" s="648"/>
      <c r="AO171" s="648"/>
      <c r="AP171" s="648"/>
      <c r="AQ171" s="648"/>
      <c r="AR171" s="648"/>
      <c r="AS171" s="648"/>
      <c r="AT171" s="648"/>
      <c r="AU171" s="648"/>
      <c r="AV171" s="648"/>
      <c r="AW171" s="648"/>
      <c r="AX171" s="648"/>
      <c r="AY171" s="648"/>
      <c r="AZ171" s="648"/>
      <c r="BA171" s="648"/>
      <c r="BB171" s="648"/>
      <c r="BC171" s="648"/>
      <c r="BD171" s="648"/>
      <c r="BE171" s="648"/>
      <c r="BF171" s="648"/>
      <c r="BG171" s="648"/>
      <c r="BH171" s="648"/>
      <c r="BI171" s="648"/>
      <c r="BJ171" s="648"/>
      <c r="BT171" s="657"/>
      <c r="BU171" s="657"/>
      <c r="BV171" s="657"/>
      <c r="BW171" s="657"/>
    </row>
    <row r="172" s="99" customFormat="true" ht="16.5" hidden="false" customHeight="false" outlineLevel="0" collapsed="false">
      <c r="A172" s="648"/>
      <c r="B172" s="648"/>
      <c r="C172" s="648"/>
      <c r="D172" s="648"/>
      <c r="E172" s="648"/>
      <c r="F172" s="648"/>
      <c r="G172" s="648"/>
      <c r="H172" s="648"/>
      <c r="I172" s="648"/>
      <c r="J172" s="648"/>
      <c r="K172" s="648"/>
      <c r="L172" s="648"/>
      <c r="M172" s="648"/>
      <c r="N172" s="648"/>
      <c r="O172" s="648"/>
      <c r="P172" s="648"/>
      <c r="Q172" s="648"/>
      <c r="R172" s="648"/>
      <c r="S172" s="648"/>
      <c r="T172" s="648"/>
      <c r="U172" s="648"/>
      <c r="V172" s="648"/>
      <c r="W172" s="648"/>
      <c r="X172" s="648"/>
      <c r="Y172" s="648"/>
      <c r="Z172" s="648"/>
      <c r="AA172" s="648"/>
      <c r="AB172" s="648"/>
      <c r="AC172" s="648"/>
      <c r="AD172" s="648"/>
      <c r="AE172" s="648"/>
      <c r="AF172" s="648"/>
      <c r="AG172" s="648"/>
      <c r="AH172" s="648"/>
      <c r="AI172" s="648"/>
      <c r="AJ172" s="648"/>
      <c r="AK172" s="648"/>
      <c r="AL172" s="648"/>
      <c r="AM172" s="648"/>
      <c r="AN172" s="648"/>
      <c r="AO172" s="648"/>
      <c r="AP172" s="648"/>
      <c r="AQ172" s="648"/>
      <c r="AR172" s="648"/>
      <c r="AS172" s="648"/>
      <c r="AT172" s="648"/>
      <c r="AU172" s="648"/>
      <c r="AV172" s="648"/>
      <c r="AW172" s="648"/>
      <c r="AX172" s="648"/>
      <c r="AY172" s="648"/>
      <c r="AZ172" s="648"/>
      <c r="BA172" s="648"/>
      <c r="BB172" s="648"/>
      <c r="BC172" s="648"/>
      <c r="BD172" s="648"/>
      <c r="BE172" s="648"/>
      <c r="BF172" s="648"/>
      <c r="BG172" s="648"/>
      <c r="BH172" s="648"/>
      <c r="BI172" s="648"/>
      <c r="BJ172" s="648"/>
      <c r="BT172" s="657"/>
      <c r="BU172" s="657"/>
      <c r="BV172" s="657"/>
      <c r="BW172" s="657"/>
    </row>
    <row r="173" s="99" customFormat="true" ht="16.5" hidden="false" customHeight="false" outlineLevel="0" collapsed="false">
      <c r="A173" s="648"/>
      <c r="B173" s="648"/>
      <c r="C173" s="648"/>
      <c r="D173" s="648"/>
      <c r="E173" s="648"/>
      <c r="F173" s="648"/>
      <c r="G173" s="648"/>
      <c r="H173" s="648"/>
      <c r="I173" s="648"/>
      <c r="J173" s="648"/>
      <c r="K173" s="648"/>
      <c r="L173" s="648"/>
      <c r="M173" s="648"/>
      <c r="N173" s="648"/>
      <c r="O173" s="648"/>
      <c r="P173" s="648"/>
      <c r="Q173" s="648"/>
      <c r="R173" s="648"/>
      <c r="S173" s="648"/>
      <c r="T173" s="648"/>
      <c r="U173" s="648"/>
      <c r="V173" s="648"/>
      <c r="W173" s="648"/>
      <c r="X173" s="648"/>
      <c r="Y173" s="648"/>
      <c r="Z173" s="648"/>
      <c r="AA173" s="648"/>
      <c r="AB173" s="648"/>
      <c r="AC173" s="648"/>
      <c r="AD173" s="648"/>
      <c r="AE173" s="648"/>
      <c r="AF173" s="648"/>
      <c r="AG173" s="648"/>
      <c r="AH173" s="648"/>
      <c r="AI173" s="648"/>
      <c r="AJ173" s="648"/>
      <c r="AK173" s="648"/>
      <c r="AL173" s="648"/>
      <c r="AM173" s="648"/>
      <c r="AN173" s="648"/>
      <c r="AO173" s="648"/>
      <c r="AP173" s="648"/>
      <c r="AQ173" s="648"/>
      <c r="AR173" s="648"/>
      <c r="AS173" s="648"/>
      <c r="AT173" s="648"/>
      <c r="AU173" s="648"/>
      <c r="AV173" s="648"/>
      <c r="AW173" s="648"/>
      <c r="AX173" s="648"/>
      <c r="AY173" s="648"/>
      <c r="AZ173" s="648"/>
      <c r="BA173" s="648"/>
      <c r="BB173" s="648"/>
      <c r="BC173" s="648"/>
      <c r="BD173" s="648"/>
      <c r="BE173" s="648"/>
      <c r="BF173" s="648"/>
      <c r="BG173" s="648"/>
      <c r="BH173" s="648"/>
      <c r="BI173" s="648"/>
      <c r="BJ173" s="648"/>
      <c r="BT173" s="657"/>
      <c r="BU173" s="657"/>
      <c r="BV173" s="657"/>
      <c r="BW173" s="657"/>
    </row>
    <row r="174" s="99" customFormat="true" ht="16.5" hidden="false" customHeight="false" outlineLevel="0" collapsed="false">
      <c r="A174" s="648"/>
      <c r="B174" s="648"/>
      <c r="C174" s="648"/>
      <c r="D174" s="648"/>
      <c r="E174" s="648"/>
      <c r="F174" s="648"/>
      <c r="G174" s="648"/>
      <c r="H174" s="648"/>
      <c r="I174" s="648"/>
      <c r="J174" s="648"/>
      <c r="K174" s="648"/>
      <c r="L174" s="648"/>
      <c r="M174" s="648"/>
      <c r="N174" s="648"/>
      <c r="O174" s="648"/>
      <c r="P174" s="648"/>
      <c r="Q174" s="648"/>
      <c r="R174" s="648"/>
      <c r="S174" s="648"/>
      <c r="T174" s="648"/>
      <c r="U174" s="648"/>
      <c r="V174" s="648"/>
      <c r="W174" s="648"/>
      <c r="X174" s="648"/>
      <c r="Y174" s="648"/>
      <c r="Z174" s="648"/>
      <c r="AA174" s="648"/>
      <c r="AB174" s="648"/>
      <c r="AC174" s="648"/>
      <c r="AD174" s="648"/>
      <c r="AE174" s="648"/>
      <c r="AF174" s="648"/>
      <c r="AG174" s="648"/>
      <c r="AH174" s="648"/>
      <c r="AI174" s="648"/>
      <c r="AJ174" s="648"/>
      <c r="AK174" s="648"/>
      <c r="AL174" s="648"/>
      <c r="AM174" s="648"/>
      <c r="AN174" s="648"/>
      <c r="AO174" s="648"/>
      <c r="AP174" s="648"/>
      <c r="AQ174" s="648"/>
      <c r="AR174" s="648"/>
      <c r="AS174" s="648"/>
      <c r="AT174" s="648"/>
      <c r="AU174" s="648"/>
      <c r="AV174" s="648"/>
      <c r="AW174" s="648"/>
      <c r="AX174" s="648"/>
      <c r="AY174" s="648"/>
      <c r="AZ174" s="648"/>
      <c r="BA174" s="648"/>
      <c r="BB174" s="648"/>
      <c r="BC174" s="648"/>
      <c r="BD174" s="648"/>
      <c r="BE174" s="648"/>
      <c r="BF174" s="648"/>
      <c r="BG174" s="648"/>
      <c r="BH174" s="648"/>
      <c r="BI174" s="648"/>
      <c r="BJ174" s="648"/>
      <c r="BT174" s="657"/>
      <c r="BU174" s="657"/>
      <c r="BV174" s="657"/>
      <c r="BW174" s="657"/>
    </row>
    <row r="175" s="99" customFormat="true" ht="16.5" hidden="false" customHeight="false" outlineLevel="0" collapsed="false">
      <c r="A175" s="648"/>
      <c r="B175" s="648"/>
      <c r="C175" s="648"/>
      <c r="D175" s="648"/>
      <c r="E175" s="648"/>
      <c r="F175" s="648"/>
      <c r="G175" s="648"/>
      <c r="H175" s="648"/>
      <c r="I175" s="648"/>
      <c r="J175" s="648"/>
      <c r="K175" s="648"/>
      <c r="L175" s="648"/>
      <c r="M175" s="648"/>
      <c r="N175" s="648"/>
      <c r="O175" s="648"/>
      <c r="P175" s="648"/>
      <c r="Q175" s="648"/>
      <c r="R175" s="648"/>
      <c r="S175" s="648"/>
      <c r="T175" s="648"/>
      <c r="U175" s="648"/>
      <c r="V175" s="648"/>
      <c r="W175" s="648"/>
      <c r="X175" s="648"/>
      <c r="Y175" s="648"/>
      <c r="Z175" s="648"/>
      <c r="AA175" s="648"/>
      <c r="AB175" s="648"/>
      <c r="AC175" s="648"/>
      <c r="AD175" s="648"/>
      <c r="AE175" s="648"/>
      <c r="AF175" s="648"/>
      <c r="AG175" s="648"/>
      <c r="AH175" s="648"/>
      <c r="AI175" s="648"/>
      <c r="AJ175" s="648"/>
      <c r="AK175" s="648"/>
      <c r="AL175" s="648"/>
      <c r="AM175" s="648"/>
      <c r="AN175" s="648"/>
      <c r="AO175" s="648"/>
      <c r="AP175" s="648"/>
      <c r="AQ175" s="648"/>
      <c r="AR175" s="648"/>
      <c r="AS175" s="648"/>
      <c r="AT175" s="648"/>
      <c r="AU175" s="648"/>
      <c r="AV175" s="648"/>
      <c r="AW175" s="648"/>
      <c r="AX175" s="648"/>
      <c r="AY175" s="648"/>
      <c r="AZ175" s="648"/>
      <c r="BA175" s="648"/>
      <c r="BB175" s="648"/>
      <c r="BC175" s="648"/>
      <c r="BD175" s="648"/>
      <c r="BE175" s="648"/>
      <c r="BF175" s="648"/>
      <c r="BG175" s="648"/>
      <c r="BH175" s="648"/>
      <c r="BI175" s="648"/>
      <c r="BJ175" s="648"/>
      <c r="BT175" s="657"/>
      <c r="BU175" s="657"/>
      <c r="BV175" s="657"/>
      <c r="BW175" s="657"/>
    </row>
    <row r="176" s="99" customFormat="true" ht="16.5" hidden="false" customHeight="false" outlineLevel="0" collapsed="false">
      <c r="A176" s="648"/>
      <c r="B176" s="648"/>
      <c r="C176" s="648"/>
      <c r="D176" s="648"/>
      <c r="E176" s="648"/>
      <c r="F176" s="648"/>
      <c r="G176" s="648"/>
      <c r="H176" s="648"/>
      <c r="I176" s="648"/>
      <c r="J176" s="648"/>
      <c r="K176" s="648"/>
      <c r="L176" s="648"/>
      <c r="M176" s="648"/>
      <c r="N176" s="648"/>
      <c r="O176" s="648"/>
      <c r="P176" s="648"/>
      <c r="Q176" s="648"/>
      <c r="R176" s="648"/>
      <c r="S176" s="648"/>
      <c r="T176" s="648"/>
      <c r="U176" s="648"/>
      <c r="V176" s="648"/>
      <c r="W176" s="648"/>
      <c r="X176" s="648"/>
      <c r="Y176" s="648"/>
      <c r="Z176" s="648"/>
      <c r="AA176" s="648"/>
      <c r="AB176" s="648"/>
      <c r="AC176" s="648"/>
      <c r="AD176" s="648"/>
      <c r="AE176" s="648"/>
      <c r="AF176" s="648"/>
      <c r="AG176" s="648"/>
      <c r="AH176" s="648"/>
      <c r="AI176" s="648"/>
      <c r="AJ176" s="648"/>
      <c r="AK176" s="648"/>
      <c r="AL176" s="648"/>
      <c r="AM176" s="648"/>
      <c r="AN176" s="648"/>
      <c r="AO176" s="648"/>
      <c r="AP176" s="648"/>
      <c r="AQ176" s="648"/>
      <c r="AR176" s="648"/>
      <c r="AS176" s="648"/>
      <c r="AT176" s="648"/>
      <c r="AU176" s="648"/>
      <c r="AV176" s="648"/>
      <c r="AW176" s="648"/>
      <c r="AX176" s="648"/>
      <c r="AY176" s="648"/>
      <c r="AZ176" s="648"/>
      <c r="BA176" s="648"/>
      <c r="BB176" s="648"/>
      <c r="BC176" s="648"/>
      <c r="BD176" s="648"/>
      <c r="BE176" s="648"/>
      <c r="BF176" s="648"/>
      <c r="BG176" s="648"/>
      <c r="BH176" s="648"/>
      <c r="BI176" s="648"/>
      <c r="BJ176" s="648"/>
      <c r="BT176" s="657"/>
      <c r="BU176" s="657"/>
      <c r="BV176" s="657"/>
      <c r="BW176" s="657"/>
    </row>
    <row r="177" s="99" customFormat="true" ht="16.5" hidden="false" customHeight="false" outlineLevel="0" collapsed="false">
      <c r="A177" s="648"/>
      <c r="B177" s="648"/>
      <c r="C177" s="648"/>
      <c r="D177" s="648"/>
      <c r="E177" s="648"/>
      <c r="F177" s="648"/>
      <c r="G177" s="648"/>
      <c r="H177" s="648"/>
      <c r="I177" s="648"/>
      <c r="J177" s="648"/>
      <c r="K177" s="648"/>
      <c r="L177" s="648"/>
      <c r="M177" s="648"/>
      <c r="N177" s="648"/>
      <c r="O177" s="648"/>
      <c r="P177" s="648"/>
      <c r="Q177" s="648"/>
      <c r="R177" s="648"/>
      <c r="S177" s="648"/>
      <c r="T177" s="648"/>
      <c r="U177" s="648"/>
      <c r="V177" s="648"/>
      <c r="W177" s="648"/>
      <c r="X177" s="648"/>
      <c r="Y177" s="648"/>
      <c r="Z177" s="648"/>
      <c r="AA177" s="648"/>
      <c r="AB177" s="648"/>
      <c r="AC177" s="648"/>
      <c r="AD177" s="648"/>
      <c r="AE177" s="648"/>
      <c r="AF177" s="648"/>
      <c r="AG177" s="648"/>
      <c r="AH177" s="648"/>
      <c r="AI177" s="648"/>
      <c r="AJ177" s="648"/>
      <c r="AK177" s="648"/>
      <c r="AL177" s="648"/>
      <c r="AM177" s="648"/>
      <c r="AN177" s="648"/>
      <c r="AO177" s="648"/>
      <c r="AP177" s="648"/>
      <c r="AQ177" s="648"/>
      <c r="AR177" s="648"/>
      <c r="AS177" s="648"/>
      <c r="AT177" s="648"/>
      <c r="AU177" s="648"/>
      <c r="AV177" s="648"/>
      <c r="AW177" s="648"/>
      <c r="AX177" s="648"/>
      <c r="AY177" s="648"/>
      <c r="AZ177" s="648"/>
      <c r="BA177" s="648"/>
      <c r="BB177" s="648"/>
      <c r="BC177" s="648"/>
      <c r="BD177" s="648"/>
      <c r="BE177" s="648"/>
      <c r="BF177" s="648"/>
      <c r="BG177" s="648"/>
      <c r="BH177" s="648"/>
      <c r="BI177" s="648"/>
      <c r="BJ177" s="648"/>
      <c r="BT177" s="657"/>
      <c r="BU177" s="657"/>
      <c r="BV177" s="657"/>
      <c r="BW177" s="657"/>
    </row>
    <row r="178" s="99" customFormat="true" ht="16.5" hidden="false" customHeight="false" outlineLevel="0" collapsed="false">
      <c r="A178" s="648"/>
      <c r="B178" s="648"/>
      <c r="C178" s="648"/>
      <c r="D178" s="648"/>
      <c r="E178" s="648"/>
      <c r="F178" s="648"/>
      <c r="G178" s="648"/>
      <c r="H178" s="648"/>
      <c r="I178" s="648"/>
      <c r="J178" s="648"/>
      <c r="K178" s="648"/>
      <c r="L178" s="648"/>
      <c r="M178" s="648"/>
      <c r="N178" s="648"/>
      <c r="O178" s="648"/>
      <c r="P178" s="648"/>
      <c r="Q178" s="648"/>
      <c r="R178" s="648"/>
      <c r="S178" s="648"/>
      <c r="T178" s="648"/>
      <c r="U178" s="648"/>
      <c r="V178" s="648"/>
      <c r="W178" s="648"/>
      <c r="X178" s="648"/>
      <c r="Y178" s="648"/>
      <c r="Z178" s="648"/>
      <c r="AA178" s="648"/>
      <c r="AB178" s="648"/>
      <c r="AC178" s="648"/>
      <c r="AD178" s="648"/>
      <c r="AE178" s="648"/>
      <c r="AF178" s="648"/>
      <c r="AG178" s="648"/>
      <c r="AH178" s="648"/>
      <c r="AI178" s="648"/>
      <c r="AJ178" s="648"/>
      <c r="AK178" s="648"/>
      <c r="AL178" s="648"/>
      <c r="AM178" s="648"/>
      <c r="AN178" s="648"/>
      <c r="AO178" s="648"/>
      <c r="AP178" s="648"/>
      <c r="AQ178" s="648"/>
      <c r="AR178" s="648"/>
      <c r="AS178" s="648"/>
      <c r="AT178" s="648"/>
      <c r="AU178" s="648"/>
      <c r="AV178" s="648"/>
      <c r="AW178" s="648"/>
      <c r="AX178" s="648"/>
      <c r="AY178" s="648"/>
      <c r="AZ178" s="648"/>
      <c r="BA178" s="648"/>
      <c r="BB178" s="648"/>
      <c r="BC178" s="648"/>
      <c r="BD178" s="648"/>
      <c r="BE178" s="648"/>
      <c r="BF178" s="648"/>
      <c r="BG178" s="648"/>
      <c r="BH178" s="648"/>
      <c r="BI178" s="648"/>
      <c r="BJ178" s="648"/>
      <c r="BT178" s="657"/>
      <c r="BU178" s="657"/>
      <c r="BV178" s="657"/>
      <c r="BW178" s="657"/>
    </row>
    <row r="179" s="99" customFormat="true" ht="16.5" hidden="false" customHeight="false" outlineLevel="0" collapsed="false">
      <c r="A179" s="648"/>
      <c r="B179" s="648"/>
      <c r="C179" s="648"/>
      <c r="D179" s="648"/>
      <c r="E179" s="648"/>
      <c r="F179" s="648"/>
      <c r="G179" s="648"/>
      <c r="H179" s="648"/>
      <c r="I179" s="648"/>
      <c r="J179" s="648"/>
      <c r="K179" s="648"/>
      <c r="L179" s="648"/>
      <c r="M179" s="648"/>
      <c r="N179" s="648"/>
      <c r="O179" s="648"/>
      <c r="P179" s="648"/>
      <c r="Q179" s="648"/>
      <c r="R179" s="648"/>
      <c r="S179" s="648"/>
      <c r="T179" s="648"/>
      <c r="U179" s="648"/>
      <c r="V179" s="648"/>
      <c r="W179" s="648"/>
      <c r="X179" s="648"/>
      <c r="Y179" s="648"/>
      <c r="Z179" s="648"/>
      <c r="AA179" s="648"/>
      <c r="AB179" s="648"/>
      <c r="AC179" s="648"/>
      <c r="AD179" s="648"/>
      <c r="AE179" s="648"/>
      <c r="AF179" s="648"/>
      <c r="AG179" s="648"/>
      <c r="AH179" s="648"/>
      <c r="AI179" s="648"/>
      <c r="AJ179" s="648"/>
      <c r="AK179" s="648"/>
      <c r="AL179" s="648"/>
      <c r="AM179" s="648"/>
      <c r="AN179" s="648"/>
      <c r="AO179" s="648"/>
      <c r="AP179" s="648"/>
      <c r="AQ179" s="648"/>
      <c r="AR179" s="648"/>
      <c r="AS179" s="648"/>
      <c r="AT179" s="648"/>
      <c r="AU179" s="648"/>
      <c r="AV179" s="648"/>
      <c r="AW179" s="648"/>
      <c r="AX179" s="648"/>
      <c r="AY179" s="648"/>
      <c r="AZ179" s="648"/>
      <c r="BA179" s="648"/>
      <c r="BB179" s="648"/>
      <c r="BC179" s="648"/>
      <c r="BD179" s="648"/>
      <c r="BE179" s="648"/>
      <c r="BF179" s="648"/>
      <c r="BG179" s="648"/>
      <c r="BH179" s="648"/>
      <c r="BI179" s="648"/>
      <c r="BJ179" s="648"/>
      <c r="BT179" s="657"/>
      <c r="BU179" s="657"/>
      <c r="BV179" s="657"/>
      <c r="BW179" s="657"/>
    </row>
    <row r="180" s="99" customFormat="true" ht="16.5" hidden="false" customHeight="false" outlineLevel="0" collapsed="false">
      <c r="A180" s="648"/>
      <c r="B180" s="648"/>
      <c r="C180" s="648"/>
      <c r="D180" s="648"/>
      <c r="E180" s="648"/>
      <c r="F180" s="648"/>
      <c r="G180" s="648"/>
      <c r="H180" s="648"/>
      <c r="I180" s="648"/>
      <c r="J180" s="648"/>
      <c r="K180" s="648"/>
      <c r="L180" s="648"/>
      <c r="M180" s="648"/>
      <c r="N180" s="648"/>
      <c r="O180" s="648"/>
      <c r="P180" s="648"/>
      <c r="Q180" s="648"/>
      <c r="R180" s="648"/>
      <c r="S180" s="648"/>
      <c r="T180" s="648"/>
      <c r="U180" s="648"/>
      <c r="V180" s="648"/>
      <c r="W180" s="648"/>
      <c r="X180" s="648"/>
      <c r="Y180" s="648"/>
      <c r="Z180" s="648"/>
      <c r="AA180" s="648"/>
      <c r="AB180" s="648"/>
      <c r="AC180" s="648"/>
      <c r="AD180" s="648"/>
      <c r="AE180" s="648"/>
      <c r="AF180" s="648"/>
      <c r="AG180" s="648"/>
      <c r="AH180" s="648"/>
      <c r="AI180" s="648"/>
      <c r="AJ180" s="648"/>
      <c r="AK180" s="648"/>
      <c r="AL180" s="648"/>
      <c r="AM180" s="648"/>
      <c r="AN180" s="648"/>
      <c r="AO180" s="648"/>
      <c r="AP180" s="648"/>
      <c r="AQ180" s="648"/>
      <c r="AR180" s="648"/>
      <c r="AS180" s="648"/>
      <c r="AT180" s="648"/>
      <c r="AU180" s="648"/>
      <c r="AV180" s="648"/>
      <c r="AW180" s="648"/>
      <c r="AX180" s="648"/>
      <c r="AY180" s="648"/>
      <c r="AZ180" s="648"/>
      <c r="BA180" s="648"/>
      <c r="BB180" s="648"/>
      <c r="BC180" s="648"/>
      <c r="BD180" s="648"/>
      <c r="BE180" s="648"/>
      <c r="BF180" s="648"/>
      <c r="BG180" s="648"/>
      <c r="BH180" s="648"/>
      <c r="BI180" s="648"/>
      <c r="BJ180" s="648"/>
      <c r="BT180" s="657"/>
      <c r="BU180" s="657"/>
      <c r="BV180" s="657"/>
      <c r="BW180" s="657"/>
    </row>
    <row r="181" s="99" customFormat="true" ht="16.5" hidden="false" customHeight="false" outlineLevel="0" collapsed="false">
      <c r="A181" s="648"/>
      <c r="B181" s="648"/>
      <c r="C181" s="648"/>
      <c r="D181" s="648"/>
      <c r="E181" s="648"/>
      <c r="F181" s="648"/>
      <c r="G181" s="648"/>
      <c r="H181" s="648"/>
      <c r="I181" s="648"/>
      <c r="J181" s="648"/>
      <c r="K181" s="648"/>
      <c r="L181" s="648"/>
      <c r="M181" s="648"/>
      <c r="N181" s="648"/>
      <c r="O181" s="648"/>
      <c r="P181" s="648"/>
      <c r="Q181" s="648"/>
      <c r="R181" s="648"/>
      <c r="S181" s="648"/>
      <c r="T181" s="648"/>
      <c r="U181" s="648"/>
      <c r="V181" s="648"/>
      <c r="W181" s="648"/>
      <c r="X181" s="648"/>
      <c r="Y181" s="648"/>
      <c r="Z181" s="648"/>
      <c r="AA181" s="648"/>
      <c r="AB181" s="648"/>
      <c r="AC181" s="648"/>
      <c r="AD181" s="648"/>
      <c r="AE181" s="648"/>
      <c r="AF181" s="648"/>
      <c r="AG181" s="648"/>
      <c r="AH181" s="648"/>
      <c r="AI181" s="648"/>
      <c r="AJ181" s="648"/>
      <c r="AK181" s="648"/>
      <c r="AL181" s="648"/>
      <c r="AM181" s="648"/>
      <c r="AN181" s="648"/>
      <c r="AO181" s="648"/>
      <c r="AP181" s="648"/>
      <c r="AQ181" s="648"/>
      <c r="AR181" s="648"/>
      <c r="AS181" s="648"/>
      <c r="AT181" s="648"/>
      <c r="AU181" s="648"/>
      <c r="AV181" s="648"/>
      <c r="AW181" s="648"/>
      <c r="AX181" s="648"/>
      <c r="AY181" s="648"/>
      <c r="AZ181" s="648"/>
      <c r="BA181" s="648"/>
      <c r="BB181" s="648"/>
      <c r="BC181" s="648"/>
      <c r="BD181" s="648"/>
      <c r="BE181" s="648"/>
      <c r="BF181" s="648"/>
      <c r="BG181" s="648"/>
      <c r="BH181" s="648"/>
      <c r="BI181" s="648"/>
      <c r="BJ181" s="648"/>
      <c r="BT181" s="657"/>
      <c r="BU181" s="657"/>
      <c r="BV181" s="657"/>
      <c r="BW181" s="657"/>
    </row>
    <row r="182" s="99" customFormat="true" ht="16.5" hidden="false" customHeight="false" outlineLevel="0" collapsed="false">
      <c r="A182" s="648"/>
      <c r="B182" s="648"/>
      <c r="C182" s="648"/>
      <c r="D182" s="648"/>
      <c r="E182" s="648"/>
      <c r="F182" s="648"/>
      <c r="G182" s="648"/>
      <c r="H182" s="648"/>
      <c r="I182" s="648"/>
      <c r="J182" s="648"/>
      <c r="K182" s="648"/>
      <c r="L182" s="648"/>
      <c r="M182" s="648"/>
      <c r="N182" s="648"/>
      <c r="O182" s="648"/>
      <c r="P182" s="648"/>
      <c r="Q182" s="648"/>
      <c r="R182" s="648"/>
      <c r="S182" s="648"/>
      <c r="T182" s="648"/>
      <c r="U182" s="648"/>
      <c r="V182" s="648"/>
      <c r="W182" s="648"/>
      <c r="X182" s="648"/>
      <c r="Y182" s="648"/>
      <c r="Z182" s="648"/>
      <c r="AA182" s="648"/>
      <c r="AB182" s="648"/>
      <c r="AC182" s="648"/>
      <c r="AD182" s="648"/>
      <c r="AE182" s="648"/>
      <c r="AF182" s="648"/>
      <c r="AG182" s="648"/>
      <c r="AH182" s="648"/>
      <c r="AI182" s="648"/>
      <c r="AJ182" s="648"/>
      <c r="AK182" s="648"/>
      <c r="AL182" s="648"/>
      <c r="AM182" s="648"/>
      <c r="AN182" s="648"/>
      <c r="AO182" s="648"/>
      <c r="AP182" s="648"/>
      <c r="AQ182" s="648"/>
      <c r="AR182" s="648"/>
      <c r="AS182" s="648"/>
      <c r="AT182" s="648"/>
      <c r="AU182" s="648"/>
      <c r="AV182" s="648"/>
      <c r="AW182" s="648"/>
      <c r="AX182" s="648"/>
      <c r="AY182" s="648"/>
      <c r="AZ182" s="648"/>
      <c r="BA182" s="648"/>
      <c r="BB182" s="648"/>
      <c r="BC182" s="648"/>
      <c r="BD182" s="648"/>
      <c r="BE182" s="648"/>
      <c r="BF182" s="648"/>
      <c r="BG182" s="648"/>
      <c r="BH182" s="648"/>
      <c r="BI182" s="648"/>
      <c r="BJ182" s="648"/>
      <c r="BT182" s="657"/>
      <c r="BU182" s="657"/>
      <c r="BV182" s="657"/>
      <c r="BW182" s="657"/>
    </row>
    <row r="183" s="99" customFormat="true" ht="16.5" hidden="false" customHeight="false" outlineLevel="0" collapsed="false">
      <c r="A183" s="648"/>
      <c r="B183" s="648"/>
      <c r="C183" s="648"/>
      <c r="D183" s="648"/>
      <c r="E183" s="648"/>
      <c r="F183" s="648"/>
      <c r="G183" s="648"/>
      <c r="H183" s="648"/>
      <c r="I183" s="648"/>
      <c r="J183" s="648"/>
      <c r="K183" s="648"/>
      <c r="L183" s="648"/>
      <c r="M183" s="648"/>
      <c r="N183" s="648"/>
      <c r="O183" s="648"/>
      <c r="P183" s="648"/>
      <c r="Q183" s="648"/>
      <c r="R183" s="648"/>
      <c r="S183" s="648"/>
      <c r="T183" s="648"/>
      <c r="U183" s="648"/>
      <c r="V183" s="648"/>
      <c r="W183" s="648"/>
      <c r="X183" s="648"/>
      <c r="Y183" s="648"/>
      <c r="Z183" s="648"/>
      <c r="AA183" s="648"/>
      <c r="AB183" s="648"/>
      <c r="AC183" s="648"/>
      <c r="AD183" s="648"/>
      <c r="AE183" s="648"/>
      <c r="AF183" s="648"/>
      <c r="AG183" s="648"/>
      <c r="AH183" s="648"/>
      <c r="AI183" s="648"/>
      <c r="AJ183" s="648"/>
      <c r="AK183" s="648"/>
      <c r="AL183" s="648"/>
      <c r="AM183" s="648"/>
      <c r="AN183" s="648"/>
      <c r="AO183" s="648"/>
      <c r="AP183" s="648"/>
      <c r="AQ183" s="648"/>
      <c r="AR183" s="648"/>
      <c r="AS183" s="648"/>
      <c r="AT183" s="648"/>
      <c r="AU183" s="648"/>
      <c r="AV183" s="648"/>
      <c r="AW183" s="648"/>
      <c r="AX183" s="648"/>
      <c r="AY183" s="648"/>
      <c r="AZ183" s="648"/>
      <c r="BA183" s="648"/>
      <c r="BB183" s="648"/>
      <c r="BC183" s="648"/>
      <c r="BD183" s="648"/>
      <c r="BE183" s="648"/>
      <c r="BF183" s="648"/>
      <c r="BG183" s="648"/>
      <c r="BH183" s="648"/>
      <c r="BI183" s="648"/>
      <c r="BJ183" s="648"/>
      <c r="BT183" s="657"/>
      <c r="BU183" s="657"/>
      <c r="BV183" s="657"/>
      <c r="BW183" s="657"/>
    </row>
    <row r="184" s="99" customFormat="true" ht="16.5" hidden="false" customHeight="false" outlineLevel="0" collapsed="false">
      <c r="A184" s="648"/>
      <c r="B184" s="648"/>
      <c r="C184" s="648"/>
      <c r="D184" s="648"/>
      <c r="E184" s="648"/>
      <c r="F184" s="648"/>
      <c r="G184" s="648"/>
      <c r="H184" s="648"/>
      <c r="I184" s="648"/>
      <c r="J184" s="648"/>
      <c r="K184" s="648"/>
      <c r="L184" s="648"/>
      <c r="M184" s="648"/>
      <c r="N184" s="648"/>
      <c r="O184" s="648"/>
      <c r="P184" s="648"/>
      <c r="Q184" s="648"/>
      <c r="R184" s="648"/>
      <c r="S184" s="648"/>
      <c r="T184" s="648"/>
      <c r="U184" s="648"/>
      <c r="V184" s="648"/>
      <c r="W184" s="648"/>
      <c r="X184" s="648"/>
      <c r="Y184" s="648"/>
      <c r="Z184" s="648"/>
      <c r="AA184" s="648"/>
      <c r="AB184" s="648"/>
      <c r="AC184" s="648"/>
      <c r="AD184" s="648"/>
      <c r="AE184" s="648"/>
      <c r="AF184" s="648"/>
      <c r="AG184" s="648"/>
      <c r="AH184" s="648"/>
      <c r="AI184" s="648"/>
      <c r="AJ184" s="648"/>
      <c r="AK184" s="648"/>
      <c r="AL184" s="648"/>
      <c r="AM184" s="648"/>
      <c r="AN184" s="648"/>
      <c r="AO184" s="648"/>
      <c r="AP184" s="648"/>
      <c r="AQ184" s="648"/>
      <c r="AR184" s="648"/>
      <c r="AS184" s="648"/>
      <c r="AT184" s="648"/>
      <c r="AU184" s="648"/>
      <c r="AV184" s="648"/>
      <c r="AW184" s="648"/>
      <c r="AX184" s="648"/>
      <c r="AY184" s="648"/>
      <c r="AZ184" s="648"/>
      <c r="BA184" s="648"/>
      <c r="BB184" s="648"/>
      <c r="BC184" s="648"/>
      <c r="BD184" s="648"/>
      <c r="BE184" s="648"/>
      <c r="BF184" s="648"/>
      <c r="BG184" s="648"/>
      <c r="BH184" s="648"/>
      <c r="BI184" s="648"/>
      <c r="BJ184" s="648"/>
      <c r="BT184" s="657"/>
      <c r="BU184" s="657"/>
      <c r="BV184" s="657"/>
      <c r="BW184" s="657"/>
    </row>
    <row r="185" s="99" customFormat="true" ht="16.5" hidden="false" customHeight="false" outlineLevel="0" collapsed="false">
      <c r="A185" s="648"/>
      <c r="B185" s="648"/>
      <c r="C185" s="648"/>
      <c r="D185" s="648"/>
      <c r="E185" s="648"/>
      <c r="F185" s="648"/>
      <c r="G185" s="648"/>
      <c r="H185" s="648"/>
      <c r="I185" s="648"/>
      <c r="J185" s="648"/>
      <c r="K185" s="648"/>
      <c r="L185" s="648"/>
      <c r="M185" s="648"/>
      <c r="N185" s="648"/>
      <c r="O185" s="648"/>
      <c r="P185" s="648"/>
      <c r="Q185" s="648"/>
      <c r="R185" s="648"/>
      <c r="S185" s="648"/>
      <c r="T185" s="648"/>
      <c r="U185" s="648"/>
      <c r="V185" s="648"/>
      <c r="W185" s="648"/>
      <c r="X185" s="648"/>
      <c r="Y185" s="648"/>
      <c r="Z185" s="648"/>
      <c r="AA185" s="648"/>
      <c r="AB185" s="648"/>
      <c r="AC185" s="648"/>
      <c r="AD185" s="648"/>
      <c r="AE185" s="648"/>
      <c r="AF185" s="648"/>
      <c r="AG185" s="648"/>
      <c r="AH185" s="648"/>
      <c r="AI185" s="648"/>
      <c r="AJ185" s="648"/>
      <c r="AK185" s="648"/>
      <c r="AL185" s="648"/>
      <c r="AM185" s="648"/>
      <c r="AN185" s="648"/>
      <c r="AO185" s="648"/>
      <c r="AP185" s="648"/>
      <c r="AQ185" s="648"/>
      <c r="AR185" s="648"/>
      <c r="AS185" s="648"/>
      <c r="AT185" s="648"/>
      <c r="AU185" s="648"/>
      <c r="AV185" s="648"/>
      <c r="AW185" s="648"/>
      <c r="AX185" s="648"/>
      <c r="AY185" s="648"/>
      <c r="AZ185" s="648"/>
      <c r="BA185" s="648"/>
      <c r="BB185" s="648"/>
      <c r="BC185" s="648"/>
      <c r="BD185" s="648"/>
      <c r="BE185" s="648"/>
      <c r="BF185" s="648"/>
      <c r="BG185" s="648"/>
      <c r="BH185" s="648"/>
      <c r="BI185" s="648"/>
      <c r="BJ185" s="648"/>
      <c r="BT185" s="657"/>
      <c r="BU185" s="657"/>
      <c r="BV185" s="657"/>
      <c r="BW185" s="657"/>
    </row>
    <row r="186" s="99" customFormat="true" ht="16.5" hidden="false" customHeight="false" outlineLevel="0" collapsed="false">
      <c r="A186" s="648"/>
      <c r="B186" s="648"/>
      <c r="C186" s="648"/>
      <c r="D186" s="648"/>
      <c r="E186" s="648"/>
      <c r="F186" s="648"/>
      <c r="G186" s="648"/>
      <c r="H186" s="648"/>
      <c r="I186" s="648"/>
      <c r="J186" s="648"/>
      <c r="K186" s="648"/>
      <c r="L186" s="648"/>
      <c r="M186" s="648"/>
      <c r="N186" s="648"/>
      <c r="O186" s="648"/>
      <c r="P186" s="648"/>
      <c r="Q186" s="648"/>
      <c r="R186" s="648"/>
      <c r="S186" s="648"/>
      <c r="T186" s="648"/>
      <c r="U186" s="648"/>
      <c r="V186" s="648"/>
      <c r="W186" s="648"/>
      <c r="X186" s="648"/>
      <c r="Y186" s="648"/>
      <c r="Z186" s="648"/>
      <c r="AA186" s="648"/>
      <c r="AB186" s="648"/>
      <c r="AC186" s="648"/>
      <c r="AD186" s="648"/>
      <c r="AE186" s="648"/>
      <c r="AF186" s="648"/>
      <c r="AG186" s="648"/>
      <c r="AH186" s="648"/>
      <c r="AI186" s="648"/>
      <c r="AJ186" s="648"/>
      <c r="AK186" s="648"/>
      <c r="AL186" s="648"/>
      <c r="AM186" s="648"/>
      <c r="AN186" s="648"/>
      <c r="AO186" s="648"/>
      <c r="AP186" s="648"/>
      <c r="AQ186" s="648"/>
      <c r="AR186" s="648"/>
      <c r="AS186" s="648"/>
      <c r="AT186" s="648"/>
      <c r="AU186" s="648"/>
      <c r="AV186" s="648"/>
      <c r="AW186" s="648"/>
      <c r="AX186" s="648"/>
      <c r="AY186" s="648"/>
      <c r="AZ186" s="648"/>
      <c r="BA186" s="648"/>
      <c r="BB186" s="648"/>
      <c r="BC186" s="648"/>
      <c r="BD186" s="648"/>
      <c r="BE186" s="648"/>
      <c r="BF186" s="648"/>
      <c r="BG186" s="648"/>
      <c r="BH186" s="648"/>
      <c r="BI186" s="648"/>
      <c r="BJ186" s="648"/>
      <c r="BT186" s="657"/>
      <c r="BU186" s="657"/>
      <c r="BV186" s="657"/>
      <c r="BW186" s="657"/>
    </row>
    <row r="187" s="99" customFormat="true" ht="16.5" hidden="false" customHeight="false" outlineLevel="0" collapsed="false">
      <c r="A187" s="648"/>
      <c r="B187" s="648"/>
      <c r="C187" s="648"/>
      <c r="D187" s="648"/>
      <c r="E187" s="648"/>
      <c r="F187" s="648"/>
      <c r="G187" s="648"/>
      <c r="H187" s="648"/>
      <c r="I187" s="648"/>
      <c r="J187" s="648"/>
      <c r="K187" s="648"/>
      <c r="L187" s="648"/>
      <c r="M187" s="648"/>
      <c r="N187" s="648"/>
      <c r="O187" s="648"/>
      <c r="P187" s="648"/>
      <c r="Q187" s="648"/>
      <c r="R187" s="648"/>
      <c r="S187" s="648"/>
      <c r="T187" s="648"/>
      <c r="U187" s="648"/>
      <c r="V187" s="648"/>
      <c r="W187" s="648"/>
      <c r="X187" s="648"/>
      <c r="Y187" s="648"/>
      <c r="Z187" s="648"/>
      <c r="AA187" s="648"/>
      <c r="AB187" s="648"/>
      <c r="AC187" s="648"/>
      <c r="AD187" s="648"/>
      <c r="AE187" s="648"/>
      <c r="AF187" s="648"/>
      <c r="AG187" s="648"/>
      <c r="AH187" s="648"/>
      <c r="AI187" s="648"/>
      <c r="AJ187" s="648"/>
      <c r="AK187" s="648"/>
      <c r="AL187" s="648"/>
      <c r="AM187" s="648"/>
      <c r="AN187" s="648"/>
      <c r="AO187" s="648"/>
      <c r="AP187" s="648"/>
      <c r="AQ187" s="648"/>
      <c r="AR187" s="648"/>
      <c r="AS187" s="648"/>
      <c r="AT187" s="648"/>
      <c r="AU187" s="648"/>
      <c r="AV187" s="648"/>
      <c r="AW187" s="648"/>
      <c r="AX187" s="648"/>
      <c r="AY187" s="648"/>
      <c r="AZ187" s="648"/>
      <c r="BA187" s="648"/>
      <c r="BB187" s="648"/>
      <c r="BC187" s="648"/>
      <c r="BD187" s="648"/>
      <c r="BE187" s="648"/>
      <c r="BF187" s="648"/>
      <c r="BG187" s="648"/>
      <c r="BH187" s="648"/>
      <c r="BI187" s="648"/>
      <c r="BJ187" s="648"/>
      <c r="BT187" s="657"/>
      <c r="BU187" s="657"/>
      <c r="BV187" s="657"/>
      <c r="BW187" s="657"/>
    </row>
    <row r="188" s="99" customFormat="true" ht="16.5" hidden="false" customHeight="false" outlineLevel="0" collapsed="false">
      <c r="A188" s="648"/>
      <c r="B188" s="648"/>
      <c r="C188" s="648"/>
      <c r="D188" s="648"/>
      <c r="E188" s="648"/>
      <c r="F188" s="648"/>
      <c r="G188" s="648"/>
      <c r="H188" s="648"/>
      <c r="I188" s="648"/>
      <c r="J188" s="648"/>
      <c r="K188" s="648"/>
      <c r="L188" s="648"/>
      <c r="M188" s="648"/>
      <c r="N188" s="648"/>
      <c r="O188" s="648"/>
      <c r="P188" s="648"/>
      <c r="Q188" s="648"/>
      <c r="R188" s="648"/>
      <c r="S188" s="648"/>
      <c r="T188" s="648"/>
      <c r="U188" s="648"/>
      <c r="V188" s="648"/>
      <c r="W188" s="648"/>
      <c r="X188" s="648"/>
      <c r="Y188" s="648"/>
      <c r="Z188" s="648"/>
      <c r="AA188" s="648"/>
      <c r="AB188" s="648"/>
      <c r="AC188" s="648"/>
      <c r="AD188" s="648"/>
      <c r="AE188" s="648"/>
      <c r="AF188" s="648"/>
      <c r="AG188" s="648"/>
      <c r="AH188" s="648"/>
      <c r="AI188" s="648"/>
      <c r="AJ188" s="648"/>
      <c r="AK188" s="648"/>
      <c r="AL188" s="648"/>
      <c r="AM188" s="648"/>
      <c r="AN188" s="648"/>
      <c r="AO188" s="648"/>
      <c r="AP188" s="648"/>
      <c r="AQ188" s="648"/>
      <c r="AR188" s="648"/>
      <c r="AS188" s="648"/>
      <c r="AT188" s="648"/>
      <c r="AU188" s="648"/>
      <c r="AV188" s="648"/>
      <c r="AW188" s="648"/>
      <c r="AX188" s="648"/>
      <c r="AY188" s="648"/>
      <c r="AZ188" s="648"/>
      <c r="BA188" s="648"/>
      <c r="BB188" s="648"/>
      <c r="BC188" s="648"/>
      <c r="BD188" s="648"/>
      <c r="BE188" s="648"/>
      <c r="BF188" s="648"/>
      <c r="BG188" s="648"/>
      <c r="BH188" s="648"/>
      <c r="BI188" s="648"/>
      <c r="BJ188" s="648"/>
      <c r="BT188" s="657"/>
      <c r="BU188" s="657"/>
      <c r="BV188" s="657"/>
      <c r="BW188" s="657"/>
    </row>
    <row r="189" s="99" customFormat="true" ht="16.5" hidden="false" customHeight="false" outlineLevel="0" collapsed="false">
      <c r="A189" s="648"/>
      <c r="B189" s="648"/>
      <c r="C189" s="648"/>
      <c r="D189" s="648"/>
      <c r="E189" s="648"/>
      <c r="F189" s="648"/>
      <c r="G189" s="648"/>
      <c r="H189" s="648"/>
      <c r="I189" s="648"/>
      <c r="J189" s="648"/>
      <c r="K189" s="648"/>
      <c r="L189" s="648"/>
      <c r="M189" s="648"/>
      <c r="N189" s="648"/>
      <c r="O189" s="648"/>
      <c r="P189" s="648"/>
      <c r="Q189" s="648"/>
      <c r="R189" s="648"/>
      <c r="S189" s="648"/>
      <c r="T189" s="648"/>
      <c r="U189" s="648"/>
      <c r="V189" s="648"/>
      <c r="W189" s="648"/>
      <c r="X189" s="648"/>
      <c r="Y189" s="648"/>
      <c r="Z189" s="648"/>
      <c r="AA189" s="648"/>
      <c r="AB189" s="648"/>
      <c r="AC189" s="648"/>
      <c r="AD189" s="648"/>
      <c r="AE189" s="648"/>
      <c r="AF189" s="648"/>
      <c r="AG189" s="648"/>
      <c r="AH189" s="648"/>
      <c r="AI189" s="648"/>
      <c r="AJ189" s="648"/>
      <c r="AK189" s="648"/>
      <c r="AL189" s="648"/>
      <c r="AM189" s="648"/>
      <c r="AN189" s="648"/>
      <c r="AO189" s="648"/>
      <c r="AP189" s="648"/>
      <c r="AQ189" s="648"/>
      <c r="AR189" s="648"/>
      <c r="AS189" s="648"/>
      <c r="AT189" s="648"/>
      <c r="AU189" s="648"/>
      <c r="AV189" s="648"/>
      <c r="AW189" s="648"/>
      <c r="AX189" s="648"/>
      <c r="AY189" s="648"/>
      <c r="AZ189" s="648"/>
      <c r="BA189" s="648"/>
      <c r="BB189" s="648"/>
      <c r="BC189" s="648"/>
      <c r="BD189" s="648"/>
      <c r="BE189" s="648"/>
      <c r="BF189" s="648"/>
      <c r="BG189" s="648"/>
      <c r="BH189" s="648"/>
      <c r="BI189" s="648"/>
      <c r="BJ189" s="648"/>
      <c r="BT189" s="657"/>
      <c r="BU189" s="657"/>
      <c r="BV189" s="657"/>
      <c r="BW189" s="657"/>
    </row>
    <row r="190" s="99" customFormat="true" ht="16.5" hidden="false" customHeight="false" outlineLevel="0" collapsed="false">
      <c r="A190" s="648"/>
      <c r="B190" s="648"/>
      <c r="C190" s="648"/>
      <c r="D190" s="648"/>
      <c r="E190" s="648"/>
      <c r="F190" s="648"/>
      <c r="G190" s="648"/>
      <c r="H190" s="648"/>
      <c r="I190" s="648"/>
      <c r="J190" s="648"/>
      <c r="K190" s="648"/>
      <c r="L190" s="648"/>
      <c r="M190" s="648"/>
      <c r="N190" s="648"/>
      <c r="O190" s="648"/>
      <c r="P190" s="648"/>
      <c r="Q190" s="648"/>
      <c r="R190" s="648"/>
      <c r="S190" s="648"/>
      <c r="T190" s="648"/>
      <c r="U190" s="648"/>
      <c r="V190" s="648"/>
      <c r="W190" s="648"/>
      <c r="X190" s="648"/>
      <c r="Y190" s="648"/>
      <c r="Z190" s="648"/>
      <c r="AA190" s="648"/>
      <c r="AB190" s="648"/>
      <c r="AC190" s="648"/>
      <c r="AD190" s="648"/>
      <c r="AE190" s="648"/>
      <c r="AF190" s="648"/>
      <c r="AG190" s="648"/>
      <c r="AH190" s="648"/>
      <c r="AI190" s="648"/>
      <c r="AJ190" s="648"/>
      <c r="AK190" s="648"/>
      <c r="AL190" s="648"/>
      <c r="AM190" s="648"/>
      <c r="AN190" s="648"/>
      <c r="AO190" s="648"/>
      <c r="AP190" s="648"/>
      <c r="AQ190" s="648"/>
      <c r="AR190" s="648"/>
      <c r="AS190" s="648"/>
      <c r="AT190" s="648"/>
      <c r="AU190" s="648"/>
      <c r="AV190" s="648"/>
      <c r="AW190" s="648"/>
      <c r="AX190" s="648"/>
      <c r="AY190" s="648"/>
      <c r="AZ190" s="648"/>
      <c r="BA190" s="648"/>
      <c r="BB190" s="648"/>
      <c r="BC190" s="648"/>
      <c r="BD190" s="648"/>
      <c r="BE190" s="648"/>
      <c r="BF190" s="648"/>
      <c r="BG190" s="648"/>
      <c r="BH190" s="648"/>
      <c r="BI190" s="648"/>
      <c r="BJ190" s="648"/>
      <c r="BT190" s="657"/>
      <c r="BU190" s="657"/>
      <c r="BV190" s="657"/>
      <c r="BW190" s="657"/>
    </row>
    <row r="191" s="99" customFormat="true" ht="16.5" hidden="false" customHeight="false" outlineLevel="0" collapsed="false">
      <c r="A191" s="648"/>
      <c r="B191" s="648"/>
      <c r="C191" s="648"/>
      <c r="D191" s="648"/>
      <c r="E191" s="648"/>
      <c r="F191" s="648"/>
      <c r="G191" s="648"/>
      <c r="H191" s="648"/>
      <c r="I191" s="648"/>
      <c r="J191" s="648"/>
      <c r="K191" s="648"/>
      <c r="L191" s="648"/>
      <c r="M191" s="648"/>
      <c r="N191" s="648"/>
      <c r="O191" s="648"/>
      <c r="P191" s="648"/>
      <c r="Q191" s="648"/>
      <c r="R191" s="648"/>
      <c r="S191" s="648"/>
      <c r="T191" s="648"/>
      <c r="U191" s="648"/>
      <c r="V191" s="648"/>
      <c r="W191" s="648"/>
      <c r="X191" s="648"/>
      <c r="Y191" s="648"/>
      <c r="Z191" s="648"/>
      <c r="AA191" s="648"/>
      <c r="AB191" s="648"/>
      <c r="AC191" s="648"/>
      <c r="AD191" s="648"/>
      <c r="AE191" s="648"/>
      <c r="AF191" s="648"/>
      <c r="AG191" s="648"/>
      <c r="AH191" s="648"/>
      <c r="AI191" s="648"/>
      <c r="AJ191" s="648"/>
      <c r="AK191" s="648"/>
      <c r="AL191" s="648"/>
      <c r="AM191" s="648"/>
      <c r="AN191" s="648"/>
      <c r="AO191" s="648"/>
      <c r="AP191" s="648"/>
      <c r="AQ191" s="648"/>
      <c r="AR191" s="648"/>
      <c r="AS191" s="648"/>
      <c r="AT191" s="648"/>
      <c r="AU191" s="648"/>
      <c r="AV191" s="648"/>
      <c r="AW191" s="648"/>
      <c r="AX191" s="648"/>
      <c r="AY191" s="648"/>
      <c r="AZ191" s="648"/>
      <c r="BA191" s="648"/>
      <c r="BB191" s="648"/>
      <c r="BC191" s="648"/>
      <c r="BD191" s="648"/>
      <c r="BE191" s="648"/>
      <c r="BF191" s="648"/>
      <c r="BG191" s="648"/>
      <c r="BH191" s="648"/>
      <c r="BI191" s="648"/>
      <c r="BJ191" s="648"/>
      <c r="BT191" s="657"/>
      <c r="BU191" s="657"/>
      <c r="BV191" s="657"/>
      <c r="BW191" s="657"/>
    </row>
    <row r="192" s="99" customFormat="true" ht="16.5" hidden="false" customHeight="false" outlineLevel="0" collapsed="false">
      <c r="A192" s="648"/>
      <c r="B192" s="648"/>
      <c r="C192" s="648"/>
      <c r="D192" s="648"/>
      <c r="E192" s="648"/>
      <c r="F192" s="648"/>
      <c r="G192" s="648"/>
      <c r="H192" s="648"/>
      <c r="I192" s="648"/>
      <c r="J192" s="648"/>
      <c r="K192" s="648"/>
      <c r="L192" s="648"/>
      <c r="M192" s="648"/>
      <c r="N192" s="648"/>
      <c r="O192" s="648"/>
      <c r="P192" s="648"/>
      <c r="Q192" s="648"/>
      <c r="R192" s="648"/>
      <c r="S192" s="648"/>
      <c r="T192" s="648"/>
      <c r="U192" s="648"/>
      <c r="V192" s="648"/>
      <c r="W192" s="648"/>
      <c r="X192" s="648"/>
      <c r="Y192" s="648"/>
      <c r="Z192" s="648"/>
      <c r="AA192" s="648"/>
      <c r="AB192" s="648"/>
      <c r="AC192" s="648"/>
      <c r="AD192" s="648"/>
      <c r="AE192" s="648"/>
      <c r="AF192" s="648"/>
      <c r="AG192" s="648"/>
      <c r="AH192" s="648"/>
      <c r="AI192" s="648"/>
      <c r="AJ192" s="648"/>
      <c r="AK192" s="648"/>
      <c r="AL192" s="648"/>
      <c r="AM192" s="648"/>
      <c r="AN192" s="648"/>
      <c r="AO192" s="648"/>
      <c r="AP192" s="648"/>
      <c r="AQ192" s="648"/>
      <c r="AR192" s="648"/>
      <c r="AS192" s="648"/>
      <c r="AT192" s="648"/>
      <c r="AU192" s="648"/>
      <c r="AV192" s="648"/>
      <c r="AW192" s="648"/>
      <c r="AX192" s="648"/>
      <c r="AY192" s="648"/>
      <c r="AZ192" s="648"/>
      <c r="BA192" s="648"/>
      <c r="BB192" s="648"/>
      <c r="BC192" s="648"/>
      <c r="BD192" s="648"/>
      <c r="BE192" s="648"/>
      <c r="BF192" s="648"/>
      <c r="BG192" s="648"/>
      <c r="BH192" s="648"/>
      <c r="BI192" s="648"/>
      <c r="BJ192" s="648"/>
      <c r="BT192" s="657"/>
      <c r="BU192" s="657"/>
      <c r="BV192" s="657"/>
      <c r="BW192" s="657"/>
    </row>
    <row r="193" s="99" customFormat="true" ht="16.5" hidden="false" customHeight="false" outlineLevel="0" collapsed="false">
      <c r="A193" s="648"/>
      <c r="B193" s="648"/>
      <c r="C193" s="648"/>
      <c r="D193" s="648"/>
      <c r="E193" s="648"/>
      <c r="F193" s="648"/>
      <c r="G193" s="648"/>
      <c r="H193" s="648"/>
      <c r="I193" s="648"/>
      <c r="J193" s="648"/>
      <c r="K193" s="648"/>
      <c r="L193" s="648"/>
      <c r="M193" s="648"/>
      <c r="N193" s="648"/>
      <c r="O193" s="648"/>
      <c r="P193" s="648"/>
      <c r="Q193" s="648"/>
      <c r="R193" s="648"/>
      <c r="S193" s="648"/>
      <c r="T193" s="648"/>
      <c r="U193" s="648"/>
      <c r="V193" s="648"/>
      <c r="W193" s="648"/>
      <c r="X193" s="648"/>
      <c r="Y193" s="648"/>
      <c r="Z193" s="648"/>
      <c r="AA193" s="648"/>
      <c r="AB193" s="648"/>
      <c r="AC193" s="648"/>
      <c r="AD193" s="648"/>
      <c r="AE193" s="648"/>
      <c r="AF193" s="648"/>
      <c r="AG193" s="648"/>
      <c r="AH193" s="648"/>
      <c r="AI193" s="648"/>
      <c r="AJ193" s="648"/>
      <c r="AK193" s="648"/>
      <c r="AL193" s="648"/>
      <c r="AM193" s="648"/>
      <c r="AN193" s="648"/>
      <c r="AO193" s="648"/>
      <c r="AP193" s="648"/>
      <c r="AQ193" s="648"/>
      <c r="AR193" s="648"/>
      <c r="AS193" s="648"/>
      <c r="AT193" s="648"/>
      <c r="AU193" s="648"/>
      <c r="AV193" s="648"/>
      <c r="AW193" s="648"/>
      <c r="AX193" s="648"/>
      <c r="AY193" s="648"/>
      <c r="AZ193" s="648"/>
      <c r="BA193" s="648"/>
      <c r="BB193" s="648"/>
      <c r="BC193" s="648"/>
      <c r="BD193" s="648"/>
      <c r="BE193" s="648"/>
      <c r="BF193" s="648"/>
      <c r="BG193" s="648"/>
      <c r="BH193" s="648"/>
      <c r="BI193" s="648"/>
      <c r="BJ193" s="648"/>
      <c r="BT193" s="657"/>
      <c r="BU193" s="657"/>
      <c r="BV193" s="657"/>
      <c r="BW193" s="657"/>
    </row>
    <row r="194" s="99" customFormat="true" ht="16.5" hidden="false" customHeight="false" outlineLevel="0" collapsed="false">
      <c r="A194" s="648"/>
      <c r="B194" s="648"/>
      <c r="C194" s="648"/>
      <c r="D194" s="648"/>
      <c r="E194" s="648"/>
      <c r="F194" s="648"/>
      <c r="G194" s="648"/>
      <c r="H194" s="648"/>
      <c r="I194" s="648"/>
      <c r="J194" s="648"/>
      <c r="K194" s="648"/>
      <c r="L194" s="648"/>
      <c r="M194" s="648"/>
      <c r="N194" s="648"/>
      <c r="O194" s="648"/>
      <c r="P194" s="648"/>
      <c r="Q194" s="648"/>
      <c r="R194" s="648"/>
      <c r="S194" s="648"/>
      <c r="T194" s="648"/>
      <c r="U194" s="648"/>
      <c r="V194" s="648"/>
      <c r="W194" s="648"/>
      <c r="X194" s="648"/>
      <c r="Y194" s="648"/>
      <c r="Z194" s="648"/>
      <c r="AA194" s="648"/>
      <c r="AB194" s="648"/>
      <c r="AC194" s="648"/>
      <c r="AD194" s="648"/>
      <c r="AE194" s="648"/>
      <c r="AF194" s="648"/>
      <c r="AG194" s="648"/>
      <c r="AH194" s="648"/>
      <c r="AI194" s="648"/>
      <c r="AJ194" s="648"/>
      <c r="AK194" s="648"/>
      <c r="AL194" s="648"/>
      <c r="AM194" s="648"/>
      <c r="AN194" s="648"/>
      <c r="AO194" s="648"/>
      <c r="AP194" s="648"/>
      <c r="AQ194" s="648"/>
      <c r="AR194" s="648"/>
      <c r="AS194" s="648"/>
      <c r="AT194" s="648"/>
      <c r="AU194" s="648"/>
      <c r="AV194" s="648"/>
      <c r="AW194" s="648"/>
      <c r="AX194" s="648"/>
      <c r="AY194" s="648"/>
      <c r="AZ194" s="648"/>
      <c r="BA194" s="648"/>
      <c r="BB194" s="648"/>
      <c r="BC194" s="648"/>
      <c r="BD194" s="648"/>
      <c r="BE194" s="648"/>
      <c r="BF194" s="648"/>
      <c r="BG194" s="648"/>
      <c r="BH194" s="648"/>
      <c r="BI194" s="648"/>
      <c r="BJ194" s="648"/>
      <c r="BT194" s="657"/>
      <c r="BU194" s="657"/>
      <c r="BV194" s="657"/>
      <c r="BW194" s="657"/>
    </row>
    <row r="195" s="99" customFormat="true" ht="16.5" hidden="false" customHeight="false" outlineLevel="0" collapsed="false">
      <c r="A195" s="648"/>
      <c r="B195" s="648"/>
      <c r="C195" s="648"/>
      <c r="D195" s="648"/>
      <c r="E195" s="648"/>
      <c r="F195" s="648"/>
      <c r="G195" s="648"/>
      <c r="H195" s="648"/>
      <c r="I195" s="648"/>
      <c r="J195" s="648"/>
      <c r="K195" s="648"/>
      <c r="L195" s="648"/>
      <c r="M195" s="648"/>
      <c r="N195" s="648"/>
      <c r="O195" s="648"/>
      <c r="P195" s="648"/>
      <c r="Q195" s="648"/>
      <c r="R195" s="648"/>
      <c r="S195" s="648"/>
      <c r="T195" s="648"/>
      <c r="U195" s="648"/>
      <c r="V195" s="648"/>
      <c r="W195" s="648"/>
      <c r="X195" s="648"/>
      <c r="Y195" s="648"/>
      <c r="Z195" s="648"/>
      <c r="AA195" s="648"/>
      <c r="AB195" s="648"/>
      <c r="AC195" s="648"/>
      <c r="AD195" s="648"/>
      <c r="AE195" s="648"/>
      <c r="AF195" s="648"/>
      <c r="AG195" s="648"/>
      <c r="AH195" s="648"/>
      <c r="AI195" s="648"/>
      <c r="AJ195" s="648"/>
      <c r="AK195" s="648"/>
      <c r="AL195" s="648"/>
      <c r="AM195" s="648"/>
      <c r="AN195" s="648"/>
      <c r="AO195" s="648"/>
      <c r="AP195" s="648"/>
      <c r="AQ195" s="648"/>
      <c r="AR195" s="648"/>
      <c r="AS195" s="648"/>
      <c r="AT195" s="648"/>
      <c r="AU195" s="648"/>
      <c r="AV195" s="648"/>
      <c r="AW195" s="648"/>
      <c r="AX195" s="648"/>
      <c r="AY195" s="648"/>
      <c r="AZ195" s="648"/>
      <c r="BA195" s="648"/>
      <c r="BB195" s="648"/>
      <c r="BC195" s="648"/>
      <c r="BD195" s="648"/>
      <c r="BE195" s="648"/>
      <c r="BF195" s="648"/>
      <c r="BG195" s="648"/>
      <c r="BH195" s="648"/>
      <c r="BI195" s="648"/>
      <c r="BJ195" s="648"/>
      <c r="BT195" s="657"/>
      <c r="BU195" s="657"/>
      <c r="BV195" s="657"/>
      <c r="BW195" s="657"/>
    </row>
    <row r="196" s="99" customFormat="true" ht="16.5" hidden="false" customHeight="false" outlineLevel="0" collapsed="false">
      <c r="A196" s="648"/>
      <c r="B196" s="648"/>
      <c r="C196" s="648"/>
      <c r="D196" s="648"/>
      <c r="E196" s="648"/>
      <c r="F196" s="648"/>
      <c r="G196" s="648"/>
      <c r="H196" s="648"/>
      <c r="I196" s="648"/>
      <c r="J196" s="648"/>
      <c r="K196" s="648"/>
      <c r="L196" s="648"/>
      <c r="M196" s="648"/>
      <c r="N196" s="648"/>
      <c r="O196" s="648"/>
      <c r="P196" s="648"/>
      <c r="Q196" s="648"/>
      <c r="R196" s="648"/>
      <c r="S196" s="648"/>
      <c r="T196" s="648"/>
      <c r="U196" s="648"/>
      <c r="V196" s="648"/>
      <c r="W196" s="648"/>
      <c r="X196" s="648"/>
      <c r="Y196" s="648"/>
      <c r="Z196" s="648"/>
      <c r="AA196" s="648"/>
      <c r="AB196" s="648"/>
      <c r="AC196" s="648"/>
      <c r="AD196" s="648"/>
      <c r="AE196" s="648"/>
      <c r="AF196" s="648"/>
      <c r="AG196" s="648"/>
      <c r="AH196" s="648"/>
      <c r="AI196" s="648"/>
      <c r="AJ196" s="648"/>
      <c r="AK196" s="648"/>
      <c r="AL196" s="648"/>
      <c r="AM196" s="648"/>
      <c r="AN196" s="648"/>
      <c r="AO196" s="648"/>
      <c r="AP196" s="648"/>
      <c r="AQ196" s="648"/>
      <c r="AR196" s="648"/>
      <c r="AS196" s="648"/>
      <c r="AT196" s="648"/>
      <c r="AU196" s="648"/>
      <c r="AV196" s="648"/>
      <c r="AW196" s="648"/>
      <c r="AX196" s="648"/>
      <c r="AY196" s="648"/>
      <c r="AZ196" s="648"/>
      <c r="BA196" s="648"/>
      <c r="BB196" s="648"/>
      <c r="BC196" s="648"/>
      <c r="BD196" s="648"/>
      <c r="BE196" s="648"/>
      <c r="BF196" s="648"/>
      <c r="BG196" s="648"/>
      <c r="BH196" s="648"/>
      <c r="BI196" s="648"/>
      <c r="BJ196" s="648"/>
      <c r="BT196" s="657"/>
      <c r="BU196" s="657"/>
      <c r="BV196" s="657"/>
      <c r="BW196" s="657"/>
    </row>
    <row r="197" s="99" customFormat="true" ht="16.5" hidden="false" customHeight="false" outlineLevel="0" collapsed="false">
      <c r="A197" s="648"/>
      <c r="B197" s="648"/>
      <c r="C197" s="648"/>
      <c r="D197" s="648"/>
      <c r="E197" s="648"/>
      <c r="F197" s="648"/>
      <c r="G197" s="648"/>
      <c r="H197" s="648"/>
      <c r="I197" s="648"/>
      <c r="J197" s="648"/>
      <c r="K197" s="648"/>
      <c r="L197" s="648"/>
      <c r="M197" s="648"/>
      <c r="N197" s="648"/>
      <c r="O197" s="648"/>
      <c r="P197" s="648"/>
      <c r="Q197" s="648"/>
      <c r="R197" s="648"/>
      <c r="S197" s="648"/>
      <c r="T197" s="648"/>
      <c r="U197" s="648"/>
      <c r="V197" s="648"/>
      <c r="W197" s="648"/>
      <c r="X197" s="648"/>
      <c r="Y197" s="648"/>
      <c r="Z197" s="648"/>
      <c r="AA197" s="648"/>
      <c r="AB197" s="648"/>
      <c r="AC197" s="648"/>
      <c r="AD197" s="648"/>
      <c r="AE197" s="648"/>
      <c r="AF197" s="648"/>
      <c r="AG197" s="648"/>
      <c r="AH197" s="648"/>
      <c r="AI197" s="648"/>
      <c r="AJ197" s="648"/>
      <c r="AK197" s="648"/>
      <c r="AL197" s="648"/>
      <c r="AM197" s="648"/>
      <c r="AN197" s="648"/>
      <c r="AO197" s="648"/>
      <c r="AP197" s="648"/>
      <c r="AQ197" s="648"/>
      <c r="AR197" s="648"/>
      <c r="AS197" s="648"/>
      <c r="AT197" s="648"/>
      <c r="AU197" s="648"/>
      <c r="AV197" s="648"/>
      <c r="AW197" s="648"/>
      <c r="AX197" s="648"/>
      <c r="AY197" s="648"/>
      <c r="AZ197" s="648"/>
      <c r="BA197" s="648"/>
      <c r="BB197" s="648"/>
      <c r="BC197" s="648"/>
      <c r="BD197" s="648"/>
      <c r="BE197" s="648"/>
      <c r="BF197" s="648"/>
      <c r="BG197" s="648"/>
      <c r="BH197" s="648"/>
      <c r="BI197" s="648"/>
      <c r="BJ197" s="648"/>
      <c r="BT197" s="657"/>
      <c r="BU197" s="657"/>
      <c r="BV197" s="657"/>
      <c r="BW197" s="657"/>
    </row>
    <row r="198" s="99" customFormat="true" ht="16.5" hidden="false" customHeight="false" outlineLevel="0" collapsed="false">
      <c r="A198" s="648"/>
      <c r="B198" s="648"/>
      <c r="C198" s="648"/>
      <c r="D198" s="648"/>
      <c r="E198" s="648"/>
      <c r="F198" s="648"/>
      <c r="G198" s="648"/>
      <c r="H198" s="648"/>
      <c r="I198" s="648"/>
      <c r="J198" s="648"/>
      <c r="K198" s="648"/>
      <c r="L198" s="648"/>
      <c r="M198" s="648"/>
      <c r="N198" s="648"/>
      <c r="O198" s="648"/>
      <c r="P198" s="648"/>
      <c r="Q198" s="648"/>
      <c r="R198" s="648"/>
      <c r="S198" s="648"/>
      <c r="T198" s="648"/>
      <c r="U198" s="648"/>
      <c r="V198" s="648"/>
      <c r="W198" s="648"/>
      <c r="X198" s="648"/>
      <c r="Y198" s="648"/>
      <c r="Z198" s="648"/>
      <c r="AA198" s="648"/>
      <c r="AB198" s="648"/>
      <c r="AC198" s="648"/>
      <c r="AD198" s="648"/>
      <c r="AE198" s="648"/>
      <c r="AF198" s="648"/>
      <c r="AG198" s="648"/>
      <c r="AH198" s="648"/>
      <c r="AI198" s="648"/>
      <c r="AJ198" s="648"/>
      <c r="AK198" s="648"/>
      <c r="AL198" s="648"/>
      <c r="AM198" s="648"/>
      <c r="AN198" s="648"/>
      <c r="AO198" s="648"/>
      <c r="AP198" s="648"/>
      <c r="AQ198" s="648"/>
      <c r="AR198" s="648"/>
      <c r="AS198" s="648"/>
      <c r="AT198" s="648"/>
      <c r="AU198" s="648"/>
      <c r="AV198" s="648"/>
      <c r="AW198" s="648"/>
      <c r="AX198" s="648"/>
      <c r="AY198" s="648"/>
      <c r="AZ198" s="648"/>
      <c r="BA198" s="648"/>
      <c r="BB198" s="648"/>
      <c r="BC198" s="648"/>
      <c r="BD198" s="648"/>
      <c r="BE198" s="648"/>
      <c r="BF198" s="648"/>
      <c r="BG198" s="648"/>
      <c r="BH198" s="648"/>
      <c r="BI198" s="648"/>
      <c r="BJ198" s="648"/>
      <c r="BT198" s="657"/>
      <c r="BU198" s="657"/>
      <c r="BV198" s="657"/>
      <c r="BW198" s="657"/>
    </row>
    <row r="199" s="99" customFormat="true" ht="16.5" hidden="false" customHeight="false" outlineLevel="0" collapsed="false">
      <c r="A199" s="648"/>
      <c r="B199" s="648"/>
      <c r="C199" s="648"/>
      <c r="D199" s="648"/>
      <c r="E199" s="648"/>
      <c r="F199" s="648"/>
      <c r="G199" s="648"/>
      <c r="H199" s="648"/>
      <c r="I199" s="648"/>
      <c r="J199" s="648"/>
      <c r="K199" s="648"/>
      <c r="L199" s="648"/>
      <c r="M199" s="648"/>
      <c r="N199" s="648"/>
      <c r="O199" s="648"/>
      <c r="P199" s="648"/>
      <c r="Q199" s="648"/>
      <c r="R199" s="648"/>
      <c r="S199" s="648"/>
      <c r="T199" s="648"/>
      <c r="U199" s="648"/>
      <c r="V199" s="648"/>
      <c r="W199" s="648"/>
      <c r="X199" s="648"/>
      <c r="Y199" s="648"/>
      <c r="Z199" s="648"/>
      <c r="AA199" s="648"/>
      <c r="AB199" s="648"/>
      <c r="AC199" s="648"/>
      <c r="AD199" s="648"/>
      <c r="AE199" s="648"/>
      <c r="AF199" s="648"/>
      <c r="AG199" s="648"/>
      <c r="AH199" s="648"/>
      <c r="AI199" s="648"/>
      <c r="AJ199" s="648"/>
      <c r="AK199" s="648"/>
      <c r="AL199" s="648"/>
      <c r="AM199" s="648"/>
      <c r="AN199" s="648"/>
      <c r="AO199" s="648"/>
      <c r="AP199" s="648"/>
      <c r="AQ199" s="648"/>
      <c r="AR199" s="648"/>
      <c r="AS199" s="648"/>
      <c r="AT199" s="648"/>
      <c r="AU199" s="648"/>
      <c r="AV199" s="648"/>
      <c r="AW199" s="648"/>
      <c r="AX199" s="648"/>
      <c r="AY199" s="648"/>
      <c r="AZ199" s="648"/>
      <c r="BA199" s="648"/>
      <c r="BB199" s="648"/>
      <c r="BC199" s="648"/>
      <c r="BD199" s="648"/>
      <c r="BE199" s="648"/>
      <c r="BF199" s="648"/>
      <c r="BG199" s="648"/>
      <c r="BH199" s="648"/>
      <c r="BI199" s="648"/>
      <c r="BJ199" s="648"/>
      <c r="BT199" s="657"/>
      <c r="BU199" s="657"/>
      <c r="BV199" s="657"/>
      <c r="BW199" s="657"/>
    </row>
    <row r="200" s="99" customFormat="true" ht="16.5" hidden="false" customHeight="false" outlineLevel="0" collapsed="false">
      <c r="A200" s="648"/>
      <c r="B200" s="648"/>
      <c r="C200" s="648"/>
      <c r="D200" s="648"/>
      <c r="E200" s="648"/>
      <c r="F200" s="648"/>
      <c r="G200" s="648"/>
      <c r="H200" s="648"/>
      <c r="I200" s="648"/>
      <c r="J200" s="648"/>
      <c r="K200" s="648"/>
      <c r="L200" s="648"/>
      <c r="M200" s="648"/>
      <c r="N200" s="648"/>
      <c r="O200" s="648"/>
      <c r="P200" s="648"/>
      <c r="Q200" s="648"/>
      <c r="R200" s="648"/>
      <c r="S200" s="648"/>
      <c r="T200" s="648"/>
      <c r="U200" s="648"/>
      <c r="V200" s="648"/>
      <c r="W200" s="648"/>
      <c r="X200" s="648"/>
      <c r="Y200" s="648"/>
      <c r="Z200" s="648"/>
      <c r="AA200" s="648"/>
      <c r="AB200" s="648"/>
      <c r="AC200" s="648"/>
      <c r="AD200" s="648"/>
      <c r="AE200" s="648"/>
      <c r="AF200" s="648"/>
      <c r="AG200" s="648"/>
      <c r="AH200" s="648"/>
      <c r="AI200" s="648"/>
      <c r="AJ200" s="648"/>
      <c r="AK200" s="648"/>
      <c r="AL200" s="648"/>
      <c r="AM200" s="648"/>
      <c r="AN200" s="648"/>
      <c r="AO200" s="648"/>
      <c r="AP200" s="648"/>
      <c r="AQ200" s="648"/>
      <c r="AR200" s="648"/>
      <c r="AS200" s="648"/>
      <c r="AT200" s="648"/>
      <c r="AU200" s="648"/>
      <c r="AV200" s="648"/>
      <c r="AW200" s="648"/>
      <c r="AX200" s="648"/>
      <c r="AY200" s="648"/>
      <c r="AZ200" s="648"/>
      <c r="BA200" s="648"/>
      <c r="BB200" s="648"/>
      <c r="BC200" s="648"/>
      <c r="BD200" s="648"/>
      <c r="BE200" s="648"/>
      <c r="BF200" s="648"/>
      <c r="BG200" s="648"/>
      <c r="BH200" s="648"/>
      <c r="BI200" s="648"/>
      <c r="BJ200" s="648"/>
      <c r="BT200" s="657"/>
      <c r="BU200" s="657"/>
      <c r="BV200" s="657"/>
      <c r="BW200" s="657"/>
    </row>
    <row r="201" s="99" customFormat="true" ht="16.5" hidden="false" customHeight="false" outlineLevel="0" collapsed="false">
      <c r="A201" s="648"/>
      <c r="B201" s="648"/>
      <c r="C201" s="648"/>
      <c r="D201" s="648"/>
      <c r="E201" s="648"/>
      <c r="F201" s="648"/>
      <c r="G201" s="648"/>
      <c r="H201" s="648"/>
      <c r="I201" s="648"/>
      <c r="J201" s="648"/>
      <c r="K201" s="648"/>
      <c r="L201" s="648"/>
      <c r="M201" s="648"/>
      <c r="N201" s="648"/>
      <c r="O201" s="648"/>
      <c r="P201" s="648"/>
      <c r="Q201" s="648"/>
      <c r="R201" s="648"/>
      <c r="S201" s="648"/>
      <c r="T201" s="648"/>
      <c r="U201" s="648"/>
      <c r="V201" s="648"/>
      <c r="W201" s="648"/>
      <c r="X201" s="648"/>
      <c r="Y201" s="648"/>
      <c r="Z201" s="648"/>
      <c r="AA201" s="648"/>
      <c r="AB201" s="648"/>
      <c r="AC201" s="648"/>
      <c r="AD201" s="648"/>
      <c r="AE201" s="648"/>
      <c r="AF201" s="648"/>
      <c r="AG201" s="648"/>
      <c r="AH201" s="648"/>
      <c r="AI201" s="648"/>
      <c r="AJ201" s="648"/>
      <c r="AK201" s="648"/>
      <c r="AL201" s="648"/>
      <c r="AM201" s="648"/>
      <c r="AN201" s="648"/>
      <c r="AO201" s="648"/>
      <c r="AP201" s="648"/>
      <c r="AQ201" s="648"/>
      <c r="AR201" s="648"/>
      <c r="AS201" s="648"/>
      <c r="AT201" s="648"/>
      <c r="AU201" s="648"/>
      <c r="AV201" s="648"/>
      <c r="AW201" s="648"/>
      <c r="AX201" s="648"/>
      <c r="AY201" s="648"/>
      <c r="AZ201" s="648"/>
      <c r="BA201" s="648"/>
      <c r="BB201" s="648"/>
      <c r="BC201" s="648"/>
      <c r="BD201" s="648"/>
      <c r="BE201" s="648"/>
      <c r="BF201" s="648"/>
      <c r="BG201" s="648"/>
      <c r="BH201" s="648"/>
      <c r="BI201" s="648"/>
      <c r="BJ201" s="648"/>
      <c r="BT201" s="657"/>
      <c r="BU201" s="657"/>
      <c r="BV201" s="657"/>
      <c r="BW201" s="657"/>
    </row>
    <row r="202" s="99" customFormat="true" ht="16.5" hidden="false" customHeight="false" outlineLevel="0" collapsed="false">
      <c r="A202" s="648"/>
      <c r="B202" s="648"/>
      <c r="C202" s="648"/>
      <c r="D202" s="648"/>
      <c r="E202" s="648"/>
      <c r="F202" s="648"/>
      <c r="G202" s="648"/>
      <c r="H202" s="648"/>
      <c r="I202" s="648"/>
      <c r="J202" s="648"/>
      <c r="K202" s="648"/>
      <c r="L202" s="648"/>
      <c r="M202" s="648"/>
      <c r="N202" s="648"/>
      <c r="O202" s="648"/>
      <c r="P202" s="648"/>
      <c r="Q202" s="648"/>
      <c r="R202" s="648"/>
      <c r="S202" s="648"/>
      <c r="T202" s="648"/>
      <c r="U202" s="648"/>
      <c r="V202" s="648"/>
      <c r="W202" s="648"/>
      <c r="X202" s="648"/>
      <c r="Y202" s="648"/>
      <c r="Z202" s="648"/>
      <c r="AA202" s="648"/>
      <c r="AB202" s="648"/>
      <c r="AC202" s="648"/>
      <c r="AD202" s="648"/>
      <c r="AE202" s="648"/>
      <c r="AF202" s="648"/>
      <c r="AG202" s="648"/>
      <c r="AH202" s="648"/>
      <c r="AI202" s="648"/>
      <c r="AJ202" s="648"/>
      <c r="AK202" s="648"/>
      <c r="AL202" s="648"/>
      <c r="AM202" s="648"/>
      <c r="AN202" s="648"/>
      <c r="AO202" s="648"/>
      <c r="AP202" s="648"/>
      <c r="AQ202" s="648"/>
      <c r="AR202" s="648"/>
      <c r="AS202" s="648"/>
      <c r="AT202" s="648"/>
      <c r="AU202" s="648"/>
      <c r="AV202" s="648"/>
      <c r="AW202" s="648"/>
      <c r="AX202" s="648"/>
      <c r="AY202" s="648"/>
      <c r="AZ202" s="648"/>
      <c r="BA202" s="648"/>
      <c r="BB202" s="648"/>
      <c r="BC202" s="648"/>
      <c r="BD202" s="648"/>
      <c r="BE202" s="648"/>
      <c r="BF202" s="648"/>
      <c r="BG202" s="648"/>
      <c r="BH202" s="648"/>
      <c r="BI202" s="648"/>
      <c r="BJ202" s="648"/>
      <c r="BT202" s="657"/>
      <c r="BU202" s="657"/>
      <c r="BV202" s="657"/>
      <c r="BW202" s="657"/>
    </row>
    <row r="203" s="99" customFormat="true" ht="16.5" hidden="false" customHeight="false" outlineLevel="0" collapsed="false">
      <c r="A203" s="648"/>
      <c r="B203" s="648"/>
      <c r="C203" s="648"/>
      <c r="D203" s="648"/>
      <c r="E203" s="648"/>
      <c r="F203" s="648"/>
      <c r="G203" s="648"/>
      <c r="H203" s="648"/>
      <c r="I203" s="648"/>
      <c r="J203" s="648"/>
      <c r="K203" s="648"/>
      <c r="L203" s="648"/>
      <c r="M203" s="648"/>
      <c r="N203" s="648"/>
      <c r="O203" s="648"/>
      <c r="P203" s="648"/>
      <c r="Q203" s="648"/>
      <c r="R203" s="648"/>
      <c r="S203" s="648"/>
      <c r="T203" s="648"/>
      <c r="U203" s="648"/>
      <c r="V203" s="648"/>
      <c r="W203" s="648"/>
      <c r="X203" s="648"/>
      <c r="Y203" s="648"/>
      <c r="Z203" s="648"/>
      <c r="AA203" s="648"/>
      <c r="AB203" s="648"/>
      <c r="AC203" s="648"/>
      <c r="AD203" s="648"/>
      <c r="AE203" s="648"/>
      <c r="AF203" s="648"/>
      <c r="AG203" s="648"/>
      <c r="AH203" s="648"/>
      <c r="AI203" s="648"/>
      <c r="AJ203" s="648"/>
      <c r="AK203" s="648"/>
      <c r="AL203" s="648"/>
      <c r="AM203" s="648"/>
      <c r="AN203" s="648"/>
      <c r="AO203" s="648"/>
      <c r="AP203" s="648"/>
      <c r="AQ203" s="648"/>
      <c r="AR203" s="648"/>
      <c r="AS203" s="648"/>
      <c r="AT203" s="648"/>
      <c r="AU203" s="648"/>
      <c r="AV203" s="648"/>
      <c r="AW203" s="648"/>
      <c r="AX203" s="648"/>
      <c r="AY203" s="648"/>
      <c r="AZ203" s="648"/>
      <c r="BA203" s="648"/>
      <c r="BB203" s="648"/>
      <c r="BC203" s="648"/>
      <c r="BD203" s="648"/>
      <c r="BE203" s="648"/>
      <c r="BF203" s="648"/>
      <c r="BG203" s="648"/>
      <c r="BH203" s="648"/>
      <c r="BI203" s="648"/>
      <c r="BJ203" s="648"/>
      <c r="BT203" s="657"/>
      <c r="BU203" s="657"/>
      <c r="BV203" s="657"/>
      <c r="BW203" s="657"/>
    </row>
    <row r="204" s="99" customFormat="true" ht="16.5" hidden="false" customHeight="false" outlineLevel="0" collapsed="false">
      <c r="A204" s="648"/>
      <c r="B204" s="648"/>
      <c r="C204" s="648"/>
      <c r="D204" s="648"/>
      <c r="E204" s="648"/>
      <c r="F204" s="648"/>
      <c r="G204" s="648"/>
      <c r="H204" s="648"/>
      <c r="I204" s="648"/>
      <c r="J204" s="648"/>
      <c r="K204" s="648"/>
      <c r="L204" s="648"/>
      <c r="M204" s="648"/>
      <c r="N204" s="648"/>
      <c r="O204" s="648"/>
      <c r="P204" s="648"/>
      <c r="Q204" s="648"/>
      <c r="R204" s="648"/>
      <c r="S204" s="648"/>
      <c r="T204" s="648"/>
      <c r="U204" s="648"/>
      <c r="V204" s="648"/>
      <c r="W204" s="648"/>
      <c r="X204" s="648"/>
      <c r="Y204" s="648"/>
      <c r="Z204" s="648"/>
      <c r="AA204" s="648"/>
      <c r="AB204" s="648"/>
      <c r="AC204" s="648"/>
      <c r="AD204" s="648"/>
      <c r="AE204" s="648"/>
      <c r="AF204" s="648"/>
      <c r="AG204" s="648"/>
      <c r="AH204" s="648"/>
      <c r="AI204" s="648"/>
      <c r="AJ204" s="648"/>
      <c r="AK204" s="648"/>
      <c r="AL204" s="648"/>
      <c r="AM204" s="648"/>
      <c r="AN204" s="648"/>
      <c r="AO204" s="648"/>
      <c r="AP204" s="648"/>
      <c r="AQ204" s="648"/>
      <c r="AR204" s="648"/>
      <c r="AS204" s="648"/>
      <c r="AT204" s="648"/>
      <c r="AU204" s="648"/>
      <c r="AV204" s="648"/>
      <c r="AW204" s="648"/>
      <c r="AX204" s="648"/>
      <c r="AY204" s="648"/>
      <c r="AZ204" s="648"/>
      <c r="BA204" s="648"/>
      <c r="BB204" s="648"/>
      <c r="BC204" s="648"/>
      <c r="BD204" s="648"/>
      <c r="BE204" s="648"/>
      <c r="BF204" s="648"/>
      <c r="BG204" s="648"/>
      <c r="BH204" s="648"/>
      <c r="BI204" s="648"/>
      <c r="BJ204" s="648"/>
      <c r="BT204" s="657"/>
      <c r="BU204" s="657"/>
      <c r="BV204" s="657"/>
      <c r="BW204" s="657"/>
    </row>
    <row r="205" s="99" customFormat="true" ht="16.5" hidden="false" customHeight="false" outlineLevel="0" collapsed="false">
      <c r="A205" s="648"/>
      <c r="B205" s="648"/>
      <c r="C205" s="648"/>
      <c r="D205" s="648"/>
      <c r="E205" s="648"/>
      <c r="F205" s="648"/>
      <c r="G205" s="648"/>
      <c r="H205" s="648"/>
      <c r="I205" s="648"/>
      <c r="J205" s="648"/>
      <c r="K205" s="648"/>
      <c r="L205" s="648"/>
      <c r="M205" s="648"/>
      <c r="N205" s="648"/>
      <c r="O205" s="648"/>
      <c r="P205" s="648"/>
      <c r="Q205" s="648"/>
      <c r="R205" s="648"/>
      <c r="S205" s="648"/>
      <c r="T205" s="648"/>
      <c r="U205" s="648"/>
      <c r="V205" s="648"/>
      <c r="W205" s="648"/>
      <c r="X205" s="648"/>
      <c r="Y205" s="648"/>
      <c r="Z205" s="648"/>
      <c r="AA205" s="648"/>
      <c r="AB205" s="648"/>
      <c r="AC205" s="648"/>
      <c r="AD205" s="648"/>
      <c r="AE205" s="648"/>
      <c r="AF205" s="648"/>
      <c r="AG205" s="648"/>
      <c r="AH205" s="648"/>
      <c r="AI205" s="648"/>
      <c r="AJ205" s="648"/>
      <c r="AK205" s="648"/>
      <c r="AL205" s="648"/>
      <c r="AM205" s="648"/>
      <c r="AN205" s="648"/>
      <c r="AO205" s="648"/>
      <c r="AP205" s="648"/>
      <c r="AQ205" s="648"/>
      <c r="AR205" s="648"/>
      <c r="AS205" s="648"/>
      <c r="AT205" s="648"/>
      <c r="AU205" s="648"/>
      <c r="AV205" s="648"/>
      <c r="AW205" s="648"/>
      <c r="AX205" s="648"/>
      <c r="AY205" s="648"/>
      <c r="AZ205" s="648"/>
      <c r="BA205" s="648"/>
      <c r="BB205" s="648"/>
      <c r="BC205" s="648"/>
      <c r="BD205" s="648"/>
      <c r="BE205" s="648"/>
      <c r="BF205" s="648"/>
      <c r="BG205" s="648"/>
      <c r="BH205" s="648"/>
      <c r="BI205" s="648"/>
      <c r="BJ205" s="648"/>
      <c r="BT205" s="657"/>
      <c r="BU205" s="657"/>
      <c r="BV205" s="657"/>
      <c r="BW205" s="657"/>
    </row>
    <row r="206" s="99" customFormat="true" ht="16.5" hidden="false" customHeight="false" outlineLevel="0" collapsed="false">
      <c r="A206" s="648"/>
      <c r="B206" s="648"/>
      <c r="C206" s="648"/>
      <c r="D206" s="648"/>
      <c r="E206" s="648"/>
      <c r="F206" s="648"/>
      <c r="G206" s="648"/>
      <c r="H206" s="648"/>
      <c r="I206" s="648"/>
      <c r="J206" s="648"/>
      <c r="K206" s="648"/>
      <c r="L206" s="648"/>
      <c r="M206" s="648"/>
      <c r="N206" s="648"/>
      <c r="O206" s="648"/>
      <c r="P206" s="648"/>
      <c r="Q206" s="648"/>
      <c r="R206" s="648"/>
      <c r="S206" s="648"/>
      <c r="T206" s="648"/>
      <c r="U206" s="648"/>
      <c r="V206" s="648"/>
      <c r="W206" s="648"/>
      <c r="X206" s="648"/>
      <c r="Y206" s="648"/>
      <c r="Z206" s="648"/>
      <c r="AA206" s="648"/>
      <c r="AB206" s="648"/>
      <c r="AC206" s="648"/>
      <c r="AD206" s="648"/>
      <c r="AE206" s="648"/>
      <c r="AF206" s="648"/>
      <c r="AG206" s="648"/>
      <c r="AH206" s="648"/>
      <c r="AI206" s="648"/>
      <c r="AJ206" s="648"/>
      <c r="AK206" s="648"/>
      <c r="AL206" s="648"/>
      <c r="AM206" s="648"/>
      <c r="AN206" s="648"/>
      <c r="AO206" s="648"/>
      <c r="AP206" s="648"/>
      <c r="AQ206" s="648"/>
      <c r="AR206" s="648"/>
      <c r="AS206" s="648"/>
      <c r="AT206" s="648"/>
      <c r="AU206" s="648"/>
      <c r="AV206" s="648"/>
      <c r="AW206" s="648"/>
      <c r="AX206" s="648"/>
      <c r="AY206" s="648"/>
      <c r="AZ206" s="648"/>
      <c r="BA206" s="648"/>
      <c r="BB206" s="648"/>
      <c r="BC206" s="648"/>
      <c r="BD206" s="648"/>
      <c r="BE206" s="648"/>
      <c r="BF206" s="648"/>
      <c r="BG206" s="648"/>
      <c r="BH206" s="648"/>
      <c r="BI206" s="648"/>
      <c r="BJ206" s="648"/>
      <c r="BT206" s="657"/>
      <c r="BU206" s="657"/>
      <c r="BV206" s="657"/>
      <c r="BW206" s="657"/>
    </row>
    <row r="207" s="99" customFormat="true" ht="16.5" hidden="false" customHeight="false" outlineLevel="0" collapsed="false">
      <c r="A207" s="648"/>
      <c r="B207" s="648"/>
      <c r="C207" s="648"/>
      <c r="D207" s="648"/>
      <c r="E207" s="648"/>
      <c r="F207" s="648"/>
      <c r="G207" s="648"/>
      <c r="H207" s="648"/>
      <c r="I207" s="648"/>
      <c r="J207" s="648"/>
      <c r="K207" s="648"/>
      <c r="L207" s="648"/>
      <c r="M207" s="648"/>
      <c r="N207" s="648"/>
      <c r="O207" s="648"/>
      <c r="P207" s="648"/>
      <c r="Q207" s="648"/>
      <c r="R207" s="648"/>
      <c r="S207" s="648"/>
      <c r="T207" s="648"/>
      <c r="U207" s="648"/>
      <c r="V207" s="648"/>
      <c r="W207" s="648"/>
      <c r="X207" s="648"/>
      <c r="Y207" s="648"/>
      <c r="Z207" s="648"/>
      <c r="AA207" s="648"/>
      <c r="AB207" s="648"/>
      <c r="AC207" s="648"/>
      <c r="AD207" s="648"/>
      <c r="AE207" s="648"/>
      <c r="AF207" s="648"/>
      <c r="AG207" s="648"/>
      <c r="AH207" s="648"/>
      <c r="AI207" s="648"/>
      <c r="AJ207" s="648"/>
      <c r="AK207" s="648"/>
      <c r="AL207" s="648"/>
      <c r="AM207" s="648"/>
      <c r="AN207" s="648"/>
      <c r="AO207" s="648"/>
      <c r="AP207" s="648"/>
      <c r="AQ207" s="648"/>
      <c r="AR207" s="648"/>
      <c r="AS207" s="648"/>
      <c r="AT207" s="648"/>
      <c r="AU207" s="648"/>
      <c r="AV207" s="648"/>
      <c r="AW207" s="648"/>
      <c r="AX207" s="648"/>
      <c r="AY207" s="648"/>
      <c r="AZ207" s="648"/>
      <c r="BA207" s="648"/>
      <c r="BB207" s="648"/>
      <c r="BC207" s="648"/>
      <c r="BD207" s="648"/>
      <c r="BE207" s="648"/>
      <c r="BF207" s="648"/>
      <c r="BG207" s="648"/>
      <c r="BH207" s="648"/>
      <c r="BI207" s="648"/>
      <c r="BJ207" s="648"/>
      <c r="BT207" s="657"/>
      <c r="BU207" s="657"/>
      <c r="BV207" s="657"/>
      <c r="BW207" s="657"/>
    </row>
    <row r="208" s="99" customFormat="true" ht="16.5" hidden="false" customHeight="false" outlineLevel="0" collapsed="false">
      <c r="A208" s="648"/>
      <c r="B208" s="648"/>
      <c r="C208" s="648"/>
      <c r="D208" s="648"/>
      <c r="E208" s="648"/>
      <c r="F208" s="648"/>
      <c r="G208" s="648"/>
      <c r="H208" s="648"/>
      <c r="I208" s="648"/>
      <c r="J208" s="648"/>
      <c r="K208" s="648"/>
      <c r="L208" s="648"/>
      <c r="M208" s="648"/>
      <c r="N208" s="648"/>
      <c r="O208" s="648"/>
      <c r="P208" s="648"/>
      <c r="Q208" s="648"/>
      <c r="R208" s="648"/>
      <c r="S208" s="648"/>
      <c r="T208" s="648"/>
      <c r="U208" s="648"/>
      <c r="V208" s="648"/>
      <c r="W208" s="648"/>
      <c r="X208" s="648"/>
      <c r="Y208" s="648"/>
      <c r="Z208" s="648"/>
      <c r="AA208" s="648"/>
      <c r="AB208" s="648"/>
      <c r="AC208" s="648"/>
      <c r="AD208" s="648"/>
      <c r="AE208" s="648"/>
      <c r="AF208" s="648"/>
      <c r="AG208" s="648"/>
      <c r="AH208" s="648"/>
      <c r="AI208" s="648"/>
      <c r="AJ208" s="648"/>
      <c r="AK208" s="648"/>
      <c r="AL208" s="648"/>
      <c r="AM208" s="648"/>
      <c r="AN208" s="648"/>
      <c r="AO208" s="648"/>
      <c r="AP208" s="648"/>
      <c r="AQ208" s="648"/>
      <c r="AR208" s="648"/>
      <c r="AS208" s="648"/>
      <c r="AT208" s="648"/>
      <c r="AU208" s="648"/>
      <c r="AV208" s="648"/>
      <c r="AW208" s="648"/>
      <c r="AX208" s="648"/>
      <c r="AY208" s="648"/>
      <c r="AZ208" s="648"/>
      <c r="BA208" s="648"/>
      <c r="BB208" s="648"/>
      <c r="BC208" s="648"/>
      <c r="BD208" s="648"/>
      <c r="BE208" s="648"/>
      <c r="BF208" s="648"/>
      <c r="BG208" s="648"/>
      <c r="BH208" s="648"/>
      <c r="BI208" s="648"/>
      <c r="BJ208" s="648"/>
      <c r="BT208" s="657"/>
      <c r="BU208" s="657"/>
      <c r="BV208" s="657"/>
      <c r="BW208" s="657"/>
    </row>
    <row r="209" s="99" customFormat="true" ht="16.5" hidden="false" customHeight="false" outlineLevel="0" collapsed="false">
      <c r="A209" s="648"/>
      <c r="B209" s="648"/>
      <c r="C209" s="648"/>
      <c r="D209" s="648"/>
      <c r="E209" s="648"/>
      <c r="F209" s="648"/>
      <c r="G209" s="648"/>
      <c r="H209" s="648"/>
      <c r="I209" s="648"/>
      <c r="J209" s="648"/>
      <c r="K209" s="648"/>
      <c r="L209" s="648"/>
      <c r="M209" s="648"/>
      <c r="N209" s="648"/>
      <c r="O209" s="648"/>
      <c r="P209" s="648"/>
      <c r="Q209" s="648"/>
      <c r="R209" s="648"/>
      <c r="S209" s="648"/>
      <c r="T209" s="648"/>
      <c r="U209" s="648"/>
      <c r="V209" s="648"/>
      <c r="W209" s="648"/>
      <c r="X209" s="648"/>
      <c r="Y209" s="648"/>
      <c r="Z209" s="648"/>
      <c r="AA209" s="648"/>
      <c r="AB209" s="648"/>
      <c r="AC209" s="648"/>
      <c r="AD209" s="648"/>
      <c r="AE209" s="648"/>
      <c r="AF209" s="648"/>
      <c r="AG209" s="648"/>
      <c r="AH209" s="648"/>
      <c r="AI209" s="648"/>
      <c r="AJ209" s="648"/>
      <c r="AK209" s="648"/>
      <c r="AL209" s="648"/>
      <c r="AM209" s="648"/>
      <c r="AN209" s="648"/>
      <c r="AO209" s="648"/>
      <c r="AP209" s="648"/>
      <c r="AQ209" s="648"/>
      <c r="AR209" s="648"/>
      <c r="AS209" s="648"/>
      <c r="AT209" s="648"/>
      <c r="AU209" s="648"/>
      <c r="AV209" s="648"/>
      <c r="AW209" s="648"/>
      <c r="AX209" s="648"/>
      <c r="AY209" s="648"/>
      <c r="AZ209" s="648"/>
      <c r="BA209" s="648"/>
      <c r="BB209" s="648"/>
      <c r="BC209" s="648"/>
      <c r="BD209" s="648"/>
      <c r="BE209" s="648"/>
      <c r="BF209" s="648"/>
      <c r="BG209" s="648"/>
      <c r="BH209" s="648"/>
      <c r="BI209" s="648"/>
      <c r="BJ209" s="648"/>
      <c r="BT209" s="657"/>
      <c r="BU209" s="657"/>
      <c r="BV209" s="657"/>
      <c r="BW209" s="657"/>
    </row>
    <row r="210" s="99" customFormat="true" ht="16.5" hidden="false" customHeight="false" outlineLevel="0" collapsed="false">
      <c r="A210" s="648"/>
      <c r="B210" s="648"/>
      <c r="C210" s="648"/>
      <c r="D210" s="648"/>
      <c r="E210" s="648"/>
      <c r="F210" s="648"/>
      <c r="G210" s="648"/>
      <c r="H210" s="648"/>
      <c r="I210" s="648"/>
      <c r="J210" s="648"/>
      <c r="K210" s="648"/>
      <c r="L210" s="648"/>
      <c r="M210" s="648"/>
      <c r="N210" s="648"/>
      <c r="O210" s="648"/>
      <c r="P210" s="648"/>
      <c r="Q210" s="648"/>
      <c r="R210" s="648"/>
      <c r="S210" s="648"/>
      <c r="T210" s="648"/>
      <c r="U210" s="648"/>
      <c r="V210" s="648"/>
      <c r="W210" s="648"/>
      <c r="X210" s="648"/>
      <c r="Y210" s="648"/>
      <c r="Z210" s="648"/>
      <c r="AA210" s="648"/>
      <c r="AB210" s="648"/>
      <c r="AC210" s="648"/>
      <c r="AD210" s="648"/>
      <c r="AE210" s="648"/>
      <c r="AF210" s="648"/>
      <c r="AG210" s="648"/>
      <c r="AH210" s="648"/>
      <c r="AI210" s="648"/>
      <c r="AJ210" s="648"/>
      <c r="AK210" s="648"/>
      <c r="AL210" s="648"/>
      <c r="AM210" s="648"/>
      <c r="AN210" s="648"/>
      <c r="AO210" s="648"/>
      <c r="AP210" s="648"/>
      <c r="AQ210" s="648"/>
      <c r="AR210" s="648"/>
      <c r="AS210" s="648"/>
      <c r="AT210" s="648"/>
      <c r="AU210" s="648"/>
      <c r="AV210" s="648"/>
      <c r="AW210" s="648"/>
      <c r="AX210" s="648"/>
      <c r="AY210" s="648"/>
      <c r="AZ210" s="648"/>
      <c r="BA210" s="648"/>
      <c r="BB210" s="648"/>
      <c r="BC210" s="648"/>
      <c r="BD210" s="648"/>
      <c r="BE210" s="648"/>
      <c r="BF210" s="648"/>
      <c r="BG210" s="648"/>
      <c r="BH210" s="648"/>
      <c r="BI210" s="648"/>
      <c r="BJ210" s="648"/>
      <c r="BT210" s="657"/>
      <c r="BU210" s="657"/>
      <c r="BV210" s="657"/>
      <c r="BW210" s="657"/>
    </row>
    <row r="211" s="99" customFormat="true" ht="16.5" hidden="false" customHeight="false" outlineLevel="0" collapsed="false">
      <c r="A211" s="648"/>
      <c r="B211" s="648"/>
      <c r="C211" s="648"/>
      <c r="D211" s="648"/>
      <c r="E211" s="648"/>
      <c r="F211" s="648"/>
      <c r="G211" s="648"/>
      <c r="H211" s="648"/>
      <c r="I211" s="648"/>
      <c r="J211" s="648"/>
      <c r="K211" s="648"/>
      <c r="L211" s="648"/>
      <c r="M211" s="648"/>
      <c r="N211" s="648"/>
      <c r="O211" s="648"/>
      <c r="P211" s="648"/>
      <c r="Q211" s="648"/>
      <c r="R211" s="648"/>
      <c r="S211" s="648"/>
      <c r="T211" s="648"/>
      <c r="U211" s="648"/>
      <c r="V211" s="648"/>
      <c r="W211" s="648"/>
      <c r="X211" s="648"/>
      <c r="Y211" s="648"/>
      <c r="Z211" s="648"/>
      <c r="AA211" s="648"/>
      <c r="AB211" s="648"/>
      <c r="AC211" s="648"/>
      <c r="AD211" s="648"/>
      <c r="AE211" s="648"/>
      <c r="AF211" s="648"/>
      <c r="AG211" s="648"/>
      <c r="AH211" s="648"/>
      <c r="AI211" s="648"/>
      <c r="AJ211" s="648"/>
      <c r="AK211" s="648"/>
      <c r="AL211" s="648"/>
      <c r="AM211" s="648"/>
      <c r="AN211" s="648"/>
      <c r="AO211" s="648"/>
      <c r="AP211" s="648"/>
      <c r="AQ211" s="648"/>
      <c r="AR211" s="648"/>
      <c r="AS211" s="648"/>
      <c r="AT211" s="648"/>
      <c r="AU211" s="648"/>
      <c r="AV211" s="648"/>
      <c r="AW211" s="648"/>
      <c r="AX211" s="648"/>
      <c r="AY211" s="648"/>
      <c r="AZ211" s="648"/>
      <c r="BA211" s="648"/>
      <c r="BB211" s="648"/>
      <c r="BC211" s="648"/>
      <c r="BD211" s="648"/>
      <c r="BE211" s="648"/>
      <c r="BF211" s="648"/>
      <c r="BG211" s="648"/>
      <c r="BH211" s="648"/>
      <c r="BI211" s="648"/>
      <c r="BJ211" s="648"/>
      <c r="BT211" s="657"/>
      <c r="BU211" s="657"/>
      <c r="BV211" s="657"/>
      <c r="BW211" s="657"/>
    </row>
    <row r="212" s="99" customFormat="true" ht="16.5" hidden="false" customHeight="false" outlineLevel="0" collapsed="false">
      <c r="A212" s="648"/>
      <c r="B212" s="648"/>
      <c r="C212" s="648"/>
      <c r="D212" s="648"/>
      <c r="E212" s="648"/>
      <c r="F212" s="648"/>
      <c r="G212" s="648"/>
      <c r="H212" s="648"/>
      <c r="I212" s="648"/>
      <c r="J212" s="648"/>
      <c r="K212" s="648"/>
      <c r="L212" s="648"/>
      <c r="M212" s="648"/>
      <c r="N212" s="648"/>
      <c r="O212" s="648"/>
      <c r="P212" s="648"/>
      <c r="Q212" s="648"/>
      <c r="R212" s="648"/>
      <c r="S212" s="648"/>
      <c r="T212" s="648"/>
      <c r="U212" s="648"/>
      <c r="V212" s="648"/>
      <c r="W212" s="648"/>
      <c r="X212" s="648"/>
      <c r="Y212" s="648"/>
      <c r="Z212" s="648"/>
      <c r="AA212" s="648"/>
      <c r="AB212" s="648"/>
      <c r="AC212" s="648"/>
      <c r="AD212" s="648"/>
      <c r="AE212" s="648"/>
      <c r="AF212" s="648"/>
      <c r="AG212" s="648"/>
      <c r="AH212" s="648"/>
      <c r="AI212" s="648"/>
      <c r="AJ212" s="648"/>
      <c r="AK212" s="648"/>
      <c r="AL212" s="648"/>
      <c r="AM212" s="648"/>
      <c r="AN212" s="648"/>
      <c r="AO212" s="648"/>
      <c r="AP212" s="648"/>
      <c r="AQ212" s="648"/>
      <c r="AR212" s="648"/>
      <c r="AS212" s="648"/>
      <c r="AT212" s="648"/>
      <c r="AU212" s="648"/>
      <c r="AV212" s="648"/>
      <c r="AW212" s="648"/>
      <c r="AX212" s="648"/>
      <c r="AY212" s="648"/>
      <c r="AZ212" s="648"/>
      <c r="BA212" s="648"/>
      <c r="BB212" s="648"/>
      <c r="BC212" s="648"/>
      <c r="BD212" s="648"/>
      <c r="BE212" s="648"/>
      <c r="BF212" s="648"/>
      <c r="BG212" s="648"/>
      <c r="BH212" s="648"/>
      <c r="BI212" s="648"/>
      <c r="BJ212" s="648"/>
      <c r="BT212" s="657"/>
      <c r="BU212" s="657"/>
      <c r="BV212" s="657"/>
      <c r="BW212" s="657"/>
    </row>
    <row r="213" s="99" customFormat="true" ht="16.5" hidden="false" customHeight="false" outlineLevel="0" collapsed="false">
      <c r="A213" s="648"/>
      <c r="B213" s="648"/>
      <c r="C213" s="648"/>
      <c r="D213" s="648"/>
      <c r="E213" s="648"/>
      <c r="F213" s="648"/>
      <c r="G213" s="648"/>
      <c r="H213" s="648"/>
      <c r="I213" s="648"/>
      <c r="J213" s="648"/>
      <c r="K213" s="648"/>
      <c r="L213" s="648"/>
      <c r="M213" s="648"/>
      <c r="N213" s="648"/>
      <c r="O213" s="648"/>
      <c r="P213" s="648"/>
      <c r="Q213" s="648"/>
      <c r="R213" s="648"/>
      <c r="S213" s="648"/>
      <c r="T213" s="648"/>
      <c r="U213" s="648"/>
      <c r="V213" s="648"/>
      <c r="W213" s="648"/>
      <c r="X213" s="648"/>
      <c r="Y213" s="648"/>
      <c r="Z213" s="648"/>
      <c r="AA213" s="648"/>
      <c r="AB213" s="648"/>
      <c r="AC213" s="648"/>
      <c r="AD213" s="648"/>
      <c r="AE213" s="648"/>
      <c r="AF213" s="648"/>
      <c r="AG213" s="648"/>
      <c r="AH213" s="648"/>
      <c r="AI213" s="648"/>
      <c r="AJ213" s="648"/>
      <c r="AK213" s="648"/>
      <c r="AL213" s="648"/>
      <c r="AM213" s="648"/>
      <c r="AN213" s="648"/>
      <c r="AO213" s="648"/>
      <c r="AP213" s="648"/>
      <c r="AQ213" s="648"/>
      <c r="AR213" s="648"/>
      <c r="AS213" s="648"/>
      <c r="AT213" s="648"/>
      <c r="AU213" s="648"/>
      <c r="AV213" s="648"/>
      <c r="AW213" s="648"/>
      <c r="AX213" s="648"/>
      <c r="AY213" s="648"/>
      <c r="AZ213" s="648"/>
      <c r="BA213" s="648"/>
      <c r="BB213" s="648"/>
      <c r="BC213" s="648"/>
      <c r="BD213" s="648"/>
      <c r="BE213" s="648"/>
      <c r="BF213" s="648"/>
      <c r="BG213" s="648"/>
      <c r="BH213" s="648"/>
      <c r="BI213" s="648"/>
      <c r="BJ213" s="648"/>
      <c r="BT213" s="657"/>
      <c r="BU213" s="657"/>
      <c r="BV213" s="657"/>
      <c r="BW213" s="657"/>
    </row>
    <row r="214" s="99" customFormat="true" ht="16.5" hidden="false" customHeight="false" outlineLevel="0" collapsed="false">
      <c r="A214" s="648"/>
      <c r="B214" s="648"/>
      <c r="C214" s="648"/>
      <c r="D214" s="648"/>
      <c r="E214" s="648"/>
      <c r="F214" s="648"/>
      <c r="G214" s="648"/>
      <c r="H214" s="648"/>
      <c r="I214" s="648"/>
      <c r="J214" s="648"/>
      <c r="K214" s="648"/>
      <c r="L214" s="648"/>
      <c r="M214" s="648"/>
      <c r="N214" s="648"/>
      <c r="O214" s="648"/>
      <c r="P214" s="648"/>
      <c r="Q214" s="648"/>
      <c r="R214" s="648"/>
      <c r="S214" s="648"/>
      <c r="T214" s="648"/>
      <c r="U214" s="648"/>
      <c r="V214" s="648"/>
      <c r="W214" s="648"/>
      <c r="X214" s="648"/>
      <c r="Y214" s="648"/>
      <c r="Z214" s="648"/>
      <c r="AA214" s="648"/>
      <c r="AB214" s="648"/>
      <c r="AC214" s="648"/>
      <c r="AD214" s="648"/>
      <c r="AE214" s="648"/>
      <c r="AF214" s="648"/>
      <c r="AG214" s="648"/>
      <c r="AH214" s="648"/>
      <c r="AI214" s="648"/>
      <c r="AJ214" s="648"/>
      <c r="AK214" s="648"/>
      <c r="AL214" s="648"/>
      <c r="AM214" s="648"/>
      <c r="AN214" s="648"/>
      <c r="AO214" s="648"/>
      <c r="AP214" s="648"/>
      <c r="AQ214" s="648"/>
      <c r="AR214" s="648"/>
      <c r="AS214" s="648"/>
      <c r="AT214" s="648"/>
      <c r="AU214" s="648"/>
      <c r="AV214" s="648"/>
      <c r="AW214" s="648"/>
      <c r="AX214" s="648"/>
      <c r="AY214" s="648"/>
      <c r="AZ214" s="648"/>
      <c r="BA214" s="648"/>
      <c r="BB214" s="648"/>
      <c r="BC214" s="648"/>
      <c r="BD214" s="648"/>
      <c r="BE214" s="648"/>
      <c r="BF214" s="648"/>
      <c r="BG214" s="648"/>
      <c r="BH214" s="648"/>
      <c r="BI214" s="648"/>
      <c r="BJ214" s="648"/>
      <c r="BT214" s="657"/>
      <c r="BU214" s="657"/>
      <c r="BV214" s="657"/>
      <c r="BW214" s="657"/>
    </row>
    <row r="215" s="99" customFormat="true" ht="16.5" hidden="false" customHeight="false" outlineLevel="0" collapsed="false">
      <c r="A215" s="648"/>
      <c r="B215" s="648"/>
      <c r="C215" s="648"/>
      <c r="D215" s="648"/>
      <c r="E215" s="648"/>
      <c r="F215" s="648"/>
      <c r="G215" s="648"/>
      <c r="H215" s="648"/>
      <c r="I215" s="648"/>
      <c r="J215" s="648"/>
      <c r="K215" s="648"/>
      <c r="L215" s="648"/>
      <c r="M215" s="648"/>
      <c r="N215" s="648"/>
      <c r="O215" s="648"/>
      <c r="P215" s="648"/>
      <c r="Q215" s="648"/>
      <c r="R215" s="648"/>
      <c r="S215" s="648"/>
      <c r="T215" s="648"/>
      <c r="U215" s="648"/>
      <c r="V215" s="648"/>
      <c r="W215" s="648"/>
      <c r="X215" s="648"/>
      <c r="Y215" s="648"/>
      <c r="Z215" s="648"/>
      <c r="AA215" s="648"/>
      <c r="AB215" s="648"/>
      <c r="AC215" s="648"/>
      <c r="AD215" s="648"/>
      <c r="AE215" s="648"/>
      <c r="AF215" s="648"/>
      <c r="AG215" s="648"/>
      <c r="AH215" s="648"/>
      <c r="AI215" s="648"/>
      <c r="AJ215" s="648"/>
      <c r="AK215" s="648"/>
      <c r="AL215" s="648"/>
      <c r="AM215" s="648"/>
      <c r="AN215" s="648"/>
      <c r="AO215" s="648"/>
      <c r="AP215" s="648"/>
      <c r="AQ215" s="648"/>
      <c r="AR215" s="648"/>
      <c r="AS215" s="648"/>
      <c r="AT215" s="648"/>
      <c r="AU215" s="648"/>
      <c r="AV215" s="648"/>
      <c r="AW215" s="648"/>
      <c r="AX215" s="648"/>
      <c r="AY215" s="648"/>
      <c r="AZ215" s="648"/>
      <c r="BA215" s="648"/>
      <c r="BB215" s="648"/>
      <c r="BC215" s="648"/>
      <c r="BD215" s="648"/>
      <c r="BE215" s="648"/>
      <c r="BF215" s="648"/>
      <c r="BG215" s="648"/>
      <c r="BH215" s="648"/>
      <c r="BI215" s="648"/>
      <c r="BJ215" s="648"/>
      <c r="BT215" s="657"/>
      <c r="BU215" s="657"/>
      <c r="BV215" s="657"/>
      <c r="BW215" s="657"/>
    </row>
    <row r="216" s="99" customFormat="true" ht="16.5" hidden="false" customHeight="false" outlineLevel="0" collapsed="false">
      <c r="A216" s="648"/>
      <c r="B216" s="648"/>
      <c r="C216" s="648"/>
      <c r="D216" s="648"/>
      <c r="E216" s="648"/>
      <c r="F216" s="648"/>
      <c r="G216" s="648"/>
      <c r="H216" s="648"/>
      <c r="I216" s="648"/>
      <c r="J216" s="648"/>
      <c r="K216" s="648"/>
      <c r="L216" s="648"/>
      <c r="M216" s="648"/>
      <c r="N216" s="648"/>
      <c r="O216" s="648"/>
      <c r="P216" s="648"/>
      <c r="Q216" s="648"/>
      <c r="R216" s="648"/>
      <c r="S216" s="648"/>
      <c r="T216" s="648"/>
      <c r="U216" s="648"/>
      <c r="V216" s="648"/>
      <c r="W216" s="648"/>
      <c r="X216" s="648"/>
      <c r="Y216" s="648"/>
      <c r="Z216" s="648"/>
      <c r="AA216" s="648"/>
      <c r="AB216" s="648"/>
      <c r="AC216" s="648"/>
      <c r="AD216" s="648"/>
      <c r="AE216" s="648"/>
      <c r="AF216" s="648"/>
      <c r="AG216" s="648"/>
      <c r="AH216" s="648"/>
      <c r="AI216" s="648"/>
      <c r="AJ216" s="648"/>
      <c r="AK216" s="648"/>
      <c r="AL216" s="648"/>
      <c r="AM216" s="648"/>
      <c r="AN216" s="648"/>
      <c r="AO216" s="648"/>
      <c r="AP216" s="648"/>
      <c r="AQ216" s="648"/>
      <c r="AR216" s="648"/>
      <c r="AS216" s="648"/>
      <c r="AT216" s="648"/>
      <c r="AU216" s="648"/>
      <c r="AV216" s="648"/>
      <c r="AW216" s="648"/>
      <c r="AX216" s="648"/>
      <c r="AY216" s="648"/>
      <c r="AZ216" s="648"/>
      <c r="BA216" s="648"/>
      <c r="BB216" s="648"/>
      <c r="BC216" s="648"/>
      <c r="BD216" s="648"/>
      <c r="BE216" s="648"/>
      <c r="BF216" s="648"/>
      <c r="BG216" s="648"/>
      <c r="BH216" s="648"/>
      <c r="BI216" s="648"/>
      <c r="BJ216" s="648"/>
      <c r="BT216" s="657"/>
      <c r="BU216" s="657"/>
      <c r="BV216" s="657"/>
      <c r="BW216" s="657"/>
    </row>
    <row r="217" s="99" customFormat="true" ht="16.5" hidden="false" customHeight="false" outlineLevel="0" collapsed="false">
      <c r="A217" s="648"/>
      <c r="B217" s="648"/>
      <c r="C217" s="648"/>
      <c r="D217" s="648"/>
      <c r="E217" s="648"/>
      <c r="F217" s="648"/>
      <c r="G217" s="648"/>
      <c r="H217" s="648"/>
      <c r="I217" s="648"/>
      <c r="J217" s="648"/>
      <c r="K217" s="648"/>
      <c r="L217" s="648"/>
      <c r="M217" s="648"/>
      <c r="N217" s="648"/>
      <c r="O217" s="648"/>
      <c r="P217" s="648"/>
      <c r="Q217" s="648"/>
      <c r="R217" s="648"/>
      <c r="S217" s="648"/>
      <c r="T217" s="648"/>
      <c r="U217" s="648"/>
      <c r="V217" s="648"/>
      <c r="W217" s="648"/>
      <c r="X217" s="648"/>
      <c r="Y217" s="648"/>
      <c r="Z217" s="648"/>
      <c r="AA217" s="648"/>
      <c r="AB217" s="648"/>
      <c r="AC217" s="648"/>
      <c r="AD217" s="648"/>
      <c r="AE217" s="648"/>
      <c r="AF217" s="648"/>
      <c r="AG217" s="648"/>
      <c r="AH217" s="648"/>
      <c r="AI217" s="648"/>
      <c r="AJ217" s="648"/>
      <c r="AK217" s="648"/>
      <c r="AL217" s="648"/>
      <c r="AM217" s="648"/>
      <c r="AN217" s="648"/>
      <c r="AO217" s="648"/>
      <c r="AP217" s="648"/>
      <c r="AQ217" s="648"/>
      <c r="AR217" s="648"/>
      <c r="AS217" s="648"/>
      <c r="AT217" s="648"/>
      <c r="AU217" s="648"/>
      <c r="AV217" s="648"/>
      <c r="AW217" s="648"/>
      <c r="AX217" s="648"/>
      <c r="AY217" s="648"/>
      <c r="AZ217" s="648"/>
      <c r="BA217" s="648"/>
      <c r="BB217" s="648"/>
      <c r="BC217" s="648"/>
      <c r="BD217" s="648"/>
      <c r="BE217" s="648"/>
      <c r="BF217" s="648"/>
      <c r="BG217" s="648"/>
      <c r="BH217" s="648"/>
      <c r="BI217" s="648"/>
      <c r="BJ217" s="648"/>
      <c r="BT217" s="657"/>
      <c r="BU217" s="657"/>
      <c r="BV217" s="657"/>
      <c r="BW217" s="657"/>
    </row>
    <row r="218" s="99" customFormat="true" ht="16.5" hidden="false" customHeight="false" outlineLevel="0" collapsed="false">
      <c r="A218" s="648"/>
      <c r="B218" s="648"/>
      <c r="C218" s="648"/>
      <c r="D218" s="648"/>
      <c r="E218" s="648"/>
      <c r="F218" s="648"/>
      <c r="G218" s="648"/>
      <c r="H218" s="648"/>
      <c r="I218" s="648"/>
      <c r="J218" s="648"/>
      <c r="K218" s="648"/>
      <c r="L218" s="648"/>
      <c r="M218" s="648"/>
      <c r="N218" s="648"/>
      <c r="O218" s="648"/>
      <c r="P218" s="648"/>
      <c r="Q218" s="648"/>
      <c r="R218" s="648"/>
      <c r="S218" s="648"/>
      <c r="T218" s="648"/>
      <c r="U218" s="648"/>
      <c r="V218" s="648"/>
      <c r="W218" s="648"/>
      <c r="X218" s="648"/>
      <c r="Y218" s="648"/>
      <c r="Z218" s="648"/>
      <c r="AA218" s="648"/>
      <c r="AB218" s="648"/>
      <c r="AC218" s="648"/>
      <c r="AD218" s="648"/>
      <c r="AE218" s="648"/>
      <c r="AF218" s="648"/>
      <c r="AG218" s="648"/>
      <c r="AH218" s="648"/>
      <c r="AI218" s="648"/>
      <c r="AJ218" s="648"/>
      <c r="AK218" s="648"/>
      <c r="AL218" s="648"/>
      <c r="AM218" s="648"/>
      <c r="AN218" s="648"/>
      <c r="AO218" s="648"/>
      <c r="AP218" s="648"/>
      <c r="AQ218" s="648"/>
      <c r="AR218" s="648"/>
      <c r="AS218" s="648"/>
      <c r="AT218" s="648"/>
      <c r="AU218" s="648"/>
      <c r="AV218" s="648"/>
      <c r="AW218" s="648"/>
      <c r="AX218" s="648"/>
      <c r="AY218" s="648"/>
      <c r="AZ218" s="648"/>
      <c r="BA218" s="648"/>
      <c r="BB218" s="648"/>
      <c r="BC218" s="648"/>
      <c r="BD218" s="648"/>
      <c r="BE218" s="648"/>
      <c r="BF218" s="648"/>
      <c r="BG218" s="648"/>
      <c r="BH218" s="648"/>
      <c r="BI218" s="648"/>
      <c r="BJ218" s="648"/>
      <c r="BT218" s="657"/>
      <c r="BU218" s="657"/>
      <c r="BV218" s="657"/>
      <c r="BW218" s="657"/>
    </row>
    <row r="219" s="99" customFormat="true" ht="16.5" hidden="false" customHeight="false" outlineLevel="0" collapsed="false">
      <c r="A219" s="648"/>
      <c r="B219" s="648"/>
      <c r="C219" s="648"/>
      <c r="D219" s="648"/>
      <c r="E219" s="648"/>
      <c r="F219" s="648"/>
      <c r="G219" s="648"/>
      <c r="H219" s="648"/>
      <c r="I219" s="648"/>
      <c r="J219" s="648"/>
      <c r="K219" s="648"/>
      <c r="L219" s="648"/>
      <c r="M219" s="648"/>
      <c r="N219" s="648"/>
      <c r="O219" s="648"/>
      <c r="P219" s="648"/>
      <c r="Q219" s="648"/>
      <c r="R219" s="648"/>
      <c r="S219" s="648"/>
      <c r="T219" s="648"/>
      <c r="U219" s="648"/>
      <c r="V219" s="648"/>
      <c r="W219" s="648"/>
      <c r="X219" s="648"/>
      <c r="Y219" s="648"/>
      <c r="Z219" s="648"/>
      <c r="AA219" s="648"/>
      <c r="AB219" s="648"/>
      <c r="AC219" s="648"/>
      <c r="AD219" s="648"/>
      <c r="AE219" s="648"/>
      <c r="AF219" s="648"/>
      <c r="AG219" s="648"/>
      <c r="AH219" s="648"/>
      <c r="AI219" s="648"/>
      <c r="AJ219" s="648"/>
      <c r="AK219" s="648"/>
      <c r="AL219" s="648"/>
      <c r="AM219" s="648"/>
      <c r="AN219" s="648"/>
      <c r="AO219" s="648"/>
      <c r="AP219" s="648"/>
      <c r="AQ219" s="648"/>
      <c r="AR219" s="648"/>
      <c r="AS219" s="648"/>
      <c r="AT219" s="648"/>
      <c r="AU219" s="648"/>
      <c r="AV219" s="648"/>
      <c r="AW219" s="648"/>
      <c r="AX219" s="648"/>
      <c r="AY219" s="648"/>
      <c r="AZ219" s="648"/>
      <c r="BA219" s="648"/>
      <c r="BB219" s="648"/>
      <c r="BC219" s="648"/>
      <c r="BD219" s="648"/>
      <c r="BE219" s="648"/>
      <c r="BF219" s="648"/>
      <c r="BG219" s="648"/>
      <c r="BH219" s="648"/>
      <c r="BI219" s="648"/>
      <c r="BJ219" s="648"/>
      <c r="BT219" s="657"/>
      <c r="BU219" s="657"/>
      <c r="BV219" s="657"/>
      <c r="BW219" s="657"/>
    </row>
    <row r="220" s="99" customFormat="true" ht="16.5" hidden="false" customHeight="false" outlineLevel="0" collapsed="false">
      <c r="A220" s="648"/>
      <c r="B220" s="648"/>
      <c r="C220" s="648"/>
      <c r="D220" s="648"/>
      <c r="E220" s="648"/>
      <c r="F220" s="648"/>
      <c r="G220" s="648"/>
      <c r="H220" s="648"/>
      <c r="I220" s="648"/>
      <c r="J220" s="648"/>
      <c r="K220" s="648"/>
      <c r="L220" s="648"/>
      <c r="M220" s="648"/>
      <c r="N220" s="648"/>
      <c r="O220" s="648"/>
      <c r="P220" s="648"/>
      <c r="Q220" s="648"/>
      <c r="R220" s="648"/>
      <c r="S220" s="648"/>
      <c r="T220" s="648"/>
      <c r="U220" s="648"/>
      <c r="V220" s="648"/>
      <c r="W220" s="648"/>
      <c r="X220" s="648"/>
      <c r="Y220" s="648"/>
      <c r="Z220" s="648"/>
      <c r="AA220" s="648"/>
      <c r="AB220" s="648"/>
      <c r="AC220" s="648"/>
      <c r="AD220" s="648"/>
      <c r="AE220" s="648"/>
      <c r="AF220" s="648"/>
      <c r="AG220" s="648"/>
      <c r="AH220" s="648"/>
      <c r="AI220" s="648"/>
      <c r="AJ220" s="648"/>
      <c r="AK220" s="648"/>
      <c r="AL220" s="648"/>
      <c r="AM220" s="648"/>
      <c r="AN220" s="648"/>
      <c r="AO220" s="648"/>
      <c r="AP220" s="648"/>
      <c r="AQ220" s="648"/>
      <c r="AR220" s="648"/>
      <c r="AS220" s="648"/>
      <c r="AT220" s="648"/>
      <c r="AU220" s="648"/>
      <c r="AV220" s="648"/>
      <c r="AW220" s="648"/>
      <c r="AX220" s="648"/>
      <c r="AY220" s="648"/>
      <c r="AZ220" s="648"/>
      <c r="BA220" s="648"/>
      <c r="BB220" s="648"/>
      <c r="BC220" s="648"/>
      <c r="BD220" s="648"/>
      <c r="BE220" s="648"/>
      <c r="BF220" s="648"/>
      <c r="BG220" s="648"/>
      <c r="BH220" s="648"/>
      <c r="BI220" s="648"/>
      <c r="BJ220" s="648"/>
      <c r="BT220" s="657"/>
      <c r="BU220" s="657"/>
      <c r="BV220" s="657"/>
      <c r="BW220" s="657"/>
    </row>
    <row r="221" s="99" customFormat="true" ht="16.5" hidden="false" customHeight="false" outlineLevel="0" collapsed="false">
      <c r="A221" s="648"/>
      <c r="B221" s="648"/>
      <c r="C221" s="648"/>
      <c r="D221" s="648"/>
      <c r="E221" s="648"/>
      <c r="F221" s="648"/>
      <c r="G221" s="648"/>
      <c r="H221" s="648"/>
      <c r="I221" s="648"/>
      <c r="J221" s="648"/>
      <c r="K221" s="648"/>
      <c r="L221" s="648"/>
      <c r="M221" s="648"/>
      <c r="N221" s="648"/>
      <c r="O221" s="648"/>
      <c r="P221" s="648"/>
      <c r="Q221" s="648"/>
      <c r="R221" s="648"/>
      <c r="S221" s="648"/>
      <c r="T221" s="648"/>
      <c r="U221" s="648"/>
      <c r="V221" s="648"/>
      <c r="W221" s="648"/>
      <c r="X221" s="648"/>
      <c r="Y221" s="648"/>
      <c r="Z221" s="648"/>
      <c r="AA221" s="648"/>
      <c r="AB221" s="648"/>
      <c r="AC221" s="648"/>
      <c r="AD221" s="648"/>
      <c r="AE221" s="648"/>
      <c r="AF221" s="648"/>
      <c r="AG221" s="648"/>
      <c r="AH221" s="648"/>
      <c r="AI221" s="648"/>
      <c r="AJ221" s="648"/>
      <c r="AK221" s="648"/>
      <c r="AL221" s="648"/>
      <c r="AM221" s="648"/>
      <c r="AN221" s="648"/>
      <c r="AO221" s="648"/>
      <c r="AP221" s="648"/>
      <c r="AQ221" s="648"/>
      <c r="AR221" s="648"/>
      <c r="AS221" s="648"/>
      <c r="AT221" s="648"/>
      <c r="AU221" s="648"/>
      <c r="AV221" s="648"/>
      <c r="AW221" s="648"/>
      <c r="AX221" s="648"/>
      <c r="AY221" s="648"/>
      <c r="AZ221" s="648"/>
      <c r="BA221" s="648"/>
      <c r="BB221" s="648"/>
      <c r="BC221" s="648"/>
      <c r="BD221" s="648"/>
      <c r="BE221" s="648"/>
      <c r="BF221" s="648"/>
      <c r="BG221" s="648"/>
      <c r="BH221" s="648"/>
      <c r="BI221" s="648"/>
      <c r="BJ221" s="648"/>
      <c r="BT221" s="657"/>
      <c r="BU221" s="657"/>
      <c r="BV221" s="657"/>
      <c r="BW221" s="657"/>
    </row>
    <row r="222" s="99" customFormat="true" ht="16.5" hidden="false" customHeight="false" outlineLevel="0" collapsed="false">
      <c r="A222" s="648"/>
      <c r="B222" s="648"/>
      <c r="C222" s="648"/>
      <c r="D222" s="648"/>
      <c r="E222" s="648"/>
      <c r="F222" s="648"/>
      <c r="G222" s="648"/>
      <c r="H222" s="648"/>
      <c r="I222" s="648"/>
      <c r="J222" s="648"/>
      <c r="K222" s="648"/>
      <c r="L222" s="648"/>
      <c r="M222" s="648"/>
      <c r="N222" s="648"/>
      <c r="O222" s="648"/>
      <c r="P222" s="648"/>
      <c r="Q222" s="648"/>
      <c r="R222" s="648"/>
      <c r="S222" s="648"/>
      <c r="T222" s="648"/>
      <c r="U222" s="648"/>
      <c r="V222" s="648"/>
      <c r="W222" s="648"/>
      <c r="X222" s="648"/>
      <c r="Y222" s="648"/>
      <c r="Z222" s="648"/>
      <c r="AA222" s="648"/>
      <c r="AB222" s="648"/>
      <c r="AC222" s="648"/>
      <c r="AD222" s="648"/>
      <c r="AE222" s="648"/>
      <c r="AF222" s="648"/>
      <c r="AG222" s="648"/>
      <c r="AH222" s="648"/>
      <c r="AI222" s="648"/>
      <c r="AJ222" s="648"/>
      <c r="AK222" s="648"/>
      <c r="AL222" s="648"/>
      <c r="AM222" s="648"/>
      <c r="AN222" s="648"/>
      <c r="AO222" s="648"/>
      <c r="AP222" s="648"/>
      <c r="AQ222" s="648"/>
      <c r="AR222" s="648"/>
      <c r="AS222" s="648"/>
      <c r="AT222" s="648"/>
      <c r="AU222" s="648"/>
      <c r="AV222" s="648"/>
      <c r="AW222" s="648"/>
      <c r="AX222" s="648"/>
      <c r="AY222" s="648"/>
      <c r="AZ222" s="648"/>
      <c r="BA222" s="648"/>
      <c r="BB222" s="648"/>
      <c r="BC222" s="648"/>
      <c r="BD222" s="648"/>
      <c r="BE222" s="648"/>
      <c r="BF222" s="648"/>
      <c r="BG222" s="648"/>
      <c r="BH222" s="648"/>
      <c r="BI222" s="648"/>
      <c r="BJ222" s="648"/>
      <c r="BT222" s="657"/>
      <c r="BU222" s="657"/>
      <c r="BV222" s="657"/>
      <c r="BW222" s="657"/>
    </row>
    <row r="223" s="99" customFormat="true" ht="16.5" hidden="false" customHeight="false" outlineLevel="0" collapsed="false">
      <c r="A223" s="648"/>
      <c r="B223" s="648"/>
      <c r="C223" s="648"/>
      <c r="D223" s="648"/>
      <c r="E223" s="648"/>
      <c r="F223" s="648"/>
      <c r="G223" s="648"/>
      <c r="H223" s="648"/>
      <c r="I223" s="648"/>
      <c r="J223" s="648"/>
      <c r="K223" s="648"/>
      <c r="L223" s="648"/>
      <c r="M223" s="648"/>
      <c r="N223" s="648"/>
      <c r="O223" s="648"/>
      <c r="P223" s="648"/>
      <c r="Q223" s="648"/>
      <c r="R223" s="648"/>
      <c r="S223" s="648"/>
      <c r="T223" s="648"/>
      <c r="U223" s="648"/>
      <c r="V223" s="648"/>
      <c r="W223" s="648"/>
      <c r="X223" s="648"/>
      <c r="Y223" s="648"/>
      <c r="Z223" s="648"/>
      <c r="AA223" s="648"/>
      <c r="AB223" s="648"/>
      <c r="AC223" s="648"/>
      <c r="AD223" s="648"/>
      <c r="AE223" s="648"/>
      <c r="AF223" s="648"/>
      <c r="AG223" s="648"/>
      <c r="AH223" s="648"/>
      <c r="AI223" s="648"/>
      <c r="AJ223" s="648"/>
      <c r="AK223" s="648"/>
      <c r="AL223" s="648"/>
      <c r="AM223" s="648"/>
      <c r="AN223" s="648"/>
      <c r="AO223" s="648"/>
      <c r="AP223" s="648"/>
      <c r="AQ223" s="648"/>
      <c r="AR223" s="648"/>
      <c r="AS223" s="648"/>
      <c r="AT223" s="648"/>
      <c r="AU223" s="648"/>
      <c r="AV223" s="648"/>
      <c r="AW223" s="648"/>
      <c r="AX223" s="648"/>
      <c r="AY223" s="648"/>
      <c r="AZ223" s="648"/>
      <c r="BA223" s="648"/>
      <c r="BB223" s="648"/>
      <c r="BC223" s="648"/>
      <c r="BD223" s="648"/>
      <c r="BE223" s="648"/>
      <c r="BF223" s="648"/>
      <c r="BG223" s="648"/>
      <c r="BH223" s="648"/>
      <c r="BI223" s="648"/>
      <c r="BJ223" s="648"/>
      <c r="BT223" s="657"/>
      <c r="BU223" s="657"/>
      <c r="BV223" s="657"/>
      <c r="BW223" s="657"/>
    </row>
    <row r="224" s="99" customFormat="true" ht="16.5" hidden="false" customHeight="false" outlineLevel="0" collapsed="false">
      <c r="A224" s="648"/>
      <c r="B224" s="648"/>
      <c r="C224" s="648"/>
      <c r="D224" s="648"/>
      <c r="E224" s="648"/>
      <c r="F224" s="648"/>
      <c r="G224" s="648"/>
      <c r="H224" s="648"/>
      <c r="I224" s="648"/>
      <c r="J224" s="648"/>
      <c r="K224" s="648"/>
      <c r="L224" s="648"/>
      <c r="M224" s="648"/>
      <c r="N224" s="648"/>
      <c r="O224" s="648"/>
      <c r="P224" s="648"/>
      <c r="Q224" s="648"/>
      <c r="R224" s="648"/>
      <c r="S224" s="648"/>
      <c r="T224" s="648"/>
      <c r="U224" s="648"/>
      <c r="V224" s="648"/>
      <c r="W224" s="648"/>
      <c r="X224" s="648"/>
      <c r="Y224" s="648"/>
      <c r="Z224" s="648"/>
      <c r="AA224" s="648"/>
      <c r="AB224" s="648"/>
      <c r="AC224" s="648"/>
      <c r="AD224" s="648"/>
      <c r="AE224" s="648"/>
      <c r="AF224" s="648"/>
      <c r="AG224" s="648"/>
      <c r="AH224" s="648"/>
      <c r="AI224" s="648"/>
      <c r="AJ224" s="648"/>
      <c r="AK224" s="648"/>
      <c r="AL224" s="648"/>
      <c r="AM224" s="648"/>
      <c r="AN224" s="648"/>
      <c r="AO224" s="648"/>
      <c r="AP224" s="648"/>
      <c r="AQ224" s="648"/>
      <c r="AR224" s="648"/>
      <c r="AS224" s="648"/>
      <c r="AT224" s="648"/>
      <c r="AU224" s="648"/>
      <c r="AV224" s="648"/>
      <c r="AW224" s="648"/>
      <c r="AX224" s="648"/>
      <c r="AY224" s="648"/>
      <c r="AZ224" s="648"/>
      <c r="BA224" s="648"/>
      <c r="BB224" s="648"/>
      <c r="BC224" s="648"/>
      <c r="BD224" s="648"/>
      <c r="BE224" s="648"/>
      <c r="BF224" s="648"/>
      <c r="BG224" s="648"/>
      <c r="BH224" s="648"/>
      <c r="BI224" s="648"/>
      <c r="BJ224" s="648"/>
      <c r="BT224" s="657"/>
      <c r="BU224" s="657"/>
      <c r="BV224" s="657"/>
      <c r="BW224" s="657"/>
    </row>
    <row r="225" s="99" customFormat="true" ht="16.5" hidden="false" customHeight="false" outlineLevel="0" collapsed="false">
      <c r="A225" s="648"/>
      <c r="B225" s="648"/>
      <c r="C225" s="648"/>
      <c r="D225" s="648"/>
      <c r="E225" s="648"/>
      <c r="F225" s="648"/>
      <c r="G225" s="648"/>
      <c r="H225" s="648"/>
      <c r="I225" s="648"/>
      <c r="J225" s="648"/>
      <c r="K225" s="648"/>
      <c r="L225" s="648"/>
      <c r="M225" s="648"/>
      <c r="N225" s="648"/>
      <c r="O225" s="648"/>
      <c r="P225" s="648"/>
      <c r="Q225" s="648"/>
      <c r="R225" s="648"/>
      <c r="S225" s="648"/>
      <c r="T225" s="648"/>
      <c r="U225" s="648"/>
      <c r="V225" s="648"/>
      <c r="W225" s="648"/>
      <c r="X225" s="648"/>
      <c r="Y225" s="648"/>
      <c r="Z225" s="648"/>
      <c r="AA225" s="648"/>
      <c r="AB225" s="648"/>
      <c r="AC225" s="648"/>
      <c r="AD225" s="648"/>
      <c r="AE225" s="648"/>
      <c r="AF225" s="648"/>
      <c r="AG225" s="648"/>
      <c r="AH225" s="648"/>
      <c r="AI225" s="648"/>
      <c r="AJ225" s="648"/>
      <c r="AK225" s="648"/>
      <c r="AL225" s="648"/>
      <c r="AM225" s="648"/>
      <c r="AN225" s="648"/>
      <c r="AO225" s="648"/>
      <c r="AP225" s="648"/>
      <c r="AQ225" s="648"/>
      <c r="AR225" s="648"/>
      <c r="AS225" s="648"/>
      <c r="AT225" s="648"/>
      <c r="AU225" s="648"/>
      <c r="AV225" s="648"/>
      <c r="AW225" s="648"/>
      <c r="AX225" s="648"/>
      <c r="AY225" s="648"/>
      <c r="AZ225" s="648"/>
      <c r="BA225" s="648"/>
      <c r="BB225" s="648"/>
      <c r="BC225" s="648"/>
      <c r="BD225" s="648"/>
      <c r="BE225" s="648"/>
      <c r="BF225" s="648"/>
      <c r="BG225" s="648"/>
      <c r="BH225" s="648"/>
      <c r="BI225" s="648"/>
      <c r="BJ225" s="648"/>
      <c r="BT225" s="657"/>
      <c r="BU225" s="657"/>
      <c r="BV225" s="657"/>
      <c r="BW225" s="657"/>
    </row>
    <row r="226" s="99" customFormat="true" ht="16.5" hidden="false" customHeight="false" outlineLevel="0" collapsed="false">
      <c r="A226" s="648"/>
      <c r="B226" s="648"/>
      <c r="C226" s="648"/>
      <c r="D226" s="648"/>
      <c r="E226" s="648"/>
      <c r="F226" s="648"/>
      <c r="G226" s="648"/>
      <c r="H226" s="648"/>
      <c r="I226" s="648"/>
      <c r="J226" s="648"/>
      <c r="K226" s="648"/>
      <c r="L226" s="648"/>
      <c r="M226" s="648"/>
      <c r="N226" s="648"/>
      <c r="O226" s="648"/>
      <c r="P226" s="648"/>
      <c r="Q226" s="648"/>
      <c r="R226" s="648"/>
      <c r="S226" s="648"/>
      <c r="T226" s="648"/>
      <c r="U226" s="648"/>
      <c r="V226" s="648"/>
      <c r="W226" s="648"/>
      <c r="X226" s="648"/>
      <c r="Y226" s="648"/>
      <c r="Z226" s="648"/>
      <c r="AA226" s="648"/>
      <c r="AB226" s="648"/>
      <c r="AC226" s="648"/>
      <c r="AD226" s="648"/>
      <c r="AE226" s="648"/>
      <c r="AF226" s="648"/>
      <c r="AG226" s="648"/>
      <c r="AH226" s="648"/>
      <c r="AI226" s="648"/>
      <c r="AJ226" s="648"/>
      <c r="AK226" s="648"/>
      <c r="AL226" s="648"/>
      <c r="AM226" s="648"/>
      <c r="AN226" s="648"/>
      <c r="AO226" s="648"/>
      <c r="AP226" s="648"/>
      <c r="AQ226" s="648"/>
      <c r="AR226" s="648"/>
      <c r="AS226" s="648"/>
      <c r="AT226" s="648"/>
      <c r="AU226" s="648"/>
      <c r="AV226" s="648"/>
      <c r="AW226" s="648"/>
      <c r="AX226" s="648"/>
      <c r="AY226" s="648"/>
      <c r="AZ226" s="648"/>
      <c r="BA226" s="648"/>
      <c r="BB226" s="648"/>
      <c r="BC226" s="648"/>
      <c r="BD226" s="648"/>
      <c r="BE226" s="648"/>
      <c r="BF226" s="648"/>
      <c r="BG226" s="648"/>
      <c r="BH226" s="648"/>
      <c r="BI226" s="648"/>
      <c r="BJ226" s="648"/>
      <c r="BT226" s="657"/>
      <c r="BU226" s="657"/>
      <c r="BV226" s="657"/>
      <c r="BW226" s="657"/>
    </row>
    <row r="227" s="99" customFormat="true" ht="16.5" hidden="false" customHeight="false" outlineLevel="0" collapsed="false">
      <c r="A227" s="648"/>
      <c r="B227" s="648"/>
      <c r="C227" s="648"/>
      <c r="D227" s="648"/>
      <c r="E227" s="648"/>
      <c r="F227" s="648"/>
      <c r="G227" s="648"/>
      <c r="H227" s="648"/>
      <c r="I227" s="648"/>
      <c r="J227" s="648"/>
      <c r="K227" s="648"/>
      <c r="L227" s="648"/>
      <c r="M227" s="648"/>
      <c r="N227" s="648"/>
      <c r="O227" s="648"/>
      <c r="P227" s="648"/>
      <c r="Q227" s="648"/>
      <c r="R227" s="648"/>
      <c r="S227" s="648"/>
      <c r="T227" s="648"/>
      <c r="U227" s="648"/>
      <c r="V227" s="648"/>
      <c r="W227" s="648"/>
      <c r="X227" s="648"/>
      <c r="Y227" s="648"/>
      <c r="Z227" s="648"/>
      <c r="AA227" s="648"/>
      <c r="AB227" s="648"/>
      <c r="AC227" s="648"/>
      <c r="AD227" s="648"/>
      <c r="AE227" s="648"/>
      <c r="AF227" s="648"/>
      <c r="AG227" s="648"/>
      <c r="AH227" s="648"/>
      <c r="AI227" s="648"/>
      <c r="AJ227" s="648"/>
      <c r="AK227" s="648"/>
      <c r="AL227" s="648"/>
      <c r="AM227" s="648"/>
      <c r="AN227" s="648"/>
      <c r="AO227" s="648"/>
      <c r="AP227" s="648"/>
      <c r="AQ227" s="648"/>
      <c r="AR227" s="648"/>
      <c r="AS227" s="648"/>
      <c r="AT227" s="648"/>
      <c r="AU227" s="648"/>
      <c r="AV227" s="648"/>
      <c r="AW227" s="648"/>
      <c r="AX227" s="648"/>
      <c r="AY227" s="648"/>
      <c r="AZ227" s="648"/>
      <c r="BA227" s="648"/>
      <c r="BB227" s="648"/>
      <c r="BC227" s="648"/>
      <c r="BD227" s="648"/>
      <c r="BE227" s="648"/>
      <c r="BF227" s="648"/>
      <c r="BG227" s="648"/>
      <c r="BH227" s="648"/>
      <c r="BI227" s="648"/>
      <c r="BJ227" s="648"/>
      <c r="BT227" s="657"/>
      <c r="BU227" s="657"/>
      <c r="BV227" s="657"/>
      <c r="BW227" s="657"/>
    </row>
    <row r="228" s="99" customFormat="true" ht="16.5" hidden="false" customHeight="false" outlineLevel="0" collapsed="false">
      <c r="A228" s="648"/>
      <c r="B228" s="648"/>
      <c r="C228" s="648"/>
      <c r="D228" s="648"/>
      <c r="E228" s="648"/>
      <c r="F228" s="648"/>
      <c r="G228" s="648"/>
      <c r="H228" s="648"/>
      <c r="I228" s="648"/>
      <c r="J228" s="648"/>
      <c r="K228" s="648"/>
      <c r="L228" s="648"/>
      <c r="M228" s="648"/>
      <c r="N228" s="648"/>
      <c r="O228" s="648"/>
      <c r="P228" s="648"/>
      <c r="Q228" s="648"/>
      <c r="R228" s="648"/>
      <c r="S228" s="648"/>
      <c r="T228" s="648"/>
      <c r="U228" s="648"/>
      <c r="V228" s="648"/>
      <c r="W228" s="648"/>
      <c r="X228" s="648"/>
      <c r="Y228" s="648"/>
      <c r="Z228" s="648"/>
      <c r="AA228" s="648"/>
      <c r="AB228" s="648"/>
      <c r="AC228" s="648"/>
      <c r="AD228" s="648"/>
      <c r="AE228" s="648"/>
      <c r="AF228" s="648"/>
      <c r="AG228" s="648"/>
      <c r="AH228" s="648"/>
      <c r="AI228" s="648"/>
      <c r="AJ228" s="648"/>
      <c r="AK228" s="648"/>
      <c r="AL228" s="648"/>
      <c r="AM228" s="648"/>
      <c r="AN228" s="648"/>
      <c r="AO228" s="648"/>
      <c r="AP228" s="648"/>
      <c r="AQ228" s="648"/>
      <c r="AR228" s="648"/>
      <c r="AS228" s="648"/>
      <c r="AT228" s="648"/>
      <c r="AU228" s="648"/>
      <c r="AV228" s="648"/>
      <c r="AW228" s="648"/>
      <c r="AX228" s="648"/>
      <c r="AY228" s="648"/>
      <c r="AZ228" s="648"/>
      <c r="BA228" s="648"/>
      <c r="BB228" s="648"/>
      <c r="BC228" s="648"/>
      <c r="BD228" s="648"/>
      <c r="BE228" s="648"/>
      <c r="BF228" s="648"/>
      <c r="BG228" s="648"/>
      <c r="BH228" s="648"/>
      <c r="BI228" s="648"/>
      <c r="BJ228" s="648"/>
      <c r="BT228" s="657"/>
      <c r="BU228" s="657"/>
      <c r="BV228" s="657"/>
      <c r="BW228" s="657"/>
    </row>
    <row r="229" s="99" customFormat="true" ht="16.5" hidden="false" customHeight="false" outlineLevel="0" collapsed="false">
      <c r="A229" s="648"/>
      <c r="B229" s="648"/>
      <c r="C229" s="648"/>
      <c r="D229" s="648"/>
      <c r="E229" s="648"/>
      <c r="F229" s="648"/>
      <c r="G229" s="648"/>
      <c r="H229" s="648"/>
      <c r="I229" s="648"/>
      <c r="J229" s="648"/>
      <c r="K229" s="648"/>
      <c r="L229" s="648"/>
      <c r="M229" s="648"/>
      <c r="N229" s="648"/>
      <c r="O229" s="648"/>
      <c r="P229" s="648"/>
      <c r="Q229" s="648"/>
      <c r="R229" s="648"/>
      <c r="S229" s="648"/>
      <c r="T229" s="648"/>
      <c r="U229" s="648"/>
      <c r="V229" s="648"/>
      <c r="W229" s="648"/>
      <c r="X229" s="648"/>
      <c r="Y229" s="648"/>
      <c r="Z229" s="648"/>
      <c r="AA229" s="648"/>
      <c r="AB229" s="648"/>
      <c r="AC229" s="648"/>
      <c r="AD229" s="648"/>
      <c r="AE229" s="648"/>
      <c r="AF229" s="648"/>
      <c r="AG229" s="648"/>
      <c r="AH229" s="648"/>
      <c r="AI229" s="648"/>
      <c r="AJ229" s="648"/>
      <c r="AK229" s="648"/>
      <c r="AL229" s="648"/>
      <c r="AM229" s="648"/>
      <c r="AN229" s="648"/>
      <c r="AO229" s="648"/>
      <c r="AP229" s="648"/>
      <c r="AQ229" s="648"/>
      <c r="AR229" s="648"/>
      <c r="AS229" s="648"/>
      <c r="AT229" s="648"/>
      <c r="AU229" s="648"/>
      <c r="AV229" s="648"/>
      <c r="AW229" s="648"/>
      <c r="AX229" s="648"/>
      <c r="AY229" s="648"/>
      <c r="AZ229" s="648"/>
      <c r="BA229" s="648"/>
      <c r="BB229" s="648"/>
      <c r="BC229" s="648"/>
      <c r="BD229" s="648"/>
      <c r="BE229" s="648"/>
      <c r="BF229" s="648"/>
      <c r="BG229" s="648"/>
      <c r="BH229" s="648"/>
      <c r="BI229" s="648"/>
      <c r="BJ229" s="648"/>
      <c r="BT229" s="657"/>
      <c r="BU229" s="657"/>
      <c r="BV229" s="657"/>
      <c r="BW229" s="657"/>
    </row>
    <row r="230" s="99" customFormat="true" ht="16.5" hidden="false" customHeight="false" outlineLevel="0" collapsed="false">
      <c r="A230" s="648"/>
      <c r="B230" s="648"/>
      <c r="C230" s="648"/>
      <c r="D230" s="648"/>
      <c r="E230" s="648"/>
      <c r="F230" s="648"/>
      <c r="G230" s="648"/>
      <c r="H230" s="648"/>
      <c r="I230" s="648"/>
      <c r="J230" s="648"/>
      <c r="K230" s="648"/>
      <c r="L230" s="648"/>
      <c r="M230" s="648"/>
      <c r="N230" s="648"/>
      <c r="O230" s="648"/>
      <c r="P230" s="648"/>
      <c r="Q230" s="648"/>
      <c r="R230" s="648"/>
      <c r="S230" s="648"/>
      <c r="T230" s="648"/>
      <c r="U230" s="648"/>
      <c r="V230" s="648"/>
      <c r="W230" s="648"/>
      <c r="X230" s="648"/>
      <c r="Y230" s="648"/>
      <c r="Z230" s="648"/>
      <c r="AA230" s="648"/>
      <c r="AB230" s="648"/>
      <c r="AC230" s="648"/>
      <c r="AD230" s="648"/>
      <c r="AE230" s="648"/>
      <c r="AF230" s="648"/>
      <c r="AG230" s="648"/>
      <c r="AH230" s="648"/>
      <c r="AI230" s="648"/>
      <c r="AJ230" s="648"/>
      <c r="AK230" s="648"/>
      <c r="AL230" s="648"/>
      <c r="AM230" s="648"/>
      <c r="AN230" s="648"/>
      <c r="AO230" s="648"/>
      <c r="AP230" s="648"/>
      <c r="AQ230" s="648"/>
      <c r="AR230" s="648"/>
      <c r="AS230" s="648"/>
      <c r="AT230" s="648"/>
      <c r="AU230" s="648"/>
      <c r="AV230" s="648"/>
      <c r="AW230" s="648"/>
      <c r="AX230" s="648"/>
      <c r="AY230" s="648"/>
      <c r="AZ230" s="648"/>
      <c r="BA230" s="648"/>
      <c r="BB230" s="648"/>
      <c r="BC230" s="648"/>
      <c r="BD230" s="648"/>
      <c r="BE230" s="648"/>
      <c r="BF230" s="648"/>
      <c r="BG230" s="648"/>
      <c r="BH230" s="648"/>
      <c r="BI230" s="648"/>
      <c r="BJ230" s="648"/>
      <c r="BT230" s="657"/>
      <c r="BU230" s="657"/>
      <c r="BV230" s="657"/>
      <c r="BW230" s="657"/>
    </row>
    <row r="231" s="99" customFormat="true" ht="16.5" hidden="false" customHeight="false" outlineLevel="0" collapsed="false">
      <c r="A231" s="648"/>
      <c r="B231" s="648"/>
      <c r="C231" s="648"/>
      <c r="D231" s="648"/>
      <c r="E231" s="648"/>
      <c r="F231" s="648"/>
      <c r="G231" s="648"/>
      <c r="H231" s="648"/>
      <c r="I231" s="648"/>
      <c r="J231" s="648"/>
      <c r="K231" s="648"/>
      <c r="L231" s="648"/>
      <c r="M231" s="648"/>
      <c r="N231" s="648"/>
      <c r="O231" s="648"/>
      <c r="P231" s="648"/>
      <c r="Q231" s="648"/>
      <c r="R231" s="648"/>
      <c r="S231" s="648"/>
      <c r="T231" s="648"/>
      <c r="U231" s="648"/>
      <c r="V231" s="648"/>
      <c r="W231" s="648"/>
      <c r="X231" s="648"/>
      <c r="Y231" s="648"/>
      <c r="Z231" s="648"/>
      <c r="AA231" s="648"/>
      <c r="AB231" s="648"/>
      <c r="AC231" s="648"/>
      <c r="AD231" s="648"/>
      <c r="AE231" s="648"/>
      <c r="AF231" s="648"/>
      <c r="AG231" s="648"/>
      <c r="AH231" s="648"/>
      <c r="AI231" s="648"/>
      <c r="AJ231" s="648"/>
      <c r="AK231" s="648"/>
      <c r="AL231" s="648"/>
      <c r="AM231" s="648"/>
      <c r="AN231" s="648"/>
      <c r="AO231" s="648"/>
      <c r="AP231" s="648"/>
      <c r="AQ231" s="648"/>
      <c r="AR231" s="648"/>
      <c r="AS231" s="648"/>
      <c r="AT231" s="648"/>
      <c r="AU231" s="648"/>
      <c r="AV231" s="648"/>
      <c r="AW231" s="648"/>
      <c r="AX231" s="648"/>
      <c r="AY231" s="648"/>
      <c r="AZ231" s="648"/>
      <c r="BA231" s="648"/>
      <c r="BB231" s="648"/>
      <c r="BC231" s="648"/>
      <c r="BD231" s="648"/>
      <c r="BE231" s="648"/>
      <c r="BF231" s="648"/>
      <c r="BG231" s="648"/>
      <c r="BH231" s="648"/>
      <c r="BI231" s="648"/>
      <c r="BJ231" s="648"/>
      <c r="BT231" s="657"/>
      <c r="BU231" s="657"/>
      <c r="BV231" s="657"/>
      <c r="BW231" s="657"/>
    </row>
    <row r="232" s="99" customFormat="true" ht="16.5" hidden="false" customHeight="false" outlineLevel="0" collapsed="false">
      <c r="A232" s="648"/>
      <c r="B232" s="648"/>
      <c r="C232" s="648"/>
      <c r="D232" s="648"/>
      <c r="E232" s="648"/>
      <c r="F232" s="648"/>
      <c r="G232" s="648"/>
      <c r="H232" s="648"/>
      <c r="I232" s="648"/>
      <c r="J232" s="648"/>
      <c r="K232" s="648"/>
      <c r="L232" s="648"/>
      <c r="M232" s="648"/>
      <c r="N232" s="648"/>
      <c r="O232" s="648"/>
      <c r="P232" s="648"/>
      <c r="Q232" s="648"/>
      <c r="R232" s="648"/>
      <c r="S232" s="648"/>
      <c r="T232" s="648"/>
      <c r="U232" s="648"/>
      <c r="V232" s="648"/>
      <c r="W232" s="648"/>
      <c r="X232" s="648"/>
      <c r="Y232" s="648"/>
      <c r="Z232" s="648"/>
      <c r="AA232" s="648"/>
      <c r="AB232" s="648"/>
      <c r="AC232" s="648"/>
      <c r="AD232" s="648"/>
      <c r="AE232" s="648"/>
      <c r="AF232" s="648"/>
      <c r="AG232" s="648"/>
      <c r="AH232" s="648"/>
      <c r="AI232" s="648"/>
      <c r="AJ232" s="648"/>
      <c r="AK232" s="648"/>
      <c r="AL232" s="648"/>
      <c r="AM232" s="648"/>
      <c r="AN232" s="648"/>
      <c r="AO232" s="648"/>
      <c r="AP232" s="648"/>
      <c r="AQ232" s="648"/>
      <c r="AR232" s="648"/>
      <c r="AS232" s="648"/>
      <c r="AT232" s="648"/>
      <c r="AU232" s="648"/>
      <c r="AV232" s="648"/>
      <c r="AW232" s="648"/>
      <c r="AX232" s="648"/>
      <c r="AY232" s="648"/>
      <c r="AZ232" s="648"/>
      <c r="BA232" s="648"/>
      <c r="BB232" s="648"/>
      <c r="BC232" s="648"/>
      <c r="BD232" s="648"/>
      <c r="BE232" s="648"/>
      <c r="BF232" s="648"/>
      <c r="BG232" s="648"/>
      <c r="BH232" s="648"/>
      <c r="BI232" s="648"/>
      <c r="BJ232" s="648"/>
      <c r="BT232" s="657"/>
      <c r="BU232" s="657"/>
      <c r="BV232" s="657"/>
      <c r="BW232" s="657"/>
    </row>
    <row r="233" s="99" customFormat="true" ht="16.5" hidden="false" customHeight="false" outlineLevel="0" collapsed="false">
      <c r="A233" s="648"/>
      <c r="B233" s="648"/>
      <c r="C233" s="648"/>
      <c r="D233" s="648"/>
      <c r="E233" s="648"/>
      <c r="F233" s="648"/>
      <c r="G233" s="648"/>
      <c r="H233" s="648"/>
      <c r="I233" s="648"/>
      <c r="J233" s="648"/>
      <c r="K233" s="648"/>
      <c r="L233" s="648"/>
      <c r="M233" s="648"/>
      <c r="N233" s="648"/>
      <c r="O233" s="648"/>
      <c r="P233" s="648"/>
      <c r="Q233" s="648"/>
      <c r="R233" s="648"/>
      <c r="S233" s="648"/>
      <c r="T233" s="648"/>
      <c r="U233" s="648"/>
      <c r="V233" s="648"/>
      <c r="W233" s="648"/>
      <c r="X233" s="648"/>
      <c r="Y233" s="648"/>
      <c r="Z233" s="648"/>
      <c r="AA233" s="648"/>
      <c r="AB233" s="648"/>
      <c r="AC233" s="648"/>
      <c r="AD233" s="648"/>
      <c r="AE233" s="648"/>
      <c r="AF233" s="648"/>
      <c r="AG233" s="648"/>
      <c r="AH233" s="648"/>
      <c r="AI233" s="648"/>
      <c r="AJ233" s="648"/>
      <c r="AK233" s="648"/>
      <c r="AL233" s="648"/>
      <c r="AM233" s="648"/>
      <c r="AN233" s="648"/>
      <c r="AO233" s="648"/>
      <c r="AP233" s="648"/>
      <c r="AQ233" s="648"/>
      <c r="AR233" s="648"/>
      <c r="AS233" s="648"/>
      <c r="AT233" s="648"/>
      <c r="AU233" s="648"/>
      <c r="AV233" s="648"/>
      <c r="AW233" s="648"/>
      <c r="AX233" s="648"/>
      <c r="AY233" s="648"/>
      <c r="AZ233" s="648"/>
      <c r="BA233" s="648"/>
      <c r="BB233" s="648"/>
      <c r="BC233" s="648"/>
      <c r="BD233" s="648"/>
      <c r="BE233" s="648"/>
      <c r="BF233" s="648"/>
      <c r="BG233" s="648"/>
      <c r="BH233" s="648"/>
      <c r="BI233" s="648"/>
      <c r="BJ233" s="648"/>
      <c r="BT233" s="657"/>
      <c r="BU233" s="657"/>
      <c r="BV233" s="657"/>
      <c r="BW233" s="657"/>
    </row>
    <row r="234" s="99" customFormat="true" ht="16.5" hidden="false" customHeight="false" outlineLevel="0" collapsed="false">
      <c r="A234" s="648"/>
      <c r="B234" s="648"/>
      <c r="C234" s="648"/>
      <c r="D234" s="648"/>
      <c r="E234" s="648"/>
      <c r="F234" s="648"/>
      <c r="G234" s="648"/>
      <c r="H234" s="648"/>
      <c r="I234" s="648"/>
      <c r="J234" s="648"/>
      <c r="K234" s="648"/>
      <c r="L234" s="648"/>
      <c r="M234" s="648"/>
      <c r="N234" s="648"/>
      <c r="O234" s="648"/>
      <c r="P234" s="648"/>
      <c r="Q234" s="648"/>
      <c r="R234" s="648"/>
      <c r="S234" s="648"/>
      <c r="T234" s="648"/>
      <c r="U234" s="648"/>
      <c r="V234" s="648"/>
      <c r="W234" s="648"/>
      <c r="X234" s="648"/>
      <c r="Y234" s="648"/>
      <c r="Z234" s="648"/>
      <c r="AA234" s="648"/>
      <c r="AB234" s="648"/>
      <c r="AC234" s="648"/>
      <c r="AD234" s="648"/>
      <c r="AE234" s="648"/>
      <c r="AF234" s="648"/>
      <c r="AG234" s="648"/>
      <c r="AH234" s="648"/>
      <c r="AI234" s="648"/>
      <c r="AJ234" s="648"/>
      <c r="AK234" s="648"/>
      <c r="AL234" s="648"/>
      <c r="AM234" s="648"/>
      <c r="AN234" s="648"/>
      <c r="AO234" s="648"/>
      <c r="AP234" s="648"/>
      <c r="AQ234" s="648"/>
      <c r="AR234" s="648"/>
      <c r="AS234" s="648"/>
      <c r="AT234" s="648"/>
      <c r="AU234" s="648"/>
      <c r="AV234" s="648"/>
      <c r="AW234" s="648"/>
      <c r="AX234" s="648"/>
      <c r="AY234" s="648"/>
      <c r="AZ234" s="648"/>
      <c r="BA234" s="648"/>
      <c r="BB234" s="648"/>
      <c r="BC234" s="648"/>
      <c r="BD234" s="648"/>
      <c r="BE234" s="648"/>
      <c r="BF234" s="648"/>
      <c r="BG234" s="648"/>
      <c r="BH234" s="648"/>
      <c r="BI234" s="648"/>
      <c r="BJ234" s="648"/>
      <c r="BT234" s="657"/>
      <c r="BU234" s="657"/>
      <c r="BV234" s="657"/>
      <c r="BW234" s="657"/>
    </row>
    <row r="235" s="99" customFormat="true" ht="16.5" hidden="false" customHeight="false" outlineLevel="0" collapsed="false">
      <c r="A235" s="648"/>
      <c r="B235" s="648"/>
      <c r="C235" s="648"/>
      <c r="D235" s="648"/>
      <c r="E235" s="648"/>
      <c r="F235" s="648"/>
      <c r="G235" s="648"/>
      <c r="H235" s="648"/>
      <c r="I235" s="648"/>
      <c r="J235" s="648"/>
      <c r="K235" s="648"/>
      <c r="L235" s="648"/>
      <c r="M235" s="648"/>
      <c r="N235" s="648"/>
      <c r="O235" s="648"/>
      <c r="P235" s="648"/>
      <c r="Q235" s="648"/>
      <c r="R235" s="648"/>
      <c r="S235" s="648"/>
      <c r="T235" s="648"/>
      <c r="U235" s="648"/>
      <c r="V235" s="648"/>
      <c r="W235" s="648"/>
      <c r="X235" s="648"/>
      <c r="Y235" s="648"/>
      <c r="Z235" s="648"/>
      <c r="AA235" s="648"/>
      <c r="AB235" s="648"/>
      <c r="AC235" s="648"/>
      <c r="AD235" s="648"/>
      <c r="AE235" s="648"/>
      <c r="AF235" s="648"/>
      <c r="AG235" s="648"/>
      <c r="AH235" s="648"/>
      <c r="AI235" s="648"/>
      <c r="AJ235" s="648"/>
      <c r="AK235" s="648"/>
      <c r="AL235" s="648"/>
      <c r="AM235" s="648"/>
      <c r="AN235" s="648"/>
      <c r="AO235" s="648"/>
      <c r="AP235" s="648"/>
      <c r="AQ235" s="648"/>
      <c r="AR235" s="648"/>
      <c r="AS235" s="648"/>
      <c r="AT235" s="648"/>
      <c r="AU235" s="648"/>
      <c r="AV235" s="648"/>
      <c r="AW235" s="648"/>
      <c r="AX235" s="648"/>
      <c r="AY235" s="648"/>
      <c r="AZ235" s="648"/>
      <c r="BA235" s="648"/>
      <c r="BB235" s="648"/>
      <c r="BC235" s="648"/>
      <c r="BD235" s="648"/>
      <c r="BE235" s="648"/>
      <c r="BF235" s="648"/>
      <c r="BG235" s="648"/>
      <c r="BH235" s="648"/>
      <c r="BI235" s="648"/>
      <c r="BJ235" s="648"/>
      <c r="BT235" s="657"/>
      <c r="BU235" s="657"/>
      <c r="BV235" s="657"/>
      <c r="BW235" s="657"/>
    </row>
    <row r="236" s="99" customFormat="true" ht="16.5" hidden="false" customHeight="false" outlineLevel="0" collapsed="false">
      <c r="A236" s="648"/>
      <c r="B236" s="648"/>
      <c r="C236" s="648"/>
      <c r="D236" s="648"/>
      <c r="E236" s="648"/>
      <c r="F236" s="648"/>
      <c r="G236" s="648"/>
      <c r="H236" s="648"/>
      <c r="I236" s="648"/>
      <c r="J236" s="648"/>
      <c r="K236" s="648"/>
      <c r="L236" s="648"/>
      <c r="M236" s="648"/>
      <c r="N236" s="648"/>
      <c r="O236" s="648"/>
      <c r="P236" s="648"/>
      <c r="Q236" s="648"/>
      <c r="R236" s="648"/>
      <c r="S236" s="648"/>
      <c r="T236" s="648"/>
      <c r="U236" s="648"/>
      <c r="V236" s="648"/>
      <c r="W236" s="648"/>
      <c r="X236" s="648"/>
      <c r="Y236" s="648"/>
      <c r="Z236" s="648"/>
      <c r="AA236" s="648"/>
      <c r="AB236" s="648"/>
      <c r="AC236" s="648"/>
      <c r="AD236" s="648"/>
      <c r="AE236" s="648"/>
      <c r="AF236" s="648"/>
      <c r="AG236" s="648"/>
      <c r="AH236" s="648"/>
      <c r="AI236" s="648"/>
      <c r="AJ236" s="648"/>
      <c r="AK236" s="648"/>
      <c r="AL236" s="648"/>
      <c r="AM236" s="648"/>
      <c r="AN236" s="648"/>
      <c r="AO236" s="648"/>
      <c r="AP236" s="648"/>
      <c r="AQ236" s="648"/>
      <c r="AR236" s="648"/>
      <c r="AS236" s="648"/>
      <c r="AT236" s="648"/>
      <c r="AU236" s="648"/>
      <c r="AV236" s="648"/>
      <c r="AW236" s="648"/>
      <c r="AX236" s="648"/>
      <c r="AY236" s="648"/>
      <c r="AZ236" s="648"/>
      <c r="BA236" s="648"/>
      <c r="BB236" s="648"/>
      <c r="BC236" s="648"/>
      <c r="BD236" s="648"/>
      <c r="BE236" s="648"/>
      <c r="BF236" s="648"/>
      <c r="BG236" s="648"/>
      <c r="BH236" s="648"/>
      <c r="BI236" s="648"/>
      <c r="BJ236" s="648"/>
      <c r="BT236" s="657"/>
      <c r="BU236" s="657"/>
      <c r="BV236" s="657"/>
      <c r="BW236" s="657"/>
    </row>
    <row r="237" s="99" customFormat="true" ht="16.5" hidden="false" customHeight="false" outlineLevel="0" collapsed="false">
      <c r="A237" s="648"/>
      <c r="B237" s="648"/>
      <c r="C237" s="648"/>
      <c r="D237" s="648"/>
      <c r="E237" s="648"/>
      <c r="F237" s="648"/>
      <c r="G237" s="648"/>
      <c r="H237" s="648"/>
      <c r="I237" s="648"/>
      <c r="J237" s="648"/>
      <c r="K237" s="648"/>
      <c r="L237" s="648"/>
      <c r="M237" s="648"/>
      <c r="N237" s="648"/>
      <c r="O237" s="648"/>
      <c r="P237" s="648"/>
      <c r="Q237" s="648"/>
      <c r="R237" s="648"/>
      <c r="S237" s="648"/>
      <c r="T237" s="648"/>
      <c r="U237" s="648"/>
      <c r="V237" s="648"/>
      <c r="W237" s="648"/>
      <c r="X237" s="648"/>
      <c r="Y237" s="648"/>
      <c r="Z237" s="648"/>
      <c r="AA237" s="648"/>
      <c r="AB237" s="648"/>
      <c r="AC237" s="648"/>
      <c r="AD237" s="648"/>
      <c r="AE237" s="648"/>
      <c r="AF237" s="648"/>
      <c r="AG237" s="648"/>
      <c r="AH237" s="648"/>
      <c r="AI237" s="648"/>
      <c r="AJ237" s="648"/>
      <c r="AK237" s="648"/>
      <c r="AL237" s="648"/>
      <c r="AM237" s="648"/>
      <c r="AN237" s="648"/>
      <c r="AO237" s="648"/>
      <c r="AP237" s="648"/>
      <c r="AQ237" s="648"/>
      <c r="AR237" s="648"/>
      <c r="AS237" s="648"/>
      <c r="AT237" s="648"/>
      <c r="AU237" s="648"/>
      <c r="AV237" s="648"/>
      <c r="AW237" s="648"/>
      <c r="AX237" s="648"/>
      <c r="AY237" s="648"/>
      <c r="AZ237" s="648"/>
      <c r="BA237" s="648"/>
      <c r="BB237" s="648"/>
      <c r="BC237" s="648"/>
      <c r="BD237" s="648"/>
      <c r="BE237" s="648"/>
      <c r="BF237" s="648"/>
      <c r="BG237" s="648"/>
      <c r="BH237" s="648"/>
      <c r="BI237" s="648"/>
      <c r="BJ237" s="648"/>
      <c r="BT237" s="657"/>
      <c r="BU237" s="657"/>
      <c r="BV237" s="657"/>
      <c r="BW237" s="657"/>
    </row>
    <row r="238" s="99" customFormat="true" ht="16.5" hidden="false" customHeight="false" outlineLevel="0" collapsed="false">
      <c r="A238" s="648"/>
      <c r="B238" s="648"/>
      <c r="C238" s="648"/>
      <c r="D238" s="648"/>
      <c r="E238" s="648"/>
      <c r="F238" s="648"/>
      <c r="G238" s="648"/>
      <c r="H238" s="648"/>
      <c r="I238" s="648"/>
      <c r="J238" s="648"/>
      <c r="K238" s="648"/>
      <c r="L238" s="648"/>
      <c r="M238" s="648"/>
      <c r="N238" s="648"/>
      <c r="O238" s="648"/>
      <c r="P238" s="648"/>
      <c r="Q238" s="648"/>
      <c r="R238" s="648"/>
      <c r="S238" s="648"/>
      <c r="T238" s="648"/>
      <c r="U238" s="648"/>
      <c r="V238" s="648"/>
      <c r="W238" s="648"/>
      <c r="X238" s="648"/>
      <c r="Y238" s="648"/>
      <c r="Z238" s="648"/>
      <c r="AA238" s="648"/>
      <c r="AB238" s="648"/>
      <c r="AC238" s="648"/>
      <c r="AD238" s="648"/>
      <c r="AE238" s="648"/>
      <c r="AF238" s="648"/>
      <c r="AG238" s="648"/>
      <c r="AH238" s="648"/>
      <c r="AI238" s="648"/>
      <c r="AJ238" s="648"/>
      <c r="AK238" s="648"/>
      <c r="AL238" s="648"/>
      <c r="AM238" s="648"/>
      <c r="AN238" s="648"/>
      <c r="AO238" s="648"/>
      <c r="AP238" s="648"/>
      <c r="AQ238" s="648"/>
      <c r="AR238" s="648"/>
      <c r="AS238" s="648"/>
      <c r="AT238" s="648"/>
      <c r="AU238" s="648"/>
      <c r="AV238" s="648"/>
      <c r="AW238" s="648"/>
      <c r="AX238" s="648"/>
      <c r="AY238" s="648"/>
      <c r="AZ238" s="648"/>
      <c r="BA238" s="648"/>
      <c r="BB238" s="648"/>
      <c r="BC238" s="648"/>
      <c r="BD238" s="648"/>
      <c r="BE238" s="648"/>
      <c r="BF238" s="648"/>
      <c r="BG238" s="648"/>
      <c r="BH238" s="648"/>
      <c r="BI238" s="648"/>
      <c r="BJ238" s="648"/>
      <c r="BT238" s="657"/>
      <c r="BU238" s="657"/>
      <c r="BV238" s="657"/>
      <c r="BW238" s="657"/>
    </row>
    <row r="239" customFormat="false" ht="16.5" hidden="false" customHeight="false" outlineLevel="0" collapsed="false">
      <c r="A239" s="647"/>
      <c r="B239" s="647"/>
      <c r="C239" s="647"/>
      <c r="D239" s="647"/>
    </row>
    <row r="240" customFormat="false" ht="16.5" hidden="false" customHeight="false" outlineLevel="0" collapsed="false">
      <c r="A240" s="647"/>
      <c r="B240" s="647"/>
      <c r="C240" s="647"/>
      <c r="D240" s="647"/>
    </row>
    <row r="241" customFormat="false" ht="16.5" hidden="false" customHeight="false" outlineLevel="0" collapsed="false">
      <c r="A241" s="647"/>
      <c r="B241" s="647"/>
      <c r="C241" s="647"/>
      <c r="D241" s="647"/>
    </row>
    <row r="242" customFormat="false" ht="16.5" hidden="false" customHeight="false" outlineLevel="0" collapsed="false">
      <c r="A242" s="647"/>
      <c r="B242" s="647"/>
      <c r="C242" s="647"/>
      <c r="D242" s="647"/>
    </row>
    <row r="243" customFormat="false" ht="16.5" hidden="false" customHeight="false" outlineLevel="0" collapsed="false">
      <c r="A243" s="647"/>
      <c r="B243" s="647"/>
      <c r="C243" s="647"/>
      <c r="D243" s="647"/>
    </row>
    <row r="244" customFormat="false" ht="16.5" hidden="false" customHeight="false" outlineLevel="0" collapsed="false">
      <c r="A244" s="647"/>
      <c r="B244" s="647"/>
      <c r="C244" s="647"/>
      <c r="D244" s="647"/>
    </row>
    <row r="245" customFormat="false" ht="16.5" hidden="false" customHeight="false" outlineLevel="0" collapsed="false">
      <c r="A245" s="647"/>
      <c r="B245" s="647"/>
      <c r="C245" s="647"/>
      <c r="D245" s="647"/>
    </row>
    <row r="246" customFormat="false" ht="16.5" hidden="false" customHeight="false" outlineLevel="0" collapsed="false">
      <c r="A246" s="647"/>
      <c r="B246" s="647"/>
      <c r="C246" s="647"/>
      <c r="D246" s="647"/>
    </row>
    <row r="247" customFormat="false" ht="16.5" hidden="false" customHeight="false" outlineLevel="0" collapsed="false">
      <c r="A247" s="647"/>
      <c r="B247" s="647"/>
      <c r="C247" s="647"/>
      <c r="D247" s="647"/>
    </row>
    <row r="248" customFormat="false" ht="16.5" hidden="false" customHeight="false" outlineLevel="0" collapsed="false">
      <c r="A248" s="647"/>
      <c r="B248" s="647"/>
      <c r="C248" s="647"/>
      <c r="D248" s="647"/>
    </row>
    <row r="249" customFormat="false" ht="16.5" hidden="false" customHeight="false" outlineLevel="0" collapsed="false">
      <c r="A249" s="647"/>
      <c r="B249" s="647"/>
      <c r="C249" s="647"/>
      <c r="D249" s="647"/>
    </row>
    <row r="250" customFormat="false" ht="16.5" hidden="false" customHeight="false" outlineLevel="0" collapsed="false">
      <c r="A250" s="647"/>
      <c r="B250" s="647"/>
      <c r="C250" s="647"/>
      <c r="D250" s="647"/>
    </row>
    <row r="251" customFormat="false" ht="16.5" hidden="false" customHeight="false" outlineLevel="0" collapsed="false">
      <c r="A251" s="647"/>
      <c r="B251" s="647"/>
      <c r="C251" s="647"/>
      <c r="D251" s="647"/>
    </row>
    <row r="252" customFormat="false" ht="16.5" hidden="false" customHeight="false" outlineLevel="0" collapsed="false">
      <c r="A252" s="647"/>
      <c r="B252" s="647"/>
      <c r="C252" s="647"/>
      <c r="D252" s="647"/>
    </row>
    <row r="253" customFormat="false" ht="16.5" hidden="false" customHeight="false" outlineLevel="0" collapsed="false">
      <c r="A253" s="647"/>
      <c r="B253" s="647"/>
      <c r="C253" s="647"/>
      <c r="D253" s="647"/>
    </row>
    <row r="254" customFormat="false" ht="16.5" hidden="false" customHeight="false" outlineLevel="0" collapsed="false">
      <c r="A254" s="647"/>
      <c r="B254" s="647"/>
      <c r="C254" s="647"/>
      <c r="D254" s="647"/>
    </row>
    <row r="255" customFormat="false" ht="16.5" hidden="false" customHeight="false" outlineLevel="0" collapsed="false">
      <c r="A255" s="647"/>
      <c r="B255" s="647"/>
      <c r="C255" s="647"/>
      <c r="D255" s="647"/>
    </row>
    <row r="256" customFormat="false" ht="16.5" hidden="false" customHeight="false" outlineLevel="0" collapsed="false">
      <c r="A256" s="647"/>
      <c r="B256" s="647"/>
      <c r="C256" s="647"/>
      <c r="D256" s="647"/>
    </row>
    <row r="257" customFormat="false" ht="16.5" hidden="false" customHeight="false" outlineLevel="0" collapsed="false">
      <c r="A257" s="647"/>
      <c r="B257" s="647"/>
      <c r="C257" s="647"/>
      <c r="D257" s="647"/>
    </row>
    <row r="258" customFormat="false" ht="16.5" hidden="false" customHeight="false" outlineLevel="0" collapsed="false">
      <c r="A258" s="647"/>
      <c r="B258" s="647"/>
      <c r="C258" s="647"/>
      <c r="D258" s="647"/>
    </row>
    <row r="259" customFormat="false" ht="16.5" hidden="false" customHeight="false" outlineLevel="0" collapsed="false">
      <c r="A259" s="647"/>
      <c r="B259" s="647"/>
      <c r="C259" s="647"/>
      <c r="D259" s="647"/>
    </row>
    <row r="260" customFormat="false" ht="16.5" hidden="false" customHeight="false" outlineLevel="0" collapsed="false">
      <c r="A260" s="647"/>
      <c r="B260" s="647"/>
      <c r="C260" s="647"/>
      <c r="D260" s="647"/>
    </row>
    <row r="261" customFormat="false" ht="16.5" hidden="false" customHeight="false" outlineLevel="0" collapsed="false">
      <c r="A261" s="647"/>
      <c r="B261" s="647"/>
      <c r="C261" s="647"/>
      <c r="D261" s="647"/>
    </row>
    <row r="262" customFormat="false" ht="16.5" hidden="false" customHeight="false" outlineLevel="0" collapsed="false">
      <c r="A262" s="647"/>
      <c r="B262" s="647"/>
      <c r="C262" s="647"/>
      <c r="D262" s="647"/>
    </row>
    <row r="263" customFormat="false" ht="16.5" hidden="false" customHeight="false" outlineLevel="0" collapsed="false">
      <c r="A263" s="647"/>
      <c r="B263" s="647"/>
      <c r="C263" s="647"/>
      <c r="D263" s="647"/>
    </row>
    <row r="264" customFormat="false" ht="16.5" hidden="false" customHeight="false" outlineLevel="0" collapsed="false">
      <c r="A264" s="647"/>
      <c r="B264" s="647"/>
      <c r="C264" s="647"/>
      <c r="D264" s="647"/>
    </row>
    <row r="265" customFormat="false" ht="16.5" hidden="false" customHeight="false" outlineLevel="0" collapsed="false">
      <c r="A265" s="647"/>
      <c r="B265" s="647"/>
      <c r="C265" s="647"/>
      <c r="D265" s="647"/>
    </row>
    <row r="266" customFormat="false" ht="16.5" hidden="false" customHeight="false" outlineLevel="0" collapsed="false">
      <c r="A266" s="647"/>
      <c r="B266" s="647"/>
      <c r="C266" s="647"/>
      <c r="D266" s="647"/>
    </row>
    <row r="267" customFormat="false" ht="16.5" hidden="false" customHeight="false" outlineLevel="0" collapsed="false">
      <c r="A267" s="647"/>
      <c r="B267" s="647"/>
      <c r="C267" s="647"/>
      <c r="D267" s="647"/>
    </row>
    <row r="268" customFormat="false" ht="16.5" hidden="false" customHeight="false" outlineLevel="0" collapsed="false">
      <c r="A268" s="647"/>
      <c r="B268" s="647"/>
      <c r="C268" s="647"/>
      <c r="D268" s="647"/>
    </row>
    <row r="269" customFormat="false" ht="16.5" hidden="false" customHeight="false" outlineLevel="0" collapsed="false">
      <c r="A269" s="647"/>
      <c r="B269" s="647"/>
      <c r="C269" s="647"/>
      <c r="D269" s="647"/>
    </row>
    <row r="270" customFormat="false" ht="16.5" hidden="false" customHeight="false" outlineLevel="0" collapsed="false">
      <c r="A270" s="647"/>
      <c r="B270" s="647"/>
      <c r="C270" s="647"/>
      <c r="D270" s="647"/>
    </row>
    <row r="271" customFormat="false" ht="16.5" hidden="false" customHeight="false" outlineLevel="0" collapsed="false">
      <c r="A271" s="647"/>
      <c r="B271" s="647"/>
      <c r="C271" s="647"/>
      <c r="D271" s="647"/>
    </row>
    <row r="272" customFormat="false" ht="16.5" hidden="false" customHeight="false" outlineLevel="0" collapsed="false">
      <c r="A272" s="647"/>
      <c r="B272" s="647"/>
      <c r="C272" s="647"/>
      <c r="D272" s="647"/>
    </row>
    <row r="273" customFormat="false" ht="16.5" hidden="false" customHeight="false" outlineLevel="0" collapsed="false">
      <c r="A273" s="647"/>
      <c r="B273" s="647"/>
      <c r="C273" s="647"/>
      <c r="D273" s="647"/>
    </row>
    <row r="274" customFormat="false" ht="16.5" hidden="false" customHeight="false" outlineLevel="0" collapsed="false">
      <c r="A274" s="647"/>
      <c r="B274" s="647"/>
      <c r="C274" s="647"/>
      <c r="D274" s="647"/>
    </row>
    <row r="275" customFormat="false" ht="16.5" hidden="false" customHeight="false" outlineLevel="0" collapsed="false">
      <c r="A275" s="647"/>
      <c r="B275" s="647"/>
      <c r="C275" s="647"/>
      <c r="D275" s="647"/>
    </row>
    <row r="276" customFormat="false" ht="16.5" hidden="false" customHeight="false" outlineLevel="0" collapsed="false">
      <c r="A276" s="647"/>
      <c r="B276" s="647"/>
      <c r="C276" s="647"/>
      <c r="D276" s="647"/>
    </row>
    <row r="277" customFormat="false" ht="16.5" hidden="false" customHeight="false" outlineLevel="0" collapsed="false">
      <c r="A277" s="647"/>
      <c r="B277" s="647"/>
      <c r="C277" s="647"/>
      <c r="D277" s="647"/>
    </row>
    <row r="278" customFormat="false" ht="16.5" hidden="false" customHeight="false" outlineLevel="0" collapsed="false">
      <c r="A278" s="647"/>
      <c r="B278" s="647"/>
      <c r="C278" s="647"/>
      <c r="D278" s="647"/>
    </row>
    <row r="279" customFormat="false" ht="16.5" hidden="false" customHeight="false" outlineLevel="0" collapsed="false">
      <c r="A279" s="647"/>
      <c r="B279" s="647"/>
      <c r="C279" s="647"/>
      <c r="D279" s="647"/>
    </row>
    <row r="280" customFormat="false" ht="16.5" hidden="false" customHeight="false" outlineLevel="0" collapsed="false">
      <c r="A280" s="647"/>
      <c r="B280" s="647"/>
      <c r="C280" s="647"/>
      <c r="D280" s="647"/>
    </row>
    <row r="281" customFormat="false" ht="16.5" hidden="false" customHeight="false" outlineLevel="0" collapsed="false">
      <c r="A281" s="647"/>
      <c r="B281" s="647"/>
      <c r="C281" s="647"/>
      <c r="D281" s="647"/>
    </row>
    <row r="282" customFormat="false" ht="16.5" hidden="false" customHeight="false" outlineLevel="0" collapsed="false">
      <c r="A282" s="647"/>
      <c r="B282" s="647"/>
      <c r="C282" s="647"/>
      <c r="D282" s="647"/>
    </row>
    <row r="283" customFormat="false" ht="16.5" hidden="false" customHeight="false" outlineLevel="0" collapsed="false">
      <c r="A283" s="647"/>
      <c r="B283" s="647"/>
      <c r="C283" s="647"/>
      <c r="D283" s="647"/>
    </row>
    <row r="284" customFormat="false" ht="16.5" hidden="false" customHeight="false" outlineLevel="0" collapsed="false">
      <c r="A284" s="647"/>
      <c r="B284" s="647"/>
      <c r="C284" s="647"/>
      <c r="D284" s="647"/>
    </row>
    <row r="285" customFormat="false" ht="16.5" hidden="false" customHeight="false" outlineLevel="0" collapsed="false">
      <c r="A285" s="647"/>
      <c r="B285" s="647"/>
      <c r="C285" s="647"/>
      <c r="D285" s="647"/>
    </row>
    <row r="286" customFormat="false" ht="16.5" hidden="false" customHeight="false" outlineLevel="0" collapsed="false">
      <c r="A286" s="647"/>
      <c r="B286" s="647"/>
      <c r="C286" s="647"/>
      <c r="D286" s="647"/>
    </row>
    <row r="287" customFormat="false" ht="16.5" hidden="false" customHeight="false" outlineLevel="0" collapsed="false">
      <c r="A287" s="647"/>
      <c r="B287" s="647"/>
      <c r="C287" s="647"/>
      <c r="D287" s="647"/>
    </row>
    <row r="288" customFormat="false" ht="16.5" hidden="false" customHeight="false" outlineLevel="0" collapsed="false">
      <c r="A288" s="647"/>
      <c r="B288" s="647"/>
      <c r="C288" s="647"/>
      <c r="D288" s="647"/>
    </row>
    <row r="289" customFormat="false" ht="16.5" hidden="false" customHeight="false" outlineLevel="0" collapsed="false">
      <c r="A289" s="647"/>
      <c r="B289" s="647"/>
      <c r="C289" s="647"/>
      <c r="D289" s="647"/>
    </row>
    <row r="290" customFormat="false" ht="16.5" hidden="false" customHeight="false" outlineLevel="0" collapsed="false">
      <c r="A290" s="647"/>
      <c r="B290" s="647"/>
      <c r="C290" s="647"/>
      <c r="D290" s="647"/>
    </row>
    <row r="291" customFormat="false" ht="16.5" hidden="false" customHeight="false" outlineLevel="0" collapsed="false">
      <c r="A291" s="647"/>
      <c r="B291" s="647"/>
      <c r="C291" s="647"/>
      <c r="D291" s="647"/>
    </row>
    <row r="292" customFormat="false" ht="16.5" hidden="false" customHeight="false" outlineLevel="0" collapsed="false">
      <c r="A292" s="647"/>
      <c r="B292" s="647"/>
      <c r="C292" s="647"/>
      <c r="D292" s="647"/>
    </row>
    <row r="293" customFormat="false" ht="16.5" hidden="false" customHeight="false" outlineLevel="0" collapsed="false">
      <c r="A293" s="647"/>
      <c r="B293" s="647"/>
      <c r="C293" s="647"/>
      <c r="D293" s="647"/>
    </row>
    <row r="294" customFormat="false" ht="16.5" hidden="false" customHeight="false" outlineLevel="0" collapsed="false">
      <c r="A294" s="647"/>
      <c r="B294" s="647"/>
      <c r="C294" s="647"/>
      <c r="D294" s="647"/>
    </row>
    <row r="295" customFormat="false" ht="16.5" hidden="false" customHeight="false" outlineLevel="0" collapsed="false">
      <c r="A295" s="647"/>
      <c r="B295" s="647"/>
      <c r="C295" s="647"/>
      <c r="D295" s="647"/>
    </row>
    <row r="296" customFormat="false" ht="16.5" hidden="false" customHeight="false" outlineLevel="0" collapsed="false">
      <c r="A296" s="647"/>
      <c r="B296" s="647"/>
      <c r="C296" s="647"/>
      <c r="D296" s="647"/>
    </row>
    <row r="297" customFormat="false" ht="16.5" hidden="false" customHeight="false" outlineLevel="0" collapsed="false">
      <c r="A297" s="647"/>
      <c r="B297" s="647"/>
      <c r="C297" s="647"/>
      <c r="D297" s="647"/>
    </row>
    <row r="298" customFormat="false" ht="16.5" hidden="false" customHeight="false" outlineLevel="0" collapsed="false">
      <c r="A298" s="647"/>
      <c r="B298" s="647"/>
      <c r="C298" s="647"/>
      <c r="D298" s="647"/>
    </row>
  </sheetData>
  <mergeCells count="27">
    <mergeCell ref="C1:D1"/>
    <mergeCell ref="H1:I1"/>
    <mergeCell ref="J1:BO1"/>
    <mergeCell ref="D2:G2"/>
    <mergeCell ref="H2:O2"/>
    <mergeCell ref="A3:A4"/>
    <mergeCell ref="B3:B4"/>
    <mergeCell ref="C3:C4"/>
    <mergeCell ref="D3:D4"/>
    <mergeCell ref="E3:E4"/>
    <mergeCell ref="F3:F4"/>
    <mergeCell ref="G3:G4"/>
    <mergeCell ref="H3:O3"/>
    <mergeCell ref="P3:V3"/>
    <mergeCell ref="W3:AA3"/>
    <mergeCell ref="AB3:AD3"/>
    <mergeCell ref="AE3:AO3"/>
    <mergeCell ref="AP3:AV3"/>
    <mergeCell ref="AX3:BD3"/>
    <mergeCell ref="BF3:BH3"/>
    <mergeCell ref="BJ3:BL3"/>
    <mergeCell ref="BM3:BO3"/>
    <mergeCell ref="BQ3:BS3"/>
    <mergeCell ref="BP5:BP30"/>
    <mergeCell ref="BJ31:BK31"/>
    <mergeCell ref="BM31:BN31"/>
    <mergeCell ref="BQ31:BR31"/>
  </mergeCells>
  <conditionalFormatting sqref="BQ5:BS30">
    <cfRule type="cellIs" priority="2" operator="between" aboveAverage="0" equalAverage="0" bottom="0" percent="0" rank="0" text="" dxfId="55">
      <formula>50</formula>
      <formula>80</formula>
    </cfRule>
    <cfRule type="cellIs" priority="3" operator="greaterThan" aboveAverage="0" equalAverage="0" bottom="0" percent="0" rank="0" text="" dxfId="56">
      <formula>79</formula>
    </cfRule>
    <cfRule type="cellIs" priority="4" operator="lessThan" aboveAverage="0" equalAverage="0" bottom="0" percent="0" rank="0" text="" dxfId="57">
      <formula>50</formula>
    </cfRule>
  </conditionalFormatting>
  <conditionalFormatting sqref="BJ5:BO30">
    <cfRule type="cellIs" priority="5" operator="between" aboveAverage="0" equalAverage="0" bottom="0" percent="0" rank="0" text="" dxfId="58">
      <formula>50</formula>
      <formula>80</formula>
    </cfRule>
    <cfRule type="cellIs" priority="6" operator="greaterThan" aboveAverage="0" equalAverage="0" bottom="0" percent="0" rank="0" text="" dxfId="59">
      <formula>79</formula>
    </cfRule>
    <cfRule type="cellIs" priority="7" operator="lessThan" aboveAverage="0" equalAverage="0" bottom="0" percent="0" rank="0" text="" dxfId="60">
      <formula>50</formula>
    </cfRule>
  </conditionalFormatting>
  <dataValidations count="1">
    <dataValidation allowBlank="true" errorStyle="stop" operator="between" showDropDown="false" showErrorMessage="true" showInputMessage="true" sqref="D6:D27" type="list">
      <formula1>"1,2,3,4,5,6"</formula1>
      <formula2>0</formula2>
    </dataValidation>
  </dataValidations>
  <hyperlinks>
    <hyperlink ref="C1" location="'Tabla de Contenidos'!A1" display="Volver a Tabla de contenidos"/>
    <hyperlink ref="H3" location="A.Org_CAPS!A1" display="A.Organización"/>
    <hyperlink ref="W3" location="D.RecuperacióndeCostes!A1" display="D.Recuperación de costes"/>
    <hyperlink ref="AB3" location="E.OperaciónyMantenimiento!A1" display="E.Operación &amp; Mantenimiento"/>
    <hyperlink ref="AE3" location="F.SaludComunitaria!A1" display="F. GIRH"/>
    <hyperlink ref="AP3" location="'G.Rendición de cuentas'!A1" display="G.Rendición de cuentas"/>
    <hyperlink ref="AW3" location="H.2.Estado_Conserv.MAG!A1" display="H.2 Estado y conservación sistema MAG"/>
    <hyperlink ref="AX3" location="'H.1.Estado_Conserv MABE'!A1" display="H.1 Estado y conservación sistema MABE"/>
    <hyperlink ref="BE3" location="H.3.Estado_Conserv.Pozos!A1" display="H.3 Estado y conservación sistema Pozos"/>
    <hyperlink ref="BF3" location="'I.Genero '!A1" display="I.Incorporaciòn del &#10;enfoque de Gènero"/>
    <hyperlink ref="BI3" location="C.AutoGestionCAPS!A1" display="J.Autogestión"/>
    <hyperlink ref="BJ3" location="Ind.Sostenib.!A1" display="Indice de Sostenibilidad &#10;MABE "/>
    <hyperlink ref="BM3" location="Ind.Sostenib.!A1" display="Indice de Sostenibilidad&#10; MAG"/>
    <hyperlink ref="BQ3" location="Ind.Sostenib.!A1" display="Indice de Sostenibilidad&#10;POZO"/>
    <hyperlink ref="J4" location="' A.Legalización '!A1" display="Legalización"/>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5" scale="55"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8677"/>
    <pageSetUpPr fitToPage="false"/>
  </sheetPr>
  <dimension ref="A1:U13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D16" activeCellId="0" sqref="D16"/>
    </sheetView>
  </sheetViews>
  <sheetFormatPr defaultColWidth="11.43359375" defaultRowHeight="12.75" customHeight="false" zeroHeight="false" outlineLevelRow="0" outlineLevelCol="0"/>
  <cols>
    <col collapsed="false" customWidth="true" hidden="false" outlineLevel="0" max="1" min="1" style="732" width="4.42"/>
    <col collapsed="false" customWidth="true" hidden="false" outlineLevel="0" max="2" min="2" style="732" width="9.57"/>
    <col collapsed="false" customWidth="true" hidden="false" outlineLevel="0" max="3" min="3" style="733" width="18.42"/>
    <col collapsed="false" customWidth="true" hidden="false" outlineLevel="0" max="4" min="4" style="732" width="11.14"/>
    <col collapsed="false" customWidth="true" hidden="false" outlineLevel="0" max="5" min="5" style="732" width="10"/>
    <col collapsed="false" customWidth="true" hidden="false" outlineLevel="0" max="6" min="6" style="732" width="9.29"/>
    <col collapsed="false" customWidth="true" hidden="false" outlineLevel="0" max="7" min="7" style="732" width="15"/>
    <col collapsed="false" customWidth="true" hidden="false" outlineLevel="0" max="8" min="8" style="732" width="12.29"/>
    <col collapsed="false" customWidth="true" hidden="false" outlineLevel="0" max="9" min="9" style="734" width="11.29"/>
    <col collapsed="false" customWidth="false" hidden="false" outlineLevel="0" max="15" min="10" style="733" width="11.43"/>
    <col collapsed="false" customWidth="true" hidden="false" outlineLevel="0" max="16" min="16" style="733" width="13.29"/>
    <col collapsed="false" customWidth="true" hidden="false" outlineLevel="0" max="17" min="17" style="733" width="13.15"/>
    <col collapsed="false" customWidth="false" hidden="false" outlineLevel="0" max="18" min="18" style="732" width="11.43"/>
    <col collapsed="false" customWidth="false" hidden="false" outlineLevel="0" max="20" min="19" style="733" width="11.43"/>
    <col collapsed="false" customWidth="true" hidden="false" outlineLevel="0" max="21" min="21" style="733" width="13.57"/>
    <col collapsed="false" customWidth="false" hidden="false" outlineLevel="0" max="16384" min="22" style="733" width="11.43"/>
  </cols>
  <sheetData>
    <row r="1" customFormat="false" ht="12.75" hidden="false" customHeight="false" outlineLevel="0" collapsed="false">
      <c r="A1" s="735"/>
      <c r="B1" s="735"/>
      <c r="C1" s="735"/>
      <c r="D1" s="735"/>
      <c r="E1" s="735"/>
      <c r="F1" s="735"/>
      <c r="G1" s="735"/>
      <c r="H1" s="735"/>
    </row>
    <row r="2" customFormat="false" ht="12.75" hidden="false" customHeight="false" outlineLevel="0" collapsed="false">
      <c r="A2" s="734"/>
      <c r="B2" s="734"/>
      <c r="C2" s="734"/>
      <c r="D2" s="734"/>
      <c r="E2" s="734"/>
      <c r="F2" s="734"/>
      <c r="G2" s="734"/>
      <c r="H2" s="734"/>
    </row>
    <row r="4" customFormat="false" ht="12.75" hidden="false" customHeight="false" outlineLevel="0" collapsed="false">
      <c r="A4" s="736" t="s">
        <v>579</v>
      </c>
      <c r="B4" s="736"/>
      <c r="C4" s="736"/>
      <c r="D4" s="736"/>
      <c r="E4" s="736"/>
      <c r="F4" s="736"/>
      <c r="G4" s="736"/>
      <c r="H4" s="736"/>
      <c r="I4" s="736"/>
    </row>
    <row r="5" customFormat="false" ht="12.75" hidden="false" customHeight="false" outlineLevel="0" collapsed="false">
      <c r="C5" s="732"/>
    </row>
    <row r="6" s="569" customFormat="true" ht="35.25" hidden="false" customHeight="true" outlineLevel="0" collapsed="false">
      <c r="A6" s="737"/>
      <c r="B6" s="738" t="s">
        <v>580</v>
      </c>
      <c r="C6" s="739" t="s">
        <v>581</v>
      </c>
      <c r="D6" s="739"/>
      <c r="E6" s="739"/>
      <c r="F6" s="739"/>
      <c r="G6" s="739"/>
      <c r="H6" s="740"/>
      <c r="I6" s="740"/>
      <c r="R6" s="737"/>
    </row>
    <row r="7" customFormat="false" ht="12.75" hidden="false" customHeight="false" outlineLevel="0" collapsed="false">
      <c r="D7" s="741"/>
      <c r="E7" s="741"/>
    </row>
    <row r="8" s="582" customFormat="true" ht="12.75" hidden="false" customHeight="false" outlineLevel="0" collapsed="false">
      <c r="A8" s="742" t="s">
        <v>410</v>
      </c>
      <c r="B8" s="742" t="s">
        <v>17</v>
      </c>
      <c r="C8" s="742" t="s">
        <v>317</v>
      </c>
      <c r="D8" s="743" t="s">
        <v>582</v>
      </c>
      <c r="E8" s="743" t="s">
        <v>583</v>
      </c>
      <c r="F8" s="742" t="s">
        <v>584</v>
      </c>
      <c r="G8" s="742" t="s">
        <v>585</v>
      </c>
      <c r="I8" s="734"/>
      <c r="J8" s="733"/>
      <c r="K8" s="733"/>
      <c r="L8" s="733"/>
    </row>
    <row r="9" customFormat="false" ht="12.75" hidden="false" customHeight="false" outlineLevel="0" collapsed="false">
      <c r="A9" s="744" t="n">
        <v>1</v>
      </c>
      <c r="B9" s="744" t="s">
        <v>73</v>
      </c>
      <c r="C9" s="745" t="s">
        <v>586</v>
      </c>
      <c r="D9" s="746" t="n">
        <v>2</v>
      </c>
      <c r="E9" s="747" t="n">
        <v>5</v>
      </c>
      <c r="F9" s="744" t="n">
        <v>7</v>
      </c>
      <c r="G9" s="748" t="n">
        <v>0.714285714285714</v>
      </c>
    </row>
    <row r="10" customFormat="false" ht="12.75" hidden="false" customHeight="false" outlineLevel="0" collapsed="false">
      <c r="A10" s="744" t="n">
        <v>2</v>
      </c>
      <c r="B10" s="744" t="s">
        <v>73</v>
      </c>
      <c r="C10" s="745" t="s">
        <v>587</v>
      </c>
      <c r="D10" s="746" t="n">
        <v>3</v>
      </c>
      <c r="E10" s="747" t="n">
        <v>4</v>
      </c>
      <c r="F10" s="744" t="n">
        <v>7</v>
      </c>
      <c r="G10" s="748" t="n">
        <v>0.571428571428571</v>
      </c>
    </row>
    <row r="11" customFormat="false" ht="12.75" hidden="false" customHeight="false" outlineLevel="0" collapsed="false">
      <c r="A11" s="744" t="n">
        <v>3</v>
      </c>
      <c r="B11" s="744" t="s">
        <v>99</v>
      </c>
      <c r="C11" s="745"/>
      <c r="D11" s="746"/>
      <c r="E11" s="747"/>
      <c r="F11" s="744" t="n">
        <v>0</v>
      </c>
      <c r="G11" s="748" t="e">
        <f aca="false">#DIV/0!</f>
        <v>#DIV/0!</v>
      </c>
    </row>
    <row r="12" customFormat="false" ht="12.75" hidden="false" customHeight="false" outlineLevel="0" collapsed="false">
      <c r="A12" s="744" t="n">
        <v>4</v>
      </c>
      <c r="B12" s="744" t="s">
        <v>99</v>
      </c>
      <c r="C12" s="745" t="s">
        <v>588</v>
      </c>
      <c r="D12" s="746"/>
      <c r="E12" s="747"/>
      <c r="F12" s="744" t="n">
        <v>0</v>
      </c>
      <c r="G12" s="748" t="e">
        <f aca="false">#DIV/0!</f>
        <v>#DIV/0!</v>
      </c>
      <c r="I12" s="749"/>
    </row>
    <row r="13" customFormat="false" ht="12.75" hidden="false" customHeight="false" outlineLevel="0" collapsed="false">
      <c r="A13" s="744" t="n">
        <v>5</v>
      </c>
      <c r="B13" s="744" t="s">
        <v>90</v>
      </c>
      <c r="C13" s="745" t="s">
        <v>589</v>
      </c>
      <c r="D13" s="746"/>
      <c r="E13" s="747"/>
      <c r="F13" s="744" t="n">
        <v>0</v>
      </c>
      <c r="G13" s="748" t="e">
        <f aca="false">#DIV/0!</f>
        <v>#DIV/0!</v>
      </c>
      <c r="I13" s="749"/>
    </row>
    <row r="14" customFormat="false" ht="12.75" hidden="false" customHeight="false" outlineLevel="0" collapsed="false">
      <c r="A14" s="744" t="n">
        <v>6</v>
      </c>
      <c r="B14" s="744" t="s">
        <v>99</v>
      </c>
      <c r="C14" s="745" t="s">
        <v>590</v>
      </c>
      <c r="D14" s="746"/>
      <c r="E14" s="747"/>
      <c r="F14" s="744" t="n">
        <v>0</v>
      </c>
      <c r="G14" s="748" t="e">
        <f aca="false">#DIV/0!</f>
        <v>#DIV/0!</v>
      </c>
      <c r="I14" s="749"/>
    </row>
    <row r="15" customFormat="false" ht="12.75" hidden="false" customHeight="false" outlineLevel="0" collapsed="false">
      <c r="A15" s="744" t="n">
        <v>7</v>
      </c>
      <c r="B15" s="744" t="s">
        <v>73</v>
      </c>
      <c r="C15" s="745" t="s">
        <v>591</v>
      </c>
      <c r="D15" s="746"/>
      <c r="E15" s="747"/>
      <c r="F15" s="744" t="n">
        <v>0</v>
      </c>
      <c r="G15" s="748" t="e">
        <f aca="false">#DIV/0!</f>
        <v>#DIV/0!</v>
      </c>
      <c r="I15" s="749"/>
    </row>
    <row r="16" customFormat="false" ht="12.75" hidden="false" customHeight="false" outlineLevel="0" collapsed="false">
      <c r="A16" s="744" t="n">
        <v>8</v>
      </c>
      <c r="B16" s="744" t="s">
        <v>73</v>
      </c>
      <c r="C16" s="745" t="s">
        <v>592</v>
      </c>
      <c r="D16" s="746"/>
      <c r="E16" s="747"/>
      <c r="F16" s="750" t="n">
        <v>0</v>
      </c>
      <c r="G16" s="748" t="e">
        <f aca="false">#DIV/0!</f>
        <v>#DIV/0!</v>
      </c>
      <c r="I16" s="749"/>
    </row>
    <row r="17" customFormat="false" ht="12.75" hidden="false" customHeight="false" outlineLevel="0" collapsed="false">
      <c r="A17" s="744" t="n">
        <v>9</v>
      </c>
      <c r="B17" s="744" t="s">
        <v>73</v>
      </c>
      <c r="C17" s="745" t="s">
        <v>593</v>
      </c>
      <c r="D17" s="746"/>
      <c r="E17" s="747"/>
      <c r="F17" s="744" t="n">
        <v>0</v>
      </c>
      <c r="G17" s="748" t="e">
        <f aca="false">#DIV/0!</f>
        <v>#DIV/0!</v>
      </c>
      <c r="I17" s="749"/>
    </row>
    <row r="18" customFormat="false" ht="12.75" hidden="false" customHeight="false" outlineLevel="0" collapsed="false">
      <c r="A18" s="744" t="n">
        <v>10</v>
      </c>
      <c r="B18" s="744" t="s">
        <v>99</v>
      </c>
      <c r="C18" s="745" t="s">
        <v>594</v>
      </c>
      <c r="D18" s="746"/>
      <c r="E18" s="747"/>
      <c r="F18" s="744" t="n">
        <v>0</v>
      </c>
      <c r="G18" s="748" t="e">
        <f aca="false">#DIV/0!</f>
        <v>#DIV/0!</v>
      </c>
      <c r="I18" s="749"/>
    </row>
    <row r="19" customFormat="false" ht="12.75" hidden="false" customHeight="false" outlineLevel="0" collapsed="false">
      <c r="A19" s="744" t="n">
        <v>11</v>
      </c>
      <c r="B19" s="744" t="s">
        <v>90</v>
      </c>
      <c r="C19" s="745" t="s">
        <v>595</v>
      </c>
      <c r="D19" s="746"/>
      <c r="E19" s="747"/>
      <c r="F19" s="744" t="n">
        <v>0</v>
      </c>
      <c r="G19" s="748" t="e">
        <f aca="false">#DIV/0!</f>
        <v>#DIV/0!</v>
      </c>
      <c r="I19" s="749"/>
    </row>
    <row r="20" customFormat="false" ht="12.75" hidden="false" customHeight="false" outlineLevel="0" collapsed="false">
      <c r="A20" s="744"/>
      <c r="B20" s="751" t="s">
        <v>584</v>
      </c>
      <c r="C20" s="752"/>
      <c r="D20" s="753" t="n">
        <f aca="false">SUM(D9:D19)</f>
        <v>5</v>
      </c>
      <c r="E20" s="754" t="n">
        <f aca="false">SUM(E9:E19)</f>
        <v>9</v>
      </c>
      <c r="F20" s="751"/>
      <c r="G20" s="751" t="e">
        <f aca="false">SUM(G9:G19)</f>
        <v>#DIV/0!</v>
      </c>
      <c r="I20" s="749"/>
    </row>
    <row r="21" customFormat="false" ht="12.75" hidden="false" customHeight="false" outlineLevel="0" collapsed="false">
      <c r="A21" s="755"/>
      <c r="B21" s="755"/>
      <c r="C21" s="756"/>
      <c r="D21" s="755"/>
      <c r="E21" s="755"/>
      <c r="F21" s="755"/>
      <c r="G21" s="755"/>
      <c r="H21" s="757"/>
      <c r="I21" s="749"/>
    </row>
    <row r="22" customFormat="false" ht="13.8" hidden="false" customHeight="false" outlineLevel="0" collapsed="false">
      <c r="H22" s="758"/>
    </row>
    <row r="23" s="569" customFormat="true" ht="39.75" hidden="false" customHeight="true" outlineLevel="0" collapsed="false">
      <c r="A23" s="737"/>
      <c r="B23" s="738" t="s">
        <v>596</v>
      </c>
      <c r="C23" s="739" t="s">
        <v>597</v>
      </c>
      <c r="D23" s="739"/>
      <c r="E23" s="739"/>
      <c r="F23" s="739"/>
      <c r="G23" s="739"/>
      <c r="H23" s="740"/>
      <c r="I23" s="582"/>
      <c r="R23" s="737"/>
    </row>
    <row r="26" s="594" customFormat="true" ht="19.5" hidden="false" customHeight="true" outlineLevel="0" collapsed="false">
      <c r="A26" s="759" t="s">
        <v>410</v>
      </c>
      <c r="B26" s="759" t="s">
        <v>17</v>
      </c>
      <c r="C26" s="759" t="s">
        <v>317</v>
      </c>
      <c r="D26" s="760" t="s">
        <v>582</v>
      </c>
      <c r="E26" s="760" t="s">
        <v>583</v>
      </c>
      <c r="F26" s="759" t="s">
        <v>598</v>
      </c>
      <c r="G26" s="761" t="s">
        <v>599</v>
      </c>
      <c r="H26" s="760" t="s">
        <v>600</v>
      </c>
      <c r="I26" s="759" t="s">
        <v>598</v>
      </c>
      <c r="J26" s="759" t="s">
        <v>599</v>
      </c>
      <c r="K26" s="759" t="s">
        <v>600</v>
      </c>
      <c r="L26" s="759" t="s">
        <v>598</v>
      </c>
      <c r="R26" s="593"/>
    </row>
    <row r="27" customFormat="false" ht="12.75" hidden="false" customHeight="false" outlineLevel="0" collapsed="false">
      <c r="A27" s="744" t="n">
        <v>1</v>
      </c>
      <c r="B27" s="744" t="s">
        <v>73</v>
      </c>
      <c r="C27" s="745" t="s">
        <v>586</v>
      </c>
      <c r="D27" s="762" t="n">
        <v>2</v>
      </c>
      <c r="E27" s="762" t="n">
        <v>5</v>
      </c>
      <c r="F27" s="744" t="n">
        <f aca="false">+E27+D27</f>
        <v>7</v>
      </c>
      <c r="G27" s="762" t="n">
        <v>1</v>
      </c>
      <c r="H27" s="762" t="n">
        <v>2</v>
      </c>
      <c r="I27" s="751" t="n">
        <f aca="false">+G27+H27</f>
        <v>3</v>
      </c>
      <c r="J27" s="748" t="n">
        <f aca="false">+G27/D27</f>
        <v>0.5</v>
      </c>
      <c r="K27" s="748" t="n">
        <f aca="false">+H27/E27</f>
        <v>0.4</v>
      </c>
      <c r="L27" s="748" t="n">
        <f aca="false">+I27/F27</f>
        <v>0.428571428571429</v>
      </c>
    </row>
    <row r="28" customFormat="false" ht="12.75" hidden="false" customHeight="false" outlineLevel="0" collapsed="false">
      <c r="A28" s="744" t="n">
        <v>2</v>
      </c>
      <c r="B28" s="744" t="s">
        <v>73</v>
      </c>
      <c r="C28" s="745" t="s">
        <v>587</v>
      </c>
      <c r="D28" s="762" t="n">
        <v>3</v>
      </c>
      <c r="E28" s="762" t="n">
        <v>4</v>
      </c>
      <c r="F28" s="744" t="n">
        <f aca="false">+E28+D28</f>
        <v>7</v>
      </c>
      <c r="G28" s="762" t="n">
        <v>2</v>
      </c>
      <c r="H28" s="762" t="n">
        <v>3</v>
      </c>
      <c r="I28" s="751" t="n">
        <f aca="false">+G28+H28</f>
        <v>5</v>
      </c>
      <c r="J28" s="748" t="n">
        <f aca="false">+G28/D28</f>
        <v>0.666666666666667</v>
      </c>
      <c r="K28" s="748" t="n">
        <f aca="false">+H28/E28</f>
        <v>0.75</v>
      </c>
      <c r="L28" s="748" t="n">
        <f aca="false">+I28/F28</f>
        <v>0.714285714285714</v>
      </c>
    </row>
    <row r="29" customFormat="false" ht="12.75" hidden="false" customHeight="false" outlineLevel="0" collapsed="false">
      <c r="A29" s="744" t="n">
        <v>3</v>
      </c>
      <c r="B29" s="744" t="s">
        <v>99</v>
      </c>
      <c r="C29" s="745" t="s">
        <v>601</v>
      </c>
      <c r="D29" s="762"/>
      <c r="E29" s="762"/>
      <c r="F29" s="744" t="n">
        <f aca="false">+E29+D29</f>
        <v>0</v>
      </c>
      <c r="G29" s="762"/>
      <c r="H29" s="762"/>
      <c r="I29" s="751" t="n">
        <f aca="false">+G29+H29</f>
        <v>0</v>
      </c>
      <c r="J29" s="748" t="e">
        <f aca="false">+G29/D29</f>
        <v>#DIV/0!</v>
      </c>
      <c r="K29" s="748" t="e">
        <f aca="false">+H29/E29</f>
        <v>#DIV/0!</v>
      </c>
      <c r="L29" s="748" t="e">
        <f aca="false">+I29/F29</f>
        <v>#DIV/0!</v>
      </c>
    </row>
    <row r="30" customFormat="false" ht="12.75" hidden="false" customHeight="false" outlineLevel="0" collapsed="false">
      <c r="A30" s="744" t="n">
        <v>4</v>
      </c>
      <c r="B30" s="744" t="s">
        <v>99</v>
      </c>
      <c r="C30" s="745" t="s">
        <v>588</v>
      </c>
      <c r="D30" s="762"/>
      <c r="E30" s="762"/>
      <c r="F30" s="744" t="n">
        <f aca="false">+E30+D30</f>
        <v>0</v>
      </c>
      <c r="G30" s="762"/>
      <c r="H30" s="762"/>
      <c r="I30" s="751" t="n">
        <f aca="false">+G30+H30</f>
        <v>0</v>
      </c>
      <c r="J30" s="748" t="e">
        <f aca="false">+G30/D30</f>
        <v>#DIV/0!</v>
      </c>
      <c r="K30" s="748" t="e">
        <f aca="false">+H30/E30</f>
        <v>#DIV/0!</v>
      </c>
      <c r="L30" s="748" t="e">
        <f aca="false">+I30/F30</f>
        <v>#DIV/0!</v>
      </c>
    </row>
    <row r="31" customFormat="false" ht="12.75" hidden="false" customHeight="false" outlineLevel="0" collapsed="false">
      <c r="A31" s="744" t="n">
        <v>5</v>
      </c>
      <c r="B31" s="744" t="s">
        <v>90</v>
      </c>
      <c r="C31" s="745" t="s">
        <v>589</v>
      </c>
      <c r="D31" s="762"/>
      <c r="E31" s="762"/>
      <c r="F31" s="744" t="n">
        <f aca="false">+E31+D31</f>
        <v>0</v>
      </c>
      <c r="G31" s="762"/>
      <c r="H31" s="762"/>
      <c r="I31" s="751" t="n">
        <f aca="false">+G31+H31</f>
        <v>0</v>
      </c>
      <c r="J31" s="748" t="e">
        <f aca="false">+G31/D31</f>
        <v>#DIV/0!</v>
      </c>
      <c r="K31" s="748" t="e">
        <f aca="false">+H31/E31</f>
        <v>#DIV/0!</v>
      </c>
      <c r="L31" s="748" t="e">
        <f aca="false">+I31/F31</f>
        <v>#DIV/0!</v>
      </c>
    </row>
    <row r="32" customFormat="false" ht="12.75" hidden="false" customHeight="false" outlineLevel="0" collapsed="false">
      <c r="A32" s="744" t="n">
        <v>6</v>
      </c>
      <c r="B32" s="744" t="s">
        <v>99</v>
      </c>
      <c r="C32" s="745" t="s">
        <v>590</v>
      </c>
      <c r="D32" s="762"/>
      <c r="E32" s="762"/>
      <c r="F32" s="744" t="n">
        <f aca="false">+E32+D32</f>
        <v>0</v>
      </c>
      <c r="G32" s="762"/>
      <c r="H32" s="762"/>
      <c r="I32" s="751" t="n">
        <f aca="false">+G32+H32</f>
        <v>0</v>
      </c>
      <c r="J32" s="748" t="e">
        <f aca="false">+G32/D32</f>
        <v>#DIV/0!</v>
      </c>
      <c r="K32" s="748" t="e">
        <f aca="false">+H32/E32</f>
        <v>#DIV/0!</v>
      </c>
      <c r="L32" s="748" t="e">
        <f aca="false">+I32/F32</f>
        <v>#DIV/0!</v>
      </c>
    </row>
    <row r="33" customFormat="false" ht="12.75" hidden="false" customHeight="false" outlineLevel="0" collapsed="false">
      <c r="A33" s="744" t="n">
        <v>7</v>
      </c>
      <c r="B33" s="744" t="s">
        <v>73</v>
      </c>
      <c r="C33" s="745" t="s">
        <v>591</v>
      </c>
      <c r="D33" s="762"/>
      <c r="E33" s="762"/>
      <c r="F33" s="744" t="n">
        <f aca="false">+E33+D33</f>
        <v>0</v>
      </c>
      <c r="G33" s="762"/>
      <c r="H33" s="762"/>
      <c r="I33" s="751" t="n">
        <f aca="false">+G33+H33</f>
        <v>0</v>
      </c>
      <c r="J33" s="748" t="e">
        <f aca="false">+G33/D33</f>
        <v>#DIV/0!</v>
      </c>
      <c r="K33" s="748" t="e">
        <f aca="false">+H33/E33</f>
        <v>#DIV/0!</v>
      </c>
      <c r="L33" s="748" t="e">
        <f aca="false">+I33/F33</f>
        <v>#DIV/0!</v>
      </c>
    </row>
    <row r="34" customFormat="false" ht="12.75" hidden="false" customHeight="false" outlineLevel="0" collapsed="false">
      <c r="A34" s="744" t="n">
        <v>8</v>
      </c>
      <c r="B34" s="744" t="s">
        <v>73</v>
      </c>
      <c r="C34" s="745" t="s">
        <v>592</v>
      </c>
      <c r="D34" s="762"/>
      <c r="E34" s="762"/>
      <c r="F34" s="744" t="n">
        <f aca="false">+E34+D34</f>
        <v>0</v>
      </c>
      <c r="G34" s="762"/>
      <c r="H34" s="762"/>
      <c r="I34" s="751" t="n">
        <f aca="false">+G34+H34</f>
        <v>0</v>
      </c>
      <c r="J34" s="748" t="e">
        <f aca="false">+G34/D34</f>
        <v>#DIV/0!</v>
      </c>
      <c r="K34" s="748" t="e">
        <f aca="false">+H34/E34</f>
        <v>#DIV/0!</v>
      </c>
      <c r="L34" s="748" t="e">
        <f aca="false">+I34/F34</f>
        <v>#DIV/0!</v>
      </c>
    </row>
    <row r="35" customFormat="false" ht="12.75" hidden="false" customHeight="false" outlineLevel="0" collapsed="false">
      <c r="A35" s="744" t="n">
        <v>9</v>
      </c>
      <c r="B35" s="744" t="s">
        <v>73</v>
      </c>
      <c r="C35" s="745" t="s">
        <v>593</v>
      </c>
      <c r="D35" s="762"/>
      <c r="E35" s="762"/>
      <c r="F35" s="744" t="n">
        <f aca="false">+E35+D35</f>
        <v>0</v>
      </c>
      <c r="G35" s="762"/>
      <c r="H35" s="762"/>
      <c r="I35" s="751" t="n">
        <f aca="false">+G35+H35</f>
        <v>0</v>
      </c>
      <c r="J35" s="748" t="e">
        <f aca="false">+G35/D35</f>
        <v>#DIV/0!</v>
      </c>
      <c r="K35" s="748" t="e">
        <f aca="false">+H35/E35</f>
        <v>#DIV/0!</v>
      </c>
      <c r="L35" s="748" t="e">
        <f aca="false">+I35/F35</f>
        <v>#DIV/0!</v>
      </c>
    </row>
    <row r="36" customFormat="false" ht="12.75" hidden="false" customHeight="false" outlineLevel="0" collapsed="false">
      <c r="A36" s="744" t="n">
        <v>10</v>
      </c>
      <c r="B36" s="744" t="s">
        <v>99</v>
      </c>
      <c r="C36" s="745" t="s">
        <v>594</v>
      </c>
      <c r="D36" s="762"/>
      <c r="E36" s="762"/>
      <c r="F36" s="744" t="n">
        <f aca="false">+E36+D36</f>
        <v>0</v>
      </c>
      <c r="G36" s="762"/>
      <c r="H36" s="762"/>
      <c r="I36" s="751" t="n">
        <f aca="false">+G36+H36</f>
        <v>0</v>
      </c>
      <c r="J36" s="748" t="e">
        <f aca="false">+G36/D36</f>
        <v>#DIV/0!</v>
      </c>
      <c r="K36" s="748" t="e">
        <f aca="false">+H36/E36</f>
        <v>#DIV/0!</v>
      </c>
      <c r="L36" s="748" t="e">
        <f aca="false">+I36/F36</f>
        <v>#DIV/0!</v>
      </c>
    </row>
    <row r="37" customFormat="false" ht="12.75" hidden="false" customHeight="false" outlineLevel="0" collapsed="false">
      <c r="A37" s="744" t="n">
        <v>11</v>
      </c>
      <c r="B37" s="744" t="s">
        <v>90</v>
      </c>
      <c r="C37" s="745" t="s">
        <v>595</v>
      </c>
      <c r="D37" s="762"/>
      <c r="E37" s="762"/>
      <c r="F37" s="744" t="n">
        <f aca="false">+E37+D37</f>
        <v>0</v>
      </c>
      <c r="G37" s="762"/>
      <c r="H37" s="762"/>
      <c r="I37" s="751" t="n">
        <f aca="false">+G37+H37</f>
        <v>0</v>
      </c>
      <c r="J37" s="748" t="e">
        <f aca="false">+G37/D37</f>
        <v>#DIV/0!</v>
      </c>
      <c r="K37" s="748" t="e">
        <f aca="false">+H37/E37</f>
        <v>#DIV/0!</v>
      </c>
      <c r="L37" s="748" t="e">
        <f aca="false">+I37/F37</f>
        <v>#DIV/0!</v>
      </c>
    </row>
    <row r="38" s="756" customFormat="true" ht="12.75" hidden="false" customHeight="false" outlineLevel="0" collapsed="false">
      <c r="A38" s="751"/>
      <c r="B38" s="751" t="s">
        <v>584</v>
      </c>
      <c r="C38" s="752"/>
      <c r="D38" s="763" t="n">
        <f aca="false">SUM(D27:D37)</f>
        <v>5</v>
      </c>
      <c r="E38" s="763" t="n">
        <f aca="false">SUM(E27:E37)</f>
        <v>9</v>
      </c>
      <c r="F38" s="751" t="n">
        <f aca="false">SUM(F27:F37)</f>
        <v>14</v>
      </c>
      <c r="G38" s="764" t="n">
        <f aca="false">SUM(G27:G37)</f>
        <v>3</v>
      </c>
      <c r="H38" s="764" t="n">
        <f aca="false">SUM(H27:H37)</f>
        <v>5</v>
      </c>
      <c r="I38" s="765" t="n">
        <f aca="false">SUM(I27:I37)</f>
        <v>8</v>
      </c>
      <c r="J38" s="766" t="n">
        <f aca="false">+G38/D38</f>
        <v>0.6</v>
      </c>
      <c r="K38" s="765" t="n">
        <f aca="false">+H38/E38</f>
        <v>0.555555555555556</v>
      </c>
      <c r="L38" s="765" t="n">
        <f aca="false">+I38/F38</f>
        <v>0.571428571428571</v>
      </c>
      <c r="R38" s="755"/>
    </row>
    <row r="39" s="568" customFormat="true" ht="12.75" hidden="false" customHeight="false" outlineLevel="0" collapsed="false">
      <c r="A39" s="767"/>
      <c r="B39" s="767"/>
      <c r="D39" s="767"/>
      <c r="E39" s="767"/>
      <c r="F39" s="767"/>
      <c r="G39" s="767"/>
      <c r="H39" s="767"/>
      <c r="I39" s="768"/>
      <c r="R39" s="767"/>
    </row>
    <row r="41" s="569" customFormat="true" ht="53.25" hidden="false" customHeight="true" outlineLevel="0" collapsed="false">
      <c r="A41" s="737"/>
      <c r="B41" s="738" t="s">
        <v>602</v>
      </c>
      <c r="C41" s="739" t="s">
        <v>603</v>
      </c>
      <c r="D41" s="739"/>
      <c r="E41" s="739"/>
      <c r="F41" s="739"/>
      <c r="G41" s="739"/>
      <c r="H41" s="737"/>
      <c r="I41" s="738" t="s">
        <v>604</v>
      </c>
      <c r="J41" s="769" t="s">
        <v>605</v>
      </c>
      <c r="K41" s="769"/>
      <c r="L41" s="769"/>
      <c r="M41" s="769"/>
      <c r="N41" s="769"/>
      <c r="R41" s="737"/>
    </row>
    <row r="42" s="733" customFormat="true" ht="12.75" hidden="false" customHeight="false" outlineLevel="0" collapsed="false">
      <c r="R42" s="732"/>
    </row>
    <row r="43" s="773" customFormat="true" ht="21" hidden="false" customHeight="true" outlineLevel="0" collapsed="false">
      <c r="A43" s="770" t="s">
        <v>606</v>
      </c>
      <c r="B43" s="770"/>
      <c r="C43" s="770"/>
      <c r="D43" s="770"/>
      <c r="E43" s="770"/>
      <c r="F43" s="770"/>
      <c r="G43" s="770"/>
      <c r="H43" s="771"/>
      <c r="I43" s="772" t="s">
        <v>607</v>
      </c>
      <c r="J43" s="772"/>
      <c r="K43" s="772"/>
      <c r="L43" s="772"/>
      <c r="M43" s="772"/>
      <c r="O43" s="774" t="s">
        <v>608</v>
      </c>
      <c r="P43" s="774"/>
      <c r="Q43" s="774"/>
      <c r="R43" s="775"/>
      <c r="S43" s="774" t="s">
        <v>608</v>
      </c>
      <c r="T43" s="774"/>
      <c r="U43" s="774"/>
    </row>
    <row r="44" s="777" customFormat="true" ht="12.75" hidden="false" customHeight="false" outlineLevel="0" collapsed="false">
      <c r="A44" s="776"/>
      <c r="B44" s="776"/>
      <c r="D44" s="778"/>
      <c r="E44" s="776"/>
      <c r="F44" s="776"/>
      <c r="G44" s="776"/>
      <c r="H44" s="776"/>
      <c r="I44" s="779"/>
      <c r="O44" s="774"/>
      <c r="P44" s="774"/>
      <c r="Q44" s="774"/>
      <c r="R44" s="776"/>
      <c r="S44" s="774"/>
      <c r="T44" s="774"/>
      <c r="U44" s="774"/>
    </row>
    <row r="45" s="596" customFormat="true" ht="46.25" hidden="false" customHeight="false" outlineLevel="0" collapsed="false">
      <c r="A45" s="780" t="s">
        <v>410</v>
      </c>
      <c r="B45" s="781" t="s">
        <v>17</v>
      </c>
      <c r="C45" s="781" t="s">
        <v>317</v>
      </c>
      <c r="D45" s="781" t="s">
        <v>609</v>
      </c>
      <c r="E45" s="782" t="s">
        <v>610</v>
      </c>
      <c r="F45" s="782" t="s">
        <v>611</v>
      </c>
      <c r="G45" s="781" t="s">
        <v>612</v>
      </c>
      <c r="H45" s="783"/>
      <c r="I45" s="784" t="s">
        <v>613</v>
      </c>
      <c r="J45" s="782" t="s">
        <v>614</v>
      </c>
      <c r="K45" s="782" t="s">
        <v>615</v>
      </c>
      <c r="L45" s="782" t="s">
        <v>616</v>
      </c>
      <c r="M45" s="782" t="s">
        <v>617</v>
      </c>
      <c r="N45" s="784" t="s">
        <v>618</v>
      </c>
      <c r="O45" s="784" t="s">
        <v>619</v>
      </c>
      <c r="P45" s="784" t="s">
        <v>620</v>
      </c>
      <c r="Q45" s="784" t="s">
        <v>621</v>
      </c>
      <c r="R45" s="761" t="s">
        <v>622</v>
      </c>
      <c r="S45" s="784" t="s">
        <v>623</v>
      </c>
      <c r="T45" s="784" t="s">
        <v>624</v>
      </c>
      <c r="U45" s="784" t="s">
        <v>625</v>
      </c>
    </row>
    <row r="46" s="569" customFormat="true" ht="12.75" hidden="false" customHeight="false" outlineLevel="0" collapsed="false">
      <c r="A46" s="785" t="n">
        <v>1</v>
      </c>
      <c r="B46" s="786" t="s">
        <v>73</v>
      </c>
      <c r="C46" s="787" t="s">
        <v>626</v>
      </c>
      <c r="D46" s="786" t="s">
        <v>627</v>
      </c>
      <c r="E46" s="786" t="n">
        <v>32</v>
      </c>
      <c r="F46" s="786" t="n">
        <v>2</v>
      </c>
      <c r="G46" s="786" t="n">
        <v>32</v>
      </c>
      <c r="H46" s="737"/>
      <c r="I46" s="780" t="s">
        <v>628</v>
      </c>
      <c r="J46" s="787" t="n">
        <v>33</v>
      </c>
      <c r="K46" s="787" t="n">
        <v>1</v>
      </c>
      <c r="L46" s="787" t="n">
        <v>1</v>
      </c>
      <c r="M46" s="787" t="n">
        <v>32</v>
      </c>
      <c r="N46" s="780" t="n">
        <f aca="false">+M46*8</f>
        <v>256</v>
      </c>
      <c r="O46" s="780" t="n">
        <f aca="false">SUMIF($C$46:$C$132,I46,$E$46:$E$132)</f>
        <v>32</v>
      </c>
      <c r="P46" s="788" t="n">
        <f aca="false">+M46/J46</f>
        <v>0.96969696969697</v>
      </c>
      <c r="Q46" s="788" t="n">
        <f aca="false">+O46/N46</f>
        <v>0.125</v>
      </c>
      <c r="R46" s="789" t="n">
        <v>1</v>
      </c>
      <c r="S46" s="784" t="n">
        <f aca="false">SUMIF($C$46:$C$132,I46,$F$46:$F$132)</f>
        <v>1</v>
      </c>
      <c r="T46" s="784" t="n">
        <f aca="false">+L46/K46</f>
        <v>1</v>
      </c>
      <c r="U46" s="784" t="n">
        <f aca="false">+S46/R46</f>
        <v>1</v>
      </c>
    </row>
    <row r="47" s="569" customFormat="true" ht="12.75" hidden="false" customHeight="false" outlineLevel="0" collapsed="false">
      <c r="A47" s="785" t="n">
        <v>2</v>
      </c>
      <c r="B47" s="786" t="s">
        <v>99</v>
      </c>
      <c r="C47" s="787" t="s">
        <v>629</v>
      </c>
      <c r="D47" s="786" t="s">
        <v>627</v>
      </c>
      <c r="E47" s="786" t="n">
        <v>70</v>
      </c>
      <c r="F47" s="786" t="n">
        <v>1</v>
      </c>
      <c r="G47" s="786" t="n">
        <v>70</v>
      </c>
      <c r="H47" s="737"/>
      <c r="I47" s="780" t="s">
        <v>626</v>
      </c>
      <c r="J47" s="787" t="n">
        <v>32</v>
      </c>
      <c r="K47" s="787" t="n">
        <v>1</v>
      </c>
      <c r="L47" s="787" t="n">
        <v>1</v>
      </c>
      <c r="M47" s="787" t="n">
        <v>32</v>
      </c>
      <c r="N47" s="780" t="n">
        <f aca="false">+M47*8</f>
        <v>256</v>
      </c>
      <c r="O47" s="780" t="n">
        <f aca="false">SUMIF($C$46:$C$132,I47,$E$46:$E$132)</f>
        <v>32</v>
      </c>
      <c r="P47" s="788" t="n">
        <f aca="false">+M47/J47</f>
        <v>1</v>
      </c>
      <c r="Q47" s="788" t="n">
        <f aca="false">+O47/N47</f>
        <v>0.125</v>
      </c>
      <c r="R47" s="789"/>
      <c r="S47" s="784" t="n">
        <f aca="false">SUMIF($C$46:$C$132,I47,$F$46:$F$132)</f>
        <v>2</v>
      </c>
      <c r="T47" s="784" t="n">
        <f aca="false">+L47/K47</f>
        <v>1</v>
      </c>
      <c r="U47" s="784" t="e">
        <f aca="false">+S47/R47</f>
        <v>#DIV/0!</v>
      </c>
    </row>
    <row r="48" s="569" customFormat="true" ht="12.75" hidden="false" customHeight="false" outlineLevel="0" collapsed="false">
      <c r="A48" s="785" t="n">
        <v>3</v>
      </c>
      <c r="B48" s="786" t="s">
        <v>73</v>
      </c>
      <c r="C48" s="787" t="s">
        <v>628</v>
      </c>
      <c r="D48" s="786" t="s">
        <v>627</v>
      </c>
      <c r="E48" s="786" t="n">
        <v>32</v>
      </c>
      <c r="F48" s="786" t="n">
        <v>1</v>
      </c>
      <c r="G48" s="786" t="n">
        <v>32</v>
      </c>
      <c r="H48" s="737"/>
      <c r="I48" s="780" t="s">
        <v>629</v>
      </c>
      <c r="J48" s="787" t="n">
        <v>72</v>
      </c>
      <c r="K48" s="787" t="n">
        <v>1</v>
      </c>
      <c r="L48" s="787"/>
      <c r="M48" s="787" t="n">
        <v>72</v>
      </c>
      <c r="N48" s="780" t="n">
        <f aca="false">+M48*8</f>
        <v>576</v>
      </c>
      <c r="O48" s="780" t="n">
        <f aca="false">SUMIF($C$46:$C$132,I48,$E$46:$E$132)</f>
        <v>70</v>
      </c>
      <c r="P48" s="788" t="n">
        <f aca="false">+M48/J48</f>
        <v>1</v>
      </c>
      <c r="Q48" s="788" t="n">
        <f aca="false">+O48/N48</f>
        <v>0.121527777777778</v>
      </c>
      <c r="R48" s="789"/>
      <c r="S48" s="784" t="n">
        <f aca="false">SUMIF($C$46:$C$132,I48,$F$46:$F$132)</f>
        <v>1</v>
      </c>
      <c r="T48" s="784" t="n">
        <f aca="false">+L48/K48</f>
        <v>0</v>
      </c>
      <c r="U48" s="784" t="e">
        <f aca="false">+S48/R48</f>
        <v>#DIV/0!</v>
      </c>
    </row>
    <row r="49" s="569" customFormat="true" ht="12.75" hidden="false" customHeight="false" outlineLevel="0" collapsed="false">
      <c r="A49" s="785" t="n">
        <v>4</v>
      </c>
      <c r="B49" s="786"/>
      <c r="C49" s="787"/>
      <c r="D49" s="786"/>
      <c r="E49" s="786"/>
      <c r="F49" s="786"/>
      <c r="G49" s="786"/>
      <c r="H49" s="737"/>
      <c r="I49" s="780" t="s">
        <v>630</v>
      </c>
      <c r="J49" s="787"/>
      <c r="K49" s="787" t="n">
        <v>1</v>
      </c>
      <c r="L49" s="787"/>
      <c r="M49" s="787"/>
      <c r="N49" s="780" t="n">
        <f aca="false">+M49*8</f>
        <v>0</v>
      </c>
      <c r="O49" s="780" t="n">
        <f aca="false">SUMIF($C$46:$C$132,I49,$E$46:$E$132)</f>
        <v>0</v>
      </c>
      <c r="P49" s="788" t="e">
        <f aca="false">+M49/J49</f>
        <v>#DIV/0!</v>
      </c>
      <c r="Q49" s="788" t="e">
        <f aca="false">+O49/N49</f>
        <v>#DIV/0!</v>
      </c>
      <c r="R49" s="789"/>
      <c r="S49" s="784" t="n">
        <f aca="false">SUMIF($C$46:$C$132,I49,$F$46:$F$132)</f>
        <v>0</v>
      </c>
      <c r="T49" s="784" t="n">
        <f aca="false">+L49/K49</f>
        <v>0</v>
      </c>
      <c r="U49" s="784" t="e">
        <f aca="false">+S49/R49</f>
        <v>#DIV/0!</v>
      </c>
    </row>
    <row r="50" s="569" customFormat="true" ht="12.75" hidden="false" customHeight="false" outlineLevel="0" collapsed="false">
      <c r="A50" s="785" t="n">
        <v>5</v>
      </c>
      <c r="B50" s="786"/>
      <c r="C50" s="787"/>
      <c r="D50" s="786"/>
      <c r="E50" s="786"/>
      <c r="F50" s="786"/>
      <c r="G50" s="786"/>
      <c r="H50" s="737"/>
      <c r="I50" s="780" t="s">
        <v>631</v>
      </c>
      <c r="J50" s="787"/>
      <c r="K50" s="787" t="n">
        <v>0</v>
      </c>
      <c r="L50" s="787"/>
      <c r="M50" s="787"/>
      <c r="N50" s="780" t="n">
        <f aca="false">+M50*8</f>
        <v>0</v>
      </c>
      <c r="O50" s="780" t="n">
        <f aca="false">SUMIF($C$46:$C$132,I50,$E$46:$E$132)</f>
        <v>0</v>
      </c>
      <c r="P50" s="788" t="e">
        <f aca="false">+M50/J50</f>
        <v>#DIV/0!</v>
      </c>
      <c r="Q50" s="788" t="e">
        <f aca="false">+O50/N50</f>
        <v>#DIV/0!</v>
      </c>
      <c r="R50" s="789"/>
      <c r="S50" s="784" t="n">
        <f aca="false">SUMIF($C$46:$C$132,I50,$F$46:$F$132)</f>
        <v>0</v>
      </c>
      <c r="T50" s="784" t="e">
        <f aca="false">+L50/K50</f>
        <v>#DIV/0!</v>
      </c>
      <c r="U50" s="784" t="e">
        <f aca="false">+S50/R50</f>
        <v>#DIV/0!</v>
      </c>
    </row>
    <row r="51" s="569" customFormat="true" ht="12.75" hidden="false" customHeight="false" outlineLevel="0" collapsed="false">
      <c r="A51" s="785" t="n">
        <v>6</v>
      </c>
      <c r="B51" s="786"/>
      <c r="C51" s="787"/>
      <c r="D51" s="786"/>
      <c r="E51" s="786"/>
      <c r="F51" s="786"/>
      <c r="G51" s="786"/>
      <c r="H51" s="737"/>
      <c r="I51" s="780" t="s">
        <v>632</v>
      </c>
      <c r="J51" s="787"/>
      <c r="K51" s="787" t="n">
        <v>1</v>
      </c>
      <c r="L51" s="787"/>
      <c r="M51" s="787"/>
      <c r="N51" s="780" t="n">
        <f aca="false">+M51*8</f>
        <v>0</v>
      </c>
      <c r="O51" s="780" t="n">
        <f aca="false">SUMIF($C$46:$C$132,I51,$E$46:$E$132)</f>
        <v>0</v>
      </c>
      <c r="P51" s="788" t="e">
        <f aca="false">+M51/J51</f>
        <v>#DIV/0!</v>
      </c>
      <c r="Q51" s="788" t="e">
        <f aca="false">+O51/N51</f>
        <v>#DIV/0!</v>
      </c>
      <c r="R51" s="789"/>
      <c r="S51" s="784" t="n">
        <f aca="false">SUMIF($C$46:$C$132,I51,$F$46:$F$132)</f>
        <v>0</v>
      </c>
      <c r="T51" s="784" t="n">
        <f aca="false">+L51/K51</f>
        <v>0</v>
      </c>
      <c r="U51" s="784" t="e">
        <f aca="false">+S51/R51</f>
        <v>#DIV/0!</v>
      </c>
    </row>
    <row r="52" s="569" customFormat="true" ht="12.75" hidden="false" customHeight="false" outlineLevel="0" collapsed="false">
      <c r="A52" s="785" t="n">
        <v>7</v>
      </c>
      <c r="B52" s="786"/>
      <c r="C52" s="787"/>
      <c r="D52" s="786"/>
      <c r="E52" s="786"/>
      <c r="F52" s="786"/>
      <c r="G52" s="786"/>
      <c r="H52" s="737"/>
      <c r="I52" s="780" t="s">
        <v>633</v>
      </c>
      <c r="J52" s="787"/>
      <c r="K52" s="787" t="n">
        <v>1</v>
      </c>
      <c r="L52" s="787"/>
      <c r="M52" s="787"/>
      <c r="N52" s="780" t="n">
        <f aca="false">+M52*8</f>
        <v>0</v>
      </c>
      <c r="O52" s="780" t="n">
        <f aca="false">SUMIF($C$46:$C$132,I52,$E$46:$E$132)</f>
        <v>0</v>
      </c>
      <c r="P52" s="788" t="e">
        <f aca="false">+M52/J52</f>
        <v>#DIV/0!</v>
      </c>
      <c r="Q52" s="788" t="e">
        <f aca="false">+O52/N52</f>
        <v>#DIV/0!</v>
      </c>
      <c r="R52" s="789"/>
      <c r="S52" s="784" t="n">
        <f aca="false">SUMIF($C$46:$C$132,I52,$F$46:$F$132)</f>
        <v>0</v>
      </c>
      <c r="T52" s="784" t="n">
        <f aca="false">+L52/K52</f>
        <v>0</v>
      </c>
      <c r="U52" s="784" t="e">
        <f aca="false">+S52/R52</f>
        <v>#DIV/0!</v>
      </c>
    </row>
    <row r="53" s="569" customFormat="true" ht="12.75" hidden="false" customHeight="false" outlineLevel="0" collapsed="false">
      <c r="A53" s="785" t="n">
        <v>8</v>
      </c>
      <c r="B53" s="786"/>
      <c r="C53" s="787"/>
      <c r="D53" s="786"/>
      <c r="E53" s="786"/>
      <c r="F53" s="786"/>
      <c r="G53" s="786"/>
      <c r="H53" s="737"/>
      <c r="I53" s="780" t="s">
        <v>634</v>
      </c>
      <c r="J53" s="787"/>
      <c r="K53" s="787" t="n">
        <v>1</v>
      </c>
      <c r="L53" s="787"/>
      <c r="M53" s="787"/>
      <c r="N53" s="780" t="n">
        <f aca="false">+M53*8</f>
        <v>0</v>
      </c>
      <c r="O53" s="780" t="n">
        <f aca="false">SUMIF($C$46:$C$132,I53,$E$46:$E$132)</f>
        <v>0</v>
      </c>
      <c r="P53" s="788" t="e">
        <f aca="false">+M53/J53</f>
        <v>#DIV/0!</v>
      </c>
      <c r="Q53" s="788" t="e">
        <f aca="false">+O53/N53</f>
        <v>#DIV/0!</v>
      </c>
      <c r="R53" s="789"/>
      <c r="S53" s="784" t="n">
        <f aca="false">SUMIF($C$46:$C$132,I53,$F$46:$F$132)</f>
        <v>0</v>
      </c>
      <c r="T53" s="784" t="n">
        <f aca="false">+L53/K53</f>
        <v>0</v>
      </c>
      <c r="U53" s="784" t="e">
        <f aca="false">+S53/R53</f>
        <v>#DIV/0!</v>
      </c>
    </row>
    <row r="54" s="569" customFormat="true" ht="12.75" hidden="false" customHeight="false" outlineLevel="0" collapsed="false">
      <c r="A54" s="785" t="n">
        <v>9</v>
      </c>
      <c r="B54" s="786"/>
      <c r="C54" s="787"/>
      <c r="D54" s="786"/>
      <c r="E54" s="786"/>
      <c r="F54" s="786"/>
      <c r="G54" s="786"/>
      <c r="H54" s="737"/>
      <c r="I54" s="780" t="s">
        <v>635</v>
      </c>
      <c r="J54" s="787"/>
      <c r="K54" s="787" t="n">
        <v>1</v>
      </c>
      <c r="L54" s="787"/>
      <c r="M54" s="787"/>
      <c r="N54" s="780" t="n">
        <f aca="false">+M54*8</f>
        <v>0</v>
      </c>
      <c r="O54" s="780" t="n">
        <f aca="false">SUMIF($C$46:$C$132,I54,$E$46:$E$132)</f>
        <v>0</v>
      </c>
      <c r="P54" s="788" t="e">
        <f aca="false">+M54/J54</f>
        <v>#DIV/0!</v>
      </c>
      <c r="Q54" s="788" t="e">
        <f aca="false">+O54/N54</f>
        <v>#DIV/0!</v>
      </c>
      <c r="R54" s="789"/>
      <c r="S54" s="784" t="n">
        <f aca="false">SUMIF($C$46:$C$132,I54,$F$46:$F$132)</f>
        <v>0</v>
      </c>
      <c r="T54" s="784" t="n">
        <f aca="false">+L54/K54</f>
        <v>0</v>
      </c>
      <c r="U54" s="784" t="e">
        <f aca="false">+S54/R54</f>
        <v>#DIV/0!</v>
      </c>
    </row>
    <row r="55" s="569" customFormat="true" ht="12.75" hidden="false" customHeight="false" outlineLevel="0" collapsed="false">
      <c r="A55" s="785" t="n">
        <v>10</v>
      </c>
      <c r="B55" s="786"/>
      <c r="C55" s="787"/>
      <c r="D55" s="786"/>
      <c r="E55" s="786"/>
      <c r="F55" s="786"/>
      <c r="G55" s="786"/>
      <c r="H55" s="737"/>
      <c r="I55" s="780" t="s">
        <v>636</v>
      </c>
      <c r="J55" s="787"/>
      <c r="K55" s="787" t="n">
        <v>1</v>
      </c>
      <c r="L55" s="787"/>
      <c r="M55" s="787"/>
      <c r="N55" s="780" t="n">
        <f aca="false">+M55*8</f>
        <v>0</v>
      </c>
      <c r="O55" s="780" t="n">
        <f aca="false">SUMIF($C$46:$C$132,I55,$E$46:$E$132)</f>
        <v>0</v>
      </c>
      <c r="P55" s="788" t="e">
        <f aca="false">+M55/J55</f>
        <v>#DIV/0!</v>
      </c>
      <c r="Q55" s="788" t="e">
        <f aca="false">+O55/N55</f>
        <v>#DIV/0!</v>
      </c>
      <c r="R55" s="789"/>
      <c r="S55" s="784" t="n">
        <f aca="false">SUMIF($C$46:$C$132,I55,$F$46:$F$132)</f>
        <v>0</v>
      </c>
      <c r="T55" s="784" t="n">
        <f aca="false">+L55/K55</f>
        <v>0</v>
      </c>
      <c r="U55" s="784" t="e">
        <f aca="false">+S55/R55</f>
        <v>#DIV/0!</v>
      </c>
    </row>
    <row r="56" s="569" customFormat="true" ht="12.75" hidden="false" customHeight="false" outlineLevel="0" collapsed="false">
      <c r="A56" s="785" t="n">
        <v>11</v>
      </c>
      <c r="B56" s="786"/>
      <c r="C56" s="787"/>
      <c r="D56" s="786"/>
      <c r="E56" s="786"/>
      <c r="F56" s="786"/>
      <c r="G56" s="786"/>
      <c r="H56" s="737"/>
      <c r="I56" s="780" t="s">
        <v>637</v>
      </c>
      <c r="J56" s="787"/>
      <c r="K56" s="787" t="n">
        <v>1</v>
      </c>
      <c r="L56" s="787"/>
      <c r="M56" s="787"/>
      <c r="N56" s="780" t="n">
        <f aca="false">+M56*8</f>
        <v>0</v>
      </c>
      <c r="O56" s="780" t="n">
        <f aca="false">SUMIF($C$46:$C$132,I56,$E$46:$E$132)</f>
        <v>0</v>
      </c>
      <c r="P56" s="788" t="e">
        <f aca="false">+M56/J56</f>
        <v>#DIV/0!</v>
      </c>
      <c r="Q56" s="788" t="e">
        <f aca="false">+O56/N56</f>
        <v>#DIV/0!</v>
      </c>
      <c r="R56" s="789"/>
      <c r="S56" s="784" t="n">
        <f aca="false">SUMIF($C$46:$C$132,I56,$F$46:$F$132)</f>
        <v>0</v>
      </c>
      <c r="T56" s="784" t="n">
        <f aca="false">+L56/K56</f>
        <v>0</v>
      </c>
      <c r="U56" s="784" t="e">
        <f aca="false">+S56/R56</f>
        <v>#DIV/0!</v>
      </c>
    </row>
    <row r="57" s="569" customFormat="true" ht="12.75" hidden="false" customHeight="false" outlineLevel="0" collapsed="false">
      <c r="A57" s="785" t="n">
        <v>12</v>
      </c>
      <c r="B57" s="786"/>
      <c r="C57" s="787"/>
      <c r="D57" s="786"/>
      <c r="E57" s="786"/>
      <c r="F57" s="786"/>
      <c r="G57" s="786"/>
      <c r="H57" s="737"/>
      <c r="I57" s="780" t="s">
        <v>584</v>
      </c>
      <c r="J57" s="790" t="n">
        <f aca="false">SUM(J46:J56)</f>
        <v>137</v>
      </c>
      <c r="K57" s="790"/>
      <c r="L57" s="790"/>
      <c r="M57" s="790" t="n">
        <f aca="false">SUM(M46:M56)</f>
        <v>136</v>
      </c>
      <c r="N57" s="780" t="n">
        <f aca="false">SUM(N46:N56)</f>
        <v>1088</v>
      </c>
      <c r="O57" s="780" t="n">
        <f aca="false">SUM(O46:O56)</f>
        <v>134</v>
      </c>
      <c r="P57" s="788" t="n">
        <f aca="false">+M57/J57</f>
        <v>0.992700729927007</v>
      </c>
      <c r="Q57" s="788" t="n">
        <f aca="false">+O57/N57</f>
        <v>0.123161764705882</v>
      </c>
      <c r="R57" s="791" t="n">
        <f aca="false">SUM(R46:R56)</f>
        <v>1</v>
      </c>
      <c r="S57" s="784" t="n">
        <f aca="false">SUM(S46:S56)</f>
        <v>4</v>
      </c>
      <c r="T57" s="784" t="e">
        <f aca="false">+L57/K57</f>
        <v>#DIV/0!</v>
      </c>
      <c r="U57" s="784" t="n">
        <f aca="false">+S57/R57</f>
        <v>4</v>
      </c>
    </row>
    <row r="58" s="569" customFormat="true" ht="12.75" hidden="false" customHeight="false" outlineLevel="0" collapsed="false">
      <c r="A58" s="785" t="n">
        <v>13</v>
      </c>
      <c r="B58" s="786"/>
      <c r="C58" s="787"/>
      <c r="D58" s="786"/>
      <c r="E58" s="786"/>
      <c r="F58" s="786"/>
      <c r="G58" s="786"/>
      <c r="H58" s="737"/>
      <c r="I58" s="582"/>
      <c r="R58" s="737"/>
    </row>
    <row r="59" s="569" customFormat="true" ht="12.75" hidden="false" customHeight="false" outlineLevel="0" collapsed="false">
      <c r="A59" s="785" t="n">
        <v>14</v>
      </c>
      <c r="B59" s="786"/>
      <c r="C59" s="787"/>
      <c r="D59" s="786"/>
      <c r="E59" s="786"/>
      <c r="F59" s="786"/>
      <c r="G59" s="786"/>
      <c r="H59" s="737"/>
      <c r="I59" s="582"/>
      <c r="R59" s="737"/>
    </row>
    <row r="60" s="569" customFormat="true" ht="12.75" hidden="false" customHeight="false" outlineLevel="0" collapsed="false">
      <c r="A60" s="785" t="n">
        <v>15</v>
      </c>
      <c r="B60" s="786"/>
      <c r="C60" s="787"/>
      <c r="D60" s="786"/>
      <c r="E60" s="786"/>
      <c r="F60" s="786"/>
      <c r="G60" s="786"/>
      <c r="H60" s="737"/>
      <c r="I60" s="582"/>
      <c r="R60" s="737"/>
    </row>
    <row r="61" customFormat="false" ht="12.75" hidden="false" customHeight="false" outlineLevel="0" collapsed="false">
      <c r="A61" s="792" t="n">
        <v>16</v>
      </c>
      <c r="B61" s="793"/>
      <c r="C61" s="794"/>
      <c r="D61" s="793"/>
      <c r="E61" s="793"/>
      <c r="F61" s="793"/>
      <c r="G61" s="793"/>
    </row>
    <row r="62" customFormat="false" ht="12.75" hidden="false" customHeight="false" outlineLevel="0" collapsed="false">
      <c r="A62" s="792" t="n">
        <v>17</v>
      </c>
      <c r="B62" s="793"/>
      <c r="C62" s="794"/>
      <c r="D62" s="793"/>
      <c r="E62" s="793"/>
      <c r="F62" s="793"/>
      <c r="G62" s="793"/>
    </row>
    <row r="63" customFormat="false" ht="12.75" hidden="false" customHeight="false" outlineLevel="0" collapsed="false">
      <c r="A63" s="792" t="n">
        <v>18</v>
      </c>
      <c r="B63" s="793"/>
      <c r="C63" s="794"/>
      <c r="D63" s="793"/>
      <c r="E63" s="793"/>
      <c r="F63" s="793"/>
      <c r="G63" s="793"/>
    </row>
    <row r="64" customFormat="false" ht="12.75" hidden="false" customHeight="false" outlineLevel="0" collapsed="false">
      <c r="A64" s="792" t="n">
        <v>19</v>
      </c>
      <c r="B64" s="793"/>
      <c r="C64" s="794"/>
      <c r="D64" s="793"/>
      <c r="E64" s="793"/>
      <c r="F64" s="793"/>
      <c r="G64" s="793"/>
    </row>
    <row r="65" customFormat="false" ht="12.75" hidden="false" customHeight="false" outlineLevel="0" collapsed="false">
      <c r="A65" s="792" t="n">
        <v>20</v>
      </c>
      <c r="B65" s="793"/>
      <c r="C65" s="794"/>
      <c r="D65" s="793"/>
      <c r="E65" s="793"/>
      <c r="F65" s="793"/>
      <c r="G65" s="793"/>
    </row>
    <row r="66" customFormat="false" ht="12.75" hidden="false" customHeight="false" outlineLevel="0" collapsed="false">
      <c r="A66" s="792" t="n">
        <v>21</v>
      </c>
      <c r="B66" s="793"/>
      <c r="C66" s="794"/>
      <c r="D66" s="793"/>
      <c r="E66" s="793"/>
      <c r="F66" s="793"/>
      <c r="G66" s="793"/>
    </row>
    <row r="67" customFormat="false" ht="12.75" hidden="false" customHeight="false" outlineLevel="0" collapsed="false">
      <c r="A67" s="792" t="n">
        <v>22</v>
      </c>
      <c r="B67" s="793"/>
      <c r="C67" s="794"/>
      <c r="D67" s="793"/>
      <c r="E67" s="793"/>
      <c r="F67" s="793"/>
      <c r="G67" s="793"/>
    </row>
    <row r="68" customFormat="false" ht="12.75" hidden="false" customHeight="false" outlineLevel="0" collapsed="false">
      <c r="A68" s="792" t="n">
        <v>23</v>
      </c>
      <c r="B68" s="793"/>
      <c r="C68" s="794"/>
      <c r="D68" s="793"/>
      <c r="E68" s="793"/>
      <c r="F68" s="793"/>
      <c r="G68" s="793"/>
    </row>
    <row r="69" customFormat="false" ht="12.75" hidden="false" customHeight="false" outlineLevel="0" collapsed="false">
      <c r="A69" s="792" t="n">
        <v>24</v>
      </c>
      <c r="B69" s="793"/>
      <c r="C69" s="794"/>
      <c r="D69" s="793"/>
      <c r="E69" s="793"/>
      <c r="F69" s="793"/>
      <c r="G69" s="793"/>
    </row>
    <row r="70" customFormat="false" ht="12.75" hidden="false" customHeight="false" outlineLevel="0" collapsed="false">
      <c r="A70" s="792" t="n">
        <v>25</v>
      </c>
      <c r="B70" s="793"/>
      <c r="C70" s="794"/>
      <c r="D70" s="793"/>
      <c r="E70" s="793"/>
      <c r="F70" s="793"/>
      <c r="G70" s="793"/>
    </row>
    <row r="71" customFormat="false" ht="12.75" hidden="false" customHeight="false" outlineLevel="0" collapsed="false">
      <c r="A71" s="792" t="n">
        <v>26</v>
      </c>
      <c r="B71" s="793"/>
      <c r="C71" s="794"/>
      <c r="D71" s="793"/>
      <c r="E71" s="793"/>
      <c r="F71" s="793"/>
      <c r="G71" s="793"/>
    </row>
    <row r="72" customFormat="false" ht="12.75" hidden="false" customHeight="false" outlineLevel="0" collapsed="false">
      <c r="A72" s="792" t="n">
        <v>27</v>
      </c>
      <c r="B72" s="793"/>
      <c r="C72" s="794"/>
      <c r="D72" s="793"/>
      <c r="E72" s="793"/>
      <c r="F72" s="793"/>
      <c r="G72" s="793"/>
    </row>
    <row r="73" customFormat="false" ht="12.75" hidden="false" customHeight="false" outlineLevel="0" collapsed="false">
      <c r="A73" s="792" t="n">
        <v>28</v>
      </c>
      <c r="B73" s="793"/>
      <c r="C73" s="794"/>
      <c r="D73" s="793"/>
      <c r="E73" s="793"/>
      <c r="F73" s="793"/>
      <c r="G73" s="793"/>
    </row>
    <row r="74" customFormat="false" ht="12.75" hidden="false" customHeight="false" outlineLevel="0" collapsed="false">
      <c r="A74" s="792" t="n">
        <v>29</v>
      </c>
      <c r="B74" s="793"/>
      <c r="C74" s="794"/>
      <c r="D74" s="793"/>
      <c r="E74" s="793"/>
      <c r="F74" s="793"/>
      <c r="G74" s="793"/>
    </row>
    <row r="75" customFormat="false" ht="12.75" hidden="false" customHeight="false" outlineLevel="0" collapsed="false">
      <c r="A75" s="792" t="n">
        <v>30</v>
      </c>
      <c r="B75" s="793"/>
      <c r="C75" s="794"/>
      <c r="D75" s="793"/>
      <c r="E75" s="793"/>
      <c r="F75" s="793"/>
      <c r="G75" s="793"/>
    </row>
    <row r="76" customFormat="false" ht="12.75" hidden="false" customHeight="false" outlineLevel="0" collapsed="false">
      <c r="A76" s="792" t="n">
        <v>31</v>
      </c>
      <c r="B76" s="793"/>
      <c r="C76" s="794"/>
      <c r="D76" s="793"/>
      <c r="E76" s="793"/>
      <c r="F76" s="793"/>
      <c r="G76" s="793"/>
    </row>
    <row r="77" customFormat="false" ht="12.75" hidden="false" customHeight="false" outlineLevel="0" collapsed="false">
      <c r="A77" s="792" t="n">
        <v>32</v>
      </c>
      <c r="B77" s="793"/>
      <c r="C77" s="794"/>
      <c r="D77" s="793"/>
      <c r="E77" s="793"/>
      <c r="F77" s="793"/>
      <c r="G77" s="793"/>
    </row>
    <row r="78" customFormat="false" ht="12.75" hidden="false" customHeight="false" outlineLevel="0" collapsed="false">
      <c r="A78" s="792" t="n">
        <v>33</v>
      </c>
      <c r="B78" s="793"/>
      <c r="C78" s="794"/>
      <c r="D78" s="793"/>
      <c r="E78" s="793"/>
      <c r="F78" s="793"/>
      <c r="G78" s="793"/>
    </row>
    <row r="79" customFormat="false" ht="12.75" hidden="false" customHeight="false" outlineLevel="0" collapsed="false">
      <c r="A79" s="792" t="n">
        <v>34</v>
      </c>
      <c r="B79" s="793"/>
      <c r="C79" s="794"/>
      <c r="D79" s="793"/>
      <c r="E79" s="793"/>
      <c r="F79" s="793"/>
      <c r="G79" s="793"/>
    </row>
    <row r="80" customFormat="false" ht="12.75" hidden="false" customHeight="false" outlineLevel="0" collapsed="false">
      <c r="A80" s="792" t="n">
        <v>35</v>
      </c>
      <c r="B80" s="793"/>
      <c r="C80" s="794"/>
      <c r="D80" s="793"/>
      <c r="E80" s="793"/>
      <c r="F80" s="793"/>
      <c r="G80" s="793"/>
    </row>
    <row r="81" customFormat="false" ht="12.75" hidden="false" customHeight="false" outlineLevel="0" collapsed="false">
      <c r="A81" s="792" t="n">
        <v>36</v>
      </c>
      <c r="B81" s="793"/>
      <c r="C81" s="794"/>
      <c r="D81" s="793"/>
      <c r="E81" s="793"/>
      <c r="F81" s="793"/>
      <c r="G81" s="793"/>
    </row>
    <row r="82" customFormat="false" ht="12.75" hidden="false" customHeight="false" outlineLevel="0" collapsed="false">
      <c r="A82" s="792" t="n">
        <v>37</v>
      </c>
      <c r="B82" s="793"/>
      <c r="C82" s="794"/>
      <c r="D82" s="793"/>
      <c r="E82" s="793"/>
      <c r="F82" s="793"/>
      <c r="G82" s="793"/>
    </row>
    <row r="83" customFormat="false" ht="12.75" hidden="false" customHeight="false" outlineLevel="0" collapsed="false">
      <c r="A83" s="792" t="n">
        <v>38</v>
      </c>
      <c r="B83" s="793"/>
      <c r="C83" s="794"/>
      <c r="D83" s="793"/>
      <c r="E83" s="793"/>
      <c r="F83" s="793"/>
      <c r="G83" s="793"/>
    </row>
    <row r="84" customFormat="false" ht="12.75" hidden="false" customHeight="false" outlineLevel="0" collapsed="false">
      <c r="A84" s="792" t="n">
        <v>39</v>
      </c>
      <c r="B84" s="793"/>
      <c r="C84" s="794"/>
      <c r="D84" s="793"/>
      <c r="E84" s="793"/>
      <c r="F84" s="793"/>
      <c r="G84" s="793"/>
    </row>
    <row r="85" customFormat="false" ht="12.75" hidden="false" customHeight="false" outlineLevel="0" collapsed="false">
      <c r="A85" s="792" t="n">
        <v>40</v>
      </c>
      <c r="B85" s="793"/>
      <c r="C85" s="794"/>
      <c r="D85" s="793"/>
      <c r="E85" s="793"/>
      <c r="F85" s="793"/>
      <c r="G85" s="793"/>
    </row>
    <row r="86" customFormat="false" ht="12.75" hidden="false" customHeight="false" outlineLevel="0" collapsed="false">
      <c r="A86" s="792" t="n">
        <v>41</v>
      </c>
      <c r="B86" s="793"/>
      <c r="C86" s="794"/>
      <c r="D86" s="793"/>
      <c r="E86" s="793"/>
      <c r="F86" s="793"/>
      <c r="G86" s="793"/>
    </row>
    <row r="87" customFormat="false" ht="12.75" hidden="false" customHeight="false" outlineLevel="0" collapsed="false">
      <c r="A87" s="792" t="n">
        <v>42</v>
      </c>
      <c r="B87" s="793"/>
      <c r="C87" s="794"/>
      <c r="D87" s="793"/>
      <c r="E87" s="793"/>
      <c r="F87" s="793"/>
      <c r="G87" s="793"/>
    </row>
    <row r="88" customFormat="false" ht="12.75" hidden="false" customHeight="false" outlineLevel="0" collapsed="false">
      <c r="A88" s="792" t="n">
        <v>43</v>
      </c>
      <c r="B88" s="793"/>
      <c r="C88" s="794"/>
      <c r="D88" s="793"/>
      <c r="E88" s="793"/>
      <c r="F88" s="793"/>
      <c r="G88" s="793"/>
    </row>
    <row r="89" customFormat="false" ht="12.75" hidden="false" customHeight="false" outlineLevel="0" collapsed="false">
      <c r="A89" s="792" t="n">
        <v>44</v>
      </c>
      <c r="B89" s="793"/>
      <c r="C89" s="794"/>
      <c r="D89" s="793"/>
      <c r="E89" s="793"/>
      <c r="F89" s="793"/>
      <c r="G89" s="793"/>
    </row>
    <row r="90" customFormat="false" ht="12.75" hidden="false" customHeight="false" outlineLevel="0" collapsed="false">
      <c r="A90" s="792" t="n">
        <v>45</v>
      </c>
      <c r="B90" s="793"/>
      <c r="C90" s="794"/>
      <c r="D90" s="793"/>
      <c r="E90" s="793"/>
      <c r="F90" s="793"/>
      <c r="G90" s="793"/>
    </row>
    <row r="91" customFormat="false" ht="12.75" hidden="false" customHeight="false" outlineLevel="0" collapsed="false">
      <c r="A91" s="792" t="n">
        <v>46</v>
      </c>
      <c r="B91" s="793"/>
      <c r="C91" s="794"/>
      <c r="D91" s="793"/>
      <c r="E91" s="793"/>
      <c r="F91" s="793"/>
      <c r="G91" s="793"/>
    </row>
    <row r="92" customFormat="false" ht="12.75" hidden="false" customHeight="false" outlineLevel="0" collapsed="false">
      <c r="A92" s="792" t="n">
        <v>47</v>
      </c>
      <c r="B92" s="793"/>
      <c r="C92" s="794"/>
      <c r="D92" s="793"/>
      <c r="E92" s="793"/>
      <c r="F92" s="793"/>
      <c r="G92" s="793"/>
    </row>
    <row r="93" customFormat="false" ht="12.75" hidden="false" customHeight="false" outlineLevel="0" collapsed="false">
      <c r="A93" s="792" t="n">
        <v>48</v>
      </c>
      <c r="B93" s="793"/>
      <c r="C93" s="794"/>
      <c r="D93" s="793"/>
      <c r="E93" s="793"/>
      <c r="F93" s="793"/>
      <c r="G93" s="793"/>
    </row>
    <row r="94" customFormat="false" ht="12.75" hidden="false" customHeight="false" outlineLevel="0" collapsed="false">
      <c r="A94" s="792" t="n">
        <v>49</v>
      </c>
      <c r="B94" s="793"/>
      <c r="C94" s="794"/>
      <c r="D94" s="793"/>
      <c r="E94" s="793"/>
      <c r="F94" s="793"/>
      <c r="G94" s="793"/>
    </row>
    <row r="95" customFormat="false" ht="12.75" hidden="false" customHeight="false" outlineLevel="0" collapsed="false">
      <c r="A95" s="792" t="n">
        <v>50</v>
      </c>
      <c r="B95" s="793"/>
      <c r="C95" s="794"/>
      <c r="D95" s="793"/>
      <c r="E95" s="793"/>
      <c r="F95" s="793"/>
      <c r="G95" s="793"/>
    </row>
    <row r="96" customFormat="false" ht="12.75" hidden="false" customHeight="false" outlineLevel="0" collapsed="false">
      <c r="A96" s="792" t="n">
        <v>51</v>
      </c>
      <c r="B96" s="793"/>
      <c r="C96" s="794"/>
      <c r="D96" s="793"/>
      <c r="E96" s="793"/>
      <c r="F96" s="793"/>
      <c r="G96" s="793"/>
    </row>
    <row r="97" customFormat="false" ht="12.75" hidden="false" customHeight="false" outlineLevel="0" collapsed="false">
      <c r="A97" s="792" t="n">
        <v>52</v>
      </c>
      <c r="B97" s="793"/>
      <c r="C97" s="794"/>
      <c r="D97" s="793"/>
      <c r="E97" s="793"/>
      <c r="F97" s="793"/>
      <c r="G97" s="793"/>
    </row>
    <row r="98" customFormat="false" ht="12.75" hidden="false" customHeight="false" outlineLevel="0" collapsed="false">
      <c r="A98" s="792" t="n">
        <v>53</v>
      </c>
      <c r="B98" s="793"/>
      <c r="C98" s="794"/>
      <c r="D98" s="793"/>
      <c r="E98" s="793"/>
      <c r="F98" s="793"/>
      <c r="G98" s="793"/>
    </row>
    <row r="99" customFormat="false" ht="12.75" hidden="false" customHeight="false" outlineLevel="0" collapsed="false">
      <c r="A99" s="792" t="n">
        <v>54</v>
      </c>
      <c r="B99" s="793"/>
      <c r="C99" s="794"/>
      <c r="D99" s="793"/>
      <c r="E99" s="793"/>
      <c r="F99" s="793"/>
      <c r="G99" s="793"/>
    </row>
    <row r="100" customFormat="false" ht="12.75" hidden="false" customHeight="false" outlineLevel="0" collapsed="false">
      <c r="A100" s="792" t="n">
        <v>55</v>
      </c>
      <c r="B100" s="793"/>
      <c r="C100" s="794"/>
      <c r="D100" s="793"/>
      <c r="E100" s="793"/>
      <c r="F100" s="793"/>
      <c r="G100" s="793"/>
    </row>
    <row r="101" customFormat="false" ht="12.75" hidden="false" customHeight="false" outlineLevel="0" collapsed="false">
      <c r="A101" s="792" t="n">
        <v>56</v>
      </c>
      <c r="B101" s="793"/>
      <c r="C101" s="794"/>
      <c r="D101" s="793"/>
      <c r="E101" s="793"/>
      <c r="F101" s="793"/>
      <c r="G101" s="793"/>
    </row>
    <row r="102" customFormat="false" ht="12.75" hidden="false" customHeight="false" outlineLevel="0" collapsed="false">
      <c r="A102" s="792" t="n">
        <v>57</v>
      </c>
      <c r="B102" s="793"/>
      <c r="C102" s="794"/>
      <c r="D102" s="793"/>
      <c r="E102" s="793"/>
      <c r="F102" s="793"/>
      <c r="G102" s="793"/>
    </row>
    <row r="103" customFormat="false" ht="12.75" hidden="false" customHeight="false" outlineLevel="0" collapsed="false">
      <c r="A103" s="792" t="n">
        <v>58</v>
      </c>
      <c r="B103" s="793"/>
      <c r="C103" s="794"/>
      <c r="D103" s="793"/>
      <c r="E103" s="793"/>
      <c r="F103" s="793"/>
      <c r="G103" s="793"/>
    </row>
    <row r="104" customFormat="false" ht="12.75" hidden="false" customHeight="false" outlineLevel="0" collapsed="false">
      <c r="A104" s="792" t="n">
        <v>59</v>
      </c>
      <c r="B104" s="793"/>
      <c r="C104" s="794"/>
      <c r="D104" s="793"/>
      <c r="E104" s="793"/>
      <c r="F104" s="793"/>
      <c r="G104" s="793"/>
    </row>
    <row r="105" customFormat="false" ht="12.75" hidden="false" customHeight="false" outlineLevel="0" collapsed="false">
      <c r="A105" s="792" t="n">
        <v>60</v>
      </c>
      <c r="B105" s="793"/>
      <c r="C105" s="794"/>
      <c r="D105" s="793"/>
      <c r="E105" s="793"/>
      <c r="F105" s="793"/>
      <c r="G105" s="793"/>
    </row>
    <row r="106" customFormat="false" ht="12.75" hidden="false" customHeight="false" outlineLevel="0" collapsed="false">
      <c r="A106" s="792" t="n">
        <v>61</v>
      </c>
      <c r="B106" s="793"/>
      <c r="C106" s="794"/>
      <c r="D106" s="793"/>
      <c r="E106" s="793"/>
      <c r="F106" s="793"/>
      <c r="G106" s="793"/>
    </row>
    <row r="107" customFormat="false" ht="12.75" hidden="false" customHeight="false" outlineLevel="0" collapsed="false">
      <c r="A107" s="792" t="n">
        <v>62</v>
      </c>
      <c r="B107" s="793"/>
      <c r="C107" s="794"/>
      <c r="D107" s="793"/>
      <c r="E107" s="793"/>
      <c r="F107" s="793"/>
      <c r="G107" s="793"/>
    </row>
    <row r="108" customFormat="false" ht="12.75" hidden="false" customHeight="false" outlineLevel="0" collapsed="false">
      <c r="A108" s="792" t="n">
        <v>63</v>
      </c>
      <c r="B108" s="793"/>
      <c r="C108" s="794"/>
      <c r="D108" s="793"/>
      <c r="E108" s="793"/>
      <c r="F108" s="793"/>
      <c r="G108" s="793"/>
    </row>
    <row r="109" customFormat="false" ht="12.75" hidden="false" customHeight="false" outlineLevel="0" collapsed="false">
      <c r="A109" s="792" t="n">
        <v>64</v>
      </c>
      <c r="B109" s="793"/>
      <c r="C109" s="794"/>
      <c r="D109" s="793"/>
      <c r="E109" s="793"/>
      <c r="F109" s="793"/>
      <c r="G109" s="793"/>
    </row>
    <row r="110" customFormat="false" ht="12.75" hidden="false" customHeight="false" outlineLevel="0" collapsed="false">
      <c r="A110" s="792" t="n">
        <v>65</v>
      </c>
      <c r="B110" s="793"/>
      <c r="C110" s="794"/>
      <c r="D110" s="793"/>
      <c r="E110" s="793"/>
      <c r="F110" s="793"/>
      <c r="G110" s="793"/>
    </row>
    <row r="111" customFormat="false" ht="12.75" hidden="false" customHeight="false" outlineLevel="0" collapsed="false">
      <c r="A111" s="792" t="n">
        <v>66</v>
      </c>
      <c r="B111" s="793"/>
      <c r="C111" s="794"/>
      <c r="D111" s="793"/>
      <c r="E111" s="793"/>
      <c r="F111" s="793"/>
      <c r="G111" s="793"/>
    </row>
    <row r="112" customFormat="false" ht="12.75" hidden="false" customHeight="false" outlineLevel="0" collapsed="false">
      <c r="A112" s="792" t="n">
        <v>67</v>
      </c>
      <c r="B112" s="793"/>
      <c r="C112" s="794"/>
      <c r="D112" s="793"/>
      <c r="E112" s="793"/>
      <c r="F112" s="793"/>
      <c r="G112" s="793"/>
    </row>
    <row r="113" customFormat="false" ht="12.75" hidden="false" customHeight="false" outlineLevel="0" collapsed="false">
      <c r="A113" s="792" t="n">
        <v>68</v>
      </c>
      <c r="B113" s="793"/>
      <c r="C113" s="794"/>
      <c r="D113" s="793"/>
      <c r="E113" s="793"/>
      <c r="F113" s="793"/>
      <c r="G113" s="793"/>
    </row>
    <row r="114" customFormat="false" ht="12.75" hidden="false" customHeight="false" outlineLevel="0" collapsed="false">
      <c r="A114" s="792" t="n">
        <v>69</v>
      </c>
      <c r="B114" s="793"/>
      <c r="C114" s="794"/>
      <c r="D114" s="793"/>
      <c r="E114" s="793"/>
      <c r="F114" s="793"/>
      <c r="G114" s="793"/>
    </row>
    <row r="115" customFormat="false" ht="12.75" hidden="false" customHeight="false" outlineLevel="0" collapsed="false">
      <c r="A115" s="792" t="n">
        <v>70</v>
      </c>
      <c r="B115" s="793"/>
      <c r="C115" s="794"/>
      <c r="D115" s="793"/>
      <c r="E115" s="793"/>
      <c r="F115" s="793"/>
      <c r="G115" s="793"/>
    </row>
    <row r="116" customFormat="false" ht="12.75" hidden="false" customHeight="false" outlineLevel="0" collapsed="false">
      <c r="A116" s="792" t="n">
        <v>71</v>
      </c>
      <c r="B116" s="793"/>
      <c r="C116" s="794"/>
      <c r="D116" s="793"/>
      <c r="E116" s="793"/>
      <c r="F116" s="793"/>
      <c r="G116" s="793"/>
    </row>
    <row r="117" customFormat="false" ht="12.75" hidden="false" customHeight="false" outlineLevel="0" collapsed="false">
      <c r="A117" s="792" t="n">
        <v>72</v>
      </c>
      <c r="B117" s="793"/>
      <c r="C117" s="794"/>
      <c r="D117" s="793"/>
      <c r="E117" s="793"/>
      <c r="F117" s="793"/>
      <c r="G117" s="793"/>
    </row>
    <row r="118" customFormat="false" ht="12.75" hidden="false" customHeight="false" outlineLevel="0" collapsed="false">
      <c r="A118" s="792" t="n">
        <v>73</v>
      </c>
      <c r="B118" s="793"/>
      <c r="C118" s="794"/>
      <c r="D118" s="793"/>
      <c r="E118" s="793"/>
      <c r="F118" s="793"/>
      <c r="G118" s="793"/>
    </row>
    <row r="119" customFormat="false" ht="12.75" hidden="false" customHeight="false" outlineLevel="0" collapsed="false">
      <c r="A119" s="792" t="n">
        <v>74</v>
      </c>
      <c r="B119" s="793"/>
      <c r="C119" s="794"/>
      <c r="D119" s="793"/>
      <c r="E119" s="793"/>
      <c r="F119" s="793"/>
      <c r="G119" s="793"/>
    </row>
    <row r="120" customFormat="false" ht="12.75" hidden="false" customHeight="false" outlineLevel="0" collapsed="false">
      <c r="A120" s="792" t="n">
        <v>75</v>
      </c>
      <c r="B120" s="793"/>
      <c r="C120" s="794"/>
      <c r="D120" s="793"/>
      <c r="E120" s="793"/>
      <c r="F120" s="793"/>
      <c r="G120" s="793"/>
    </row>
    <row r="121" customFormat="false" ht="12.75" hidden="false" customHeight="false" outlineLevel="0" collapsed="false">
      <c r="A121" s="792" t="n">
        <v>76</v>
      </c>
      <c r="B121" s="793"/>
      <c r="C121" s="794"/>
      <c r="D121" s="793"/>
      <c r="E121" s="793"/>
      <c r="F121" s="793"/>
      <c r="G121" s="793"/>
    </row>
    <row r="122" customFormat="false" ht="12.75" hidden="false" customHeight="false" outlineLevel="0" collapsed="false">
      <c r="A122" s="792" t="n">
        <v>77</v>
      </c>
      <c r="B122" s="793"/>
      <c r="C122" s="794"/>
      <c r="D122" s="793"/>
      <c r="E122" s="793"/>
      <c r="F122" s="793"/>
      <c r="G122" s="793"/>
    </row>
    <row r="123" customFormat="false" ht="12.75" hidden="false" customHeight="false" outlineLevel="0" collapsed="false">
      <c r="A123" s="792" t="n">
        <v>78</v>
      </c>
      <c r="B123" s="793"/>
      <c r="C123" s="794"/>
      <c r="D123" s="793"/>
      <c r="E123" s="793"/>
      <c r="F123" s="793"/>
      <c r="G123" s="793"/>
    </row>
    <row r="124" customFormat="false" ht="12.75" hidden="false" customHeight="false" outlineLevel="0" collapsed="false">
      <c r="A124" s="792" t="n">
        <v>79</v>
      </c>
      <c r="B124" s="793"/>
      <c r="C124" s="794"/>
      <c r="D124" s="793"/>
      <c r="E124" s="793"/>
      <c r="F124" s="793"/>
      <c r="G124" s="793"/>
    </row>
    <row r="125" customFormat="false" ht="12.75" hidden="false" customHeight="false" outlineLevel="0" collapsed="false">
      <c r="A125" s="792" t="n">
        <v>80</v>
      </c>
      <c r="B125" s="793"/>
      <c r="C125" s="794"/>
      <c r="D125" s="793"/>
      <c r="E125" s="793"/>
      <c r="F125" s="793"/>
      <c r="G125" s="793"/>
    </row>
    <row r="126" customFormat="false" ht="12.75" hidden="false" customHeight="false" outlineLevel="0" collapsed="false">
      <c r="A126" s="792" t="n">
        <v>81</v>
      </c>
      <c r="B126" s="793"/>
      <c r="C126" s="794"/>
      <c r="D126" s="793"/>
      <c r="E126" s="793"/>
      <c r="F126" s="793"/>
      <c r="G126" s="793"/>
    </row>
    <row r="127" customFormat="false" ht="12.75" hidden="false" customHeight="false" outlineLevel="0" collapsed="false">
      <c r="A127" s="792" t="n">
        <v>82</v>
      </c>
      <c r="B127" s="793"/>
      <c r="C127" s="794"/>
      <c r="D127" s="793"/>
      <c r="E127" s="793"/>
      <c r="F127" s="793"/>
      <c r="G127" s="793"/>
    </row>
    <row r="128" customFormat="false" ht="12.75" hidden="false" customHeight="false" outlineLevel="0" collapsed="false">
      <c r="A128" s="792" t="n">
        <v>83</v>
      </c>
      <c r="B128" s="793"/>
      <c r="C128" s="794"/>
      <c r="D128" s="793"/>
      <c r="E128" s="793"/>
      <c r="F128" s="793"/>
      <c r="G128" s="793"/>
    </row>
    <row r="129" customFormat="false" ht="12.75" hidden="false" customHeight="false" outlineLevel="0" collapsed="false">
      <c r="A129" s="792" t="n">
        <v>84</v>
      </c>
      <c r="B129" s="793"/>
      <c r="C129" s="794"/>
      <c r="D129" s="793"/>
      <c r="E129" s="793"/>
      <c r="F129" s="793"/>
      <c r="G129" s="793"/>
    </row>
    <row r="130" customFormat="false" ht="12.75" hidden="false" customHeight="false" outlineLevel="0" collapsed="false">
      <c r="A130" s="792" t="n">
        <v>85</v>
      </c>
      <c r="B130" s="793"/>
      <c r="C130" s="794"/>
      <c r="D130" s="793"/>
      <c r="E130" s="793"/>
      <c r="F130" s="793"/>
      <c r="G130" s="793"/>
    </row>
    <row r="131" customFormat="false" ht="12.75" hidden="false" customHeight="false" outlineLevel="0" collapsed="false">
      <c r="A131" s="792" t="n">
        <v>86</v>
      </c>
      <c r="B131" s="793"/>
      <c r="C131" s="794"/>
      <c r="D131" s="793"/>
      <c r="E131" s="793"/>
      <c r="F131" s="793"/>
      <c r="G131" s="793"/>
    </row>
    <row r="132" customFormat="false" ht="12.75" hidden="false" customHeight="false" outlineLevel="0" collapsed="false">
      <c r="A132" s="792" t="n">
        <v>87</v>
      </c>
      <c r="B132" s="793"/>
      <c r="C132" s="794"/>
      <c r="D132" s="793"/>
      <c r="E132" s="793"/>
      <c r="F132" s="793"/>
      <c r="G132" s="793"/>
    </row>
  </sheetData>
  <mergeCells count="11">
    <mergeCell ref="A1:H1"/>
    <mergeCell ref="A4:I4"/>
    <mergeCell ref="C6:G6"/>
    <mergeCell ref="D7:E7"/>
    <mergeCell ref="C23:G23"/>
    <mergeCell ref="C41:G41"/>
    <mergeCell ref="J41:N41"/>
    <mergeCell ref="A43:G43"/>
    <mergeCell ref="I43:M43"/>
    <mergeCell ref="O43:Q44"/>
    <mergeCell ref="S43:U44"/>
  </mergeCells>
  <dataValidations count="2">
    <dataValidation allowBlank="true" errorStyle="stop" operator="between" showDropDown="false" showErrorMessage="true" showInputMessage="true" sqref="C46:C132" type="list">
      <formula1>"LS,LA,LN,ZO,BA,VS,ET,CG,LQ,RE,LD"</formula1>
      <formula2>0</formula2>
    </dataValidation>
    <dataValidation allowBlank="true" errorStyle="stop" operator="between" showDropDown="false" showErrorMessage="true" showInputMessage="true" sqref="B46:B132" type="list">
      <formula1>"SRN,SSY,LC"</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8677"/>
    <pageSetUpPr fitToPage="false"/>
  </sheetPr>
  <dimension ref="A2:IB5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1.43359375" defaultRowHeight="12.75" customHeight="false" zeroHeight="false" outlineLevelRow="0" outlineLevelCol="0"/>
  <cols>
    <col collapsed="false" customWidth="false" hidden="false" outlineLevel="0" max="1" min="1" style="795" width="11.43"/>
    <col collapsed="false" customWidth="true" hidden="false" outlineLevel="0" max="2" min="2" style="795" width="9.29"/>
    <col collapsed="false" customWidth="true" hidden="true" outlineLevel="0" max="3" min="3" style="795" width="11.53"/>
    <col collapsed="false" customWidth="true" hidden="false" outlineLevel="0" max="4" min="4" style="795" width="7.16"/>
    <col collapsed="false" customWidth="true" hidden="false" outlineLevel="0" max="5" min="5" style="795" width="28.29"/>
    <col collapsed="false" customWidth="true" hidden="false" outlineLevel="0" max="6" min="6" style="796" width="0.86"/>
    <col collapsed="false" customWidth="true" hidden="false" outlineLevel="0" max="20" min="7" style="795" width="5.71"/>
    <col collapsed="false" customWidth="true" hidden="false" outlineLevel="0" max="21" min="21" style="795" width="8.29"/>
    <col collapsed="false" customWidth="true" hidden="false" outlineLevel="0" max="22" min="22" style="795" width="10"/>
    <col collapsed="false" customWidth="true" hidden="false" outlineLevel="0" max="23" min="23" style="795" width="10.14"/>
    <col collapsed="false" customWidth="true" hidden="false" outlineLevel="0" max="24" min="24" style="795" width="10.57"/>
    <col collapsed="false" customWidth="false" hidden="false" outlineLevel="0" max="30" min="25" style="795" width="11.43"/>
    <col collapsed="false" customWidth="true" hidden="false" outlineLevel="0" max="31" min="31" style="795" width="7.57"/>
    <col collapsed="false" customWidth="false" hidden="false" outlineLevel="0" max="34" min="32" style="795" width="11.43"/>
    <col collapsed="false" customWidth="true" hidden="false" outlineLevel="0" max="35" min="35" style="797" width="7.29"/>
    <col collapsed="false" customWidth="false" hidden="false" outlineLevel="0" max="36" min="36" style="795" width="11.43"/>
    <col collapsed="false" customWidth="true" hidden="false" outlineLevel="0" max="37" min="37" style="795" width="13.86"/>
    <col collapsed="false" customWidth="false" hidden="false" outlineLevel="0" max="38" min="38" style="795" width="11.43"/>
    <col collapsed="false" customWidth="true" hidden="false" outlineLevel="0" max="39" min="39" style="795" width="13"/>
    <col collapsed="false" customWidth="false" hidden="false" outlineLevel="0" max="40" min="40" style="795" width="11.43"/>
    <col collapsed="false" customWidth="true" hidden="false" outlineLevel="0" max="41" min="41" style="795" width="13.42"/>
    <col collapsed="false" customWidth="true" hidden="false" outlineLevel="0" max="42" min="42" style="795" width="28.29"/>
    <col collapsed="false" customWidth="false" hidden="false" outlineLevel="0" max="43" min="43" style="795" width="11.43"/>
    <col collapsed="false" customWidth="true" hidden="false" outlineLevel="0" max="44" min="44" style="795" width="16.71"/>
    <col collapsed="false" customWidth="false" hidden="false" outlineLevel="0" max="47" min="45" style="795" width="11.43"/>
    <col collapsed="false" customWidth="true" hidden="false" outlineLevel="0" max="48" min="48" style="795" width="15.29"/>
    <col collapsed="false" customWidth="true" hidden="false" outlineLevel="0" max="49" min="49" style="795" width="13.57"/>
    <col collapsed="false" customWidth="false" hidden="false" outlineLevel="0" max="51" min="50" style="795" width="11.43"/>
    <col collapsed="false" customWidth="true" hidden="false" outlineLevel="0" max="52" min="52" style="795" width="12.42"/>
    <col collapsed="false" customWidth="true" hidden="false" outlineLevel="0" max="53" min="53" style="795" width="21.43"/>
    <col collapsed="false" customWidth="false" hidden="false" outlineLevel="0" max="16384" min="54" style="795" width="11.43"/>
  </cols>
  <sheetData>
    <row r="2" customFormat="false" ht="13.8" hidden="false" customHeight="false" outlineLevel="0" collapsed="false">
      <c r="B2" s="798"/>
      <c r="C2" s="798"/>
      <c r="D2" s="798"/>
      <c r="E2" s="799"/>
      <c r="F2" s="800"/>
      <c r="G2" s="799"/>
      <c r="H2" s="799"/>
      <c r="I2" s="799"/>
      <c r="J2" s="799"/>
      <c r="K2" s="799"/>
      <c r="L2" s="799"/>
      <c r="M2" s="799"/>
      <c r="N2" s="799"/>
      <c r="O2" s="799"/>
      <c r="P2" s="799"/>
      <c r="Q2" s="799"/>
      <c r="R2" s="799"/>
      <c r="S2" s="799"/>
      <c r="T2" s="799"/>
      <c r="U2" s="799"/>
      <c r="V2" s="799"/>
      <c r="W2" s="799"/>
      <c r="X2" s="799"/>
      <c r="Y2" s="799"/>
      <c r="Z2" s="799"/>
      <c r="AA2" s="799"/>
      <c r="AB2" s="799"/>
      <c r="AC2" s="799"/>
      <c r="AD2" s="799"/>
      <c r="AE2" s="799"/>
      <c r="AF2" s="799"/>
      <c r="AG2" s="799"/>
      <c r="AH2" s="799"/>
      <c r="AI2" s="801"/>
      <c r="AJ2" s="799"/>
      <c r="AK2" s="799"/>
      <c r="AL2" s="799"/>
      <c r="AM2" s="799"/>
      <c r="AN2" s="799"/>
      <c r="AO2" s="799"/>
      <c r="AP2" s="799"/>
      <c r="AQ2" s="799"/>
      <c r="AR2" s="799"/>
      <c r="AS2" s="800"/>
      <c r="AT2" s="800"/>
      <c r="AU2" s="800"/>
      <c r="AV2" s="800"/>
      <c r="AW2" s="800"/>
      <c r="AX2" s="800"/>
      <c r="AY2" s="800"/>
      <c r="AZ2" s="800"/>
      <c r="BA2" s="800"/>
      <c r="BB2" s="800"/>
      <c r="BC2" s="799"/>
      <c r="BD2" s="799"/>
      <c r="BE2" s="799"/>
      <c r="BF2" s="799"/>
      <c r="BG2" s="799"/>
      <c r="BH2" s="799"/>
      <c r="BI2" s="799"/>
      <c r="BJ2" s="799"/>
      <c r="BK2" s="799"/>
      <c r="BL2" s="799"/>
      <c r="BM2" s="799"/>
      <c r="BN2" s="799"/>
      <c r="BO2" s="799"/>
      <c r="BP2" s="799"/>
      <c r="BQ2" s="799"/>
      <c r="BR2" s="799"/>
      <c r="BS2" s="799"/>
      <c r="BT2" s="799"/>
      <c r="BU2" s="799"/>
      <c r="BV2" s="799"/>
      <c r="BW2" s="799"/>
      <c r="BX2" s="799"/>
      <c r="BY2" s="799"/>
      <c r="BZ2" s="799"/>
      <c r="CA2" s="799"/>
      <c r="CB2" s="799"/>
      <c r="CC2" s="799"/>
      <c r="CD2" s="799"/>
      <c r="CE2" s="799"/>
      <c r="CF2" s="799"/>
      <c r="CG2" s="799"/>
      <c r="CH2" s="799"/>
      <c r="CI2" s="799"/>
      <c r="CJ2" s="799"/>
      <c r="CK2" s="799"/>
      <c r="CL2" s="799"/>
      <c r="CM2" s="799"/>
      <c r="CN2" s="799"/>
      <c r="CO2" s="799"/>
      <c r="CP2" s="799"/>
      <c r="CQ2" s="799"/>
      <c r="CR2" s="799"/>
      <c r="CS2" s="799"/>
      <c r="CT2" s="799"/>
      <c r="CU2" s="799"/>
      <c r="CV2" s="799"/>
      <c r="CW2" s="799"/>
      <c r="CX2" s="799"/>
      <c r="CY2" s="799"/>
      <c r="CZ2" s="799"/>
      <c r="DA2" s="799"/>
      <c r="DB2" s="799"/>
      <c r="DC2" s="799"/>
      <c r="DD2" s="799"/>
      <c r="DE2" s="799"/>
      <c r="DF2" s="799"/>
      <c r="DG2" s="799"/>
      <c r="DH2" s="799"/>
      <c r="DI2" s="799"/>
      <c r="DJ2" s="799"/>
      <c r="DK2" s="799"/>
      <c r="DL2" s="799"/>
      <c r="DM2" s="799"/>
      <c r="DN2" s="799"/>
      <c r="DO2" s="799"/>
      <c r="DP2" s="799"/>
      <c r="DQ2" s="799"/>
      <c r="DR2" s="799"/>
      <c r="DS2" s="799"/>
      <c r="DT2" s="799"/>
      <c r="DU2" s="799"/>
      <c r="DV2" s="799"/>
      <c r="DW2" s="799"/>
      <c r="DX2" s="799"/>
      <c r="DY2" s="799"/>
      <c r="DZ2" s="799"/>
      <c r="EA2" s="799"/>
      <c r="EB2" s="799"/>
      <c r="EC2" s="799"/>
      <c r="ED2" s="799"/>
      <c r="EE2" s="799"/>
      <c r="EF2" s="799"/>
      <c r="EG2" s="799"/>
      <c r="EH2" s="799"/>
      <c r="EI2" s="799"/>
      <c r="EJ2" s="799"/>
      <c r="EK2" s="799"/>
      <c r="EL2" s="799"/>
      <c r="EM2" s="799"/>
      <c r="EN2" s="799"/>
      <c r="EO2" s="799"/>
      <c r="EP2" s="799"/>
      <c r="EQ2" s="799"/>
      <c r="ER2" s="799"/>
      <c r="ES2" s="799"/>
      <c r="ET2" s="799"/>
      <c r="EU2" s="799"/>
      <c r="EV2" s="799"/>
      <c r="EW2" s="799"/>
      <c r="EX2" s="799"/>
      <c r="EY2" s="799"/>
      <c r="EZ2" s="799"/>
      <c r="FA2" s="799"/>
      <c r="FB2" s="799"/>
      <c r="FC2" s="799"/>
      <c r="FD2" s="799"/>
      <c r="FE2" s="799"/>
      <c r="FF2" s="799"/>
      <c r="FG2" s="799"/>
      <c r="FH2" s="799"/>
      <c r="FI2" s="799"/>
      <c r="FJ2" s="799"/>
      <c r="FK2" s="799"/>
      <c r="FL2" s="799"/>
      <c r="FM2" s="799"/>
      <c r="FN2" s="799"/>
      <c r="FO2" s="799"/>
      <c r="FP2" s="799"/>
      <c r="FQ2" s="799"/>
      <c r="FR2" s="799"/>
      <c r="FS2" s="799"/>
      <c r="FT2" s="799"/>
      <c r="FU2" s="799"/>
      <c r="FV2" s="799"/>
      <c r="FW2" s="799"/>
      <c r="FX2" s="799"/>
      <c r="FY2" s="799"/>
      <c r="FZ2" s="799"/>
      <c r="GA2" s="799"/>
      <c r="GB2" s="799"/>
      <c r="GC2" s="799"/>
      <c r="GD2" s="799"/>
      <c r="GE2" s="799"/>
      <c r="GF2" s="799"/>
      <c r="GG2" s="799"/>
      <c r="GH2" s="799"/>
      <c r="GI2" s="799"/>
      <c r="GJ2" s="799"/>
      <c r="GK2" s="799"/>
      <c r="GL2" s="799"/>
      <c r="GM2" s="799"/>
      <c r="GN2" s="799"/>
      <c r="GO2" s="799"/>
      <c r="GP2" s="799"/>
      <c r="GQ2" s="799"/>
      <c r="GR2" s="799"/>
      <c r="GS2" s="799"/>
      <c r="GT2" s="799"/>
      <c r="GU2" s="799"/>
      <c r="GV2" s="799"/>
      <c r="GW2" s="799"/>
      <c r="GX2" s="799"/>
      <c r="GY2" s="799"/>
      <c r="GZ2" s="799"/>
      <c r="HA2" s="799"/>
      <c r="HB2" s="799"/>
      <c r="HC2" s="799"/>
      <c r="HD2" s="799"/>
      <c r="HE2" s="799"/>
      <c r="HF2" s="799"/>
      <c r="HG2" s="799"/>
      <c r="HH2" s="799"/>
      <c r="HI2" s="799"/>
      <c r="HJ2" s="799"/>
      <c r="HK2" s="799"/>
      <c r="HL2" s="799"/>
      <c r="HM2" s="799"/>
      <c r="HN2" s="799"/>
      <c r="HO2" s="799"/>
      <c r="HP2" s="799"/>
      <c r="HQ2" s="799"/>
      <c r="HR2" s="799"/>
      <c r="HS2" s="799"/>
      <c r="HT2" s="799"/>
      <c r="HU2" s="799"/>
      <c r="HV2" s="799"/>
      <c r="HW2" s="799"/>
      <c r="HX2" s="799"/>
      <c r="HY2" s="799"/>
      <c r="HZ2" s="799"/>
      <c r="IA2" s="799"/>
      <c r="IB2" s="799"/>
    </row>
    <row r="3" s="795" customFormat="true" ht="19.7" hidden="false" customHeight="false" outlineLevel="0" collapsed="false">
      <c r="B3" s="802" t="s">
        <v>638</v>
      </c>
      <c r="C3" s="799"/>
      <c r="D3" s="799"/>
      <c r="E3" s="799"/>
      <c r="F3" s="800"/>
      <c r="G3" s="799"/>
      <c r="H3" s="799"/>
      <c r="I3" s="799"/>
      <c r="J3" s="799"/>
      <c r="K3" s="799"/>
      <c r="L3" s="799"/>
      <c r="M3" s="799"/>
      <c r="N3" s="799"/>
      <c r="O3" s="799"/>
      <c r="P3" s="799"/>
      <c r="Q3" s="799"/>
      <c r="BH3" s="799"/>
      <c r="BI3" s="799"/>
      <c r="BJ3" s="799"/>
      <c r="BK3" s="799"/>
      <c r="BL3" s="799"/>
      <c r="BM3" s="799"/>
      <c r="BN3" s="799"/>
      <c r="BO3" s="799"/>
      <c r="BP3" s="799"/>
      <c r="BQ3" s="799"/>
      <c r="BR3" s="799"/>
      <c r="BS3" s="799"/>
      <c r="BT3" s="799"/>
      <c r="BU3" s="799"/>
      <c r="BV3" s="799"/>
      <c r="BW3" s="799"/>
      <c r="BX3" s="799"/>
      <c r="BY3" s="799"/>
      <c r="BZ3" s="799"/>
      <c r="CA3" s="799"/>
      <c r="CB3" s="799"/>
      <c r="CC3" s="799"/>
      <c r="CD3" s="799"/>
      <c r="CE3" s="799"/>
      <c r="CF3" s="799"/>
      <c r="CG3" s="799"/>
      <c r="CH3" s="799"/>
      <c r="CI3" s="799"/>
      <c r="CJ3" s="799"/>
      <c r="CK3" s="799"/>
      <c r="CL3" s="799"/>
      <c r="CM3" s="799"/>
      <c r="CN3" s="799"/>
      <c r="CO3" s="799"/>
      <c r="CP3" s="799"/>
      <c r="CQ3" s="799"/>
      <c r="CR3" s="799"/>
      <c r="CS3" s="799"/>
      <c r="CT3" s="799"/>
      <c r="CU3" s="799"/>
      <c r="CV3" s="799"/>
      <c r="CW3" s="799"/>
      <c r="CX3" s="799"/>
      <c r="CY3" s="799"/>
      <c r="CZ3" s="799"/>
      <c r="DA3" s="799"/>
      <c r="DB3" s="799"/>
      <c r="DC3" s="799"/>
      <c r="DD3" s="799"/>
      <c r="DE3" s="799"/>
      <c r="DF3" s="799"/>
      <c r="DG3" s="799"/>
      <c r="DH3" s="799"/>
      <c r="DI3" s="799"/>
      <c r="DJ3" s="799"/>
      <c r="DK3" s="799"/>
      <c r="DL3" s="799"/>
      <c r="DM3" s="799"/>
      <c r="DN3" s="799"/>
      <c r="DO3" s="799"/>
      <c r="DP3" s="799"/>
      <c r="DQ3" s="799"/>
      <c r="DR3" s="799"/>
      <c r="DS3" s="799"/>
      <c r="DT3" s="799"/>
      <c r="DU3" s="799"/>
      <c r="DV3" s="799"/>
      <c r="DW3" s="799"/>
      <c r="DX3" s="799"/>
      <c r="DY3" s="799"/>
      <c r="DZ3" s="799"/>
      <c r="EA3" s="799"/>
      <c r="EB3" s="799"/>
      <c r="EC3" s="799"/>
      <c r="ED3" s="799"/>
      <c r="EE3" s="799"/>
      <c r="EF3" s="799"/>
      <c r="EG3" s="799"/>
      <c r="EH3" s="799"/>
      <c r="EI3" s="799"/>
      <c r="EJ3" s="799"/>
      <c r="EK3" s="799"/>
      <c r="EL3" s="799"/>
      <c r="EM3" s="799"/>
      <c r="EN3" s="799"/>
      <c r="EO3" s="799"/>
      <c r="EP3" s="799"/>
      <c r="EQ3" s="799"/>
      <c r="ER3" s="799"/>
      <c r="ES3" s="799"/>
      <c r="ET3" s="799"/>
      <c r="EU3" s="799"/>
      <c r="EV3" s="799"/>
      <c r="EW3" s="799"/>
      <c r="EX3" s="799"/>
      <c r="EY3" s="799"/>
      <c r="EZ3" s="799"/>
      <c r="FA3" s="799"/>
      <c r="FB3" s="799"/>
      <c r="FC3" s="799"/>
      <c r="FD3" s="799"/>
      <c r="FE3" s="799"/>
      <c r="FF3" s="799"/>
      <c r="FG3" s="799"/>
      <c r="FH3" s="799"/>
      <c r="FI3" s="799"/>
      <c r="FJ3" s="799"/>
      <c r="FK3" s="799"/>
      <c r="FL3" s="799"/>
      <c r="FM3" s="799"/>
      <c r="FN3" s="799"/>
      <c r="FO3" s="799"/>
      <c r="FP3" s="799"/>
      <c r="FQ3" s="799"/>
      <c r="FR3" s="799"/>
      <c r="FS3" s="799"/>
      <c r="FT3" s="799"/>
      <c r="FU3" s="799"/>
      <c r="FV3" s="799"/>
      <c r="FW3" s="799"/>
      <c r="FX3" s="799"/>
      <c r="FY3" s="799"/>
      <c r="FZ3" s="799"/>
      <c r="GA3" s="799"/>
      <c r="GB3" s="799"/>
      <c r="GC3" s="799"/>
      <c r="GD3" s="799"/>
      <c r="GE3" s="799"/>
      <c r="GF3" s="799"/>
      <c r="GG3" s="799"/>
      <c r="GH3" s="799"/>
      <c r="GI3" s="799"/>
      <c r="GJ3" s="799"/>
      <c r="GK3" s="799"/>
      <c r="GL3" s="799"/>
      <c r="GM3" s="799"/>
      <c r="GN3" s="799"/>
      <c r="GO3" s="799"/>
      <c r="GP3" s="799"/>
      <c r="GQ3" s="799"/>
      <c r="GR3" s="799"/>
      <c r="GS3" s="799"/>
      <c r="GT3" s="799"/>
      <c r="GU3" s="799"/>
      <c r="GV3" s="799"/>
      <c r="GW3" s="799"/>
      <c r="GX3" s="799"/>
      <c r="GY3" s="799"/>
      <c r="GZ3" s="799"/>
      <c r="HA3" s="799"/>
      <c r="HB3" s="799"/>
      <c r="HC3" s="799"/>
      <c r="HD3" s="799"/>
      <c r="HE3" s="799"/>
      <c r="HF3" s="799"/>
      <c r="HG3" s="799"/>
      <c r="HH3" s="799"/>
      <c r="HI3" s="799"/>
      <c r="HJ3" s="799"/>
      <c r="HK3" s="799"/>
      <c r="HL3" s="799"/>
      <c r="HM3" s="799"/>
      <c r="HN3" s="799"/>
      <c r="HO3" s="799"/>
      <c r="HP3" s="799"/>
      <c r="HQ3" s="799"/>
      <c r="HR3" s="799"/>
      <c r="HS3" s="799"/>
      <c r="HT3" s="799"/>
      <c r="HU3" s="799"/>
      <c r="HV3" s="799"/>
      <c r="HW3" s="799"/>
      <c r="HX3" s="799"/>
      <c r="HY3" s="799"/>
      <c r="HZ3" s="799"/>
      <c r="IA3" s="799"/>
      <c r="IB3" s="799"/>
    </row>
    <row r="4" s="795" customFormat="true" ht="62.25" hidden="false" customHeight="true" outlineLevel="0" collapsed="false">
      <c r="B4" s="802"/>
      <c r="C4" s="799"/>
      <c r="D4" s="799"/>
      <c r="E4" s="799"/>
      <c r="F4" s="800"/>
      <c r="G4" s="799"/>
      <c r="H4" s="799"/>
      <c r="I4" s="799"/>
      <c r="J4" s="799"/>
      <c r="K4" s="799"/>
      <c r="L4" s="799"/>
      <c r="M4" s="799"/>
      <c r="N4" s="799"/>
      <c r="O4" s="799"/>
      <c r="P4" s="799"/>
      <c r="Q4" s="799"/>
      <c r="BH4" s="799"/>
      <c r="BI4" s="799"/>
      <c r="BJ4" s="799"/>
      <c r="BK4" s="799"/>
      <c r="BL4" s="799"/>
      <c r="BM4" s="799"/>
      <c r="BN4" s="799"/>
      <c r="BO4" s="799"/>
      <c r="BP4" s="799"/>
      <c r="BQ4" s="799"/>
      <c r="BR4" s="799"/>
      <c r="BS4" s="799"/>
      <c r="BT4" s="799"/>
      <c r="BU4" s="799"/>
      <c r="BV4" s="799"/>
      <c r="BW4" s="799"/>
      <c r="BX4" s="799"/>
      <c r="BY4" s="799"/>
      <c r="BZ4" s="799"/>
      <c r="CA4" s="799"/>
      <c r="CB4" s="799"/>
      <c r="CC4" s="799"/>
      <c r="CD4" s="799"/>
      <c r="CE4" s="799"/>
      <c r="CF4" s="799"/>
      <c r="CG4" s="799"/>
      <c r="CH4" s="799"/>
      <c r="CI4" s="799"/>
      <c r="CJ4" s="799"/>
      <c r="CK4" s="799"/>
      <c r="CL4" s="799"/>
      <c r="CM4" s="799"/>
      <c r="CN4" s="799"/>
      <c r="CO4" s="799"/>
      <c r="CP4" s="799"/>
      <c r="CQ4" s="799"/>
      <c r="CR4" s="799"/>
      <c r="CS4" s="799"/>
      <c r="CT4" s="799"/>
      <c r="CU4" s="799"/>
      <c r="CV4" s="799"/>
      <c r="CW4" s="799"/>
      <c r="CX4" s="799"/>
      <c r="CY4" s="799"/>
      <c r="CZ4" s="799"/>
      <c r="DA4" s="799"/>
      <c r="DB4" s="799"/>
      <c r="DC4" s="799"/>
      <c r="DD4" s="799"/>
      <c r="DE4" s="799"/>
      <c r="DF4" s="799"/>
      <c r="DG4" s="799"/>
      <c r="DH4" s="799"/>
      <c r="DI4" s="799"/>
      <c r="DJ4" s="799"/>
      <c r="DK4" s="799"/>
      <c r="DL4" s="799"/>
      <c r="DM4" s="799"/>
      <c r="DN4" s="799"/>
      <c r="DO4" s="799"/>
      <c r="DP4" s="799"/>
      <c r="DQ4" s="799"/>
      <c r="DR4" s="799"/>
      <c r="DS4" s="799"/>
      <c r="DT4" s="799"/>
      <c r="DU4" s="799"/>
      <c r="DV4" s="799"/>
      <c r="DW4" s="799"/>
      <c r="DX4" s="799"/>
      <c r="DY4" s="799"/>
      <c r="DZ4" s="799"/>
      <c r="EA4" s="799"/>
      <c r="EB4" s="799"/>
      <c r="EC4" s="799"/>
      <c r="ED4" s="799"/>
      <c r="EE4" s="799"/>
      <c r="EF4" s="799"/>
      <c r="EG4" s="799"/>
      <c r="EH4" s="799"/>
      <c r="EI4" s="799"/>
      <c r="EJ4" s="799"/>
      <c r="EK4" s="799"/>
      <c r="EL4" s="799"/>
      <c r="EM4" s="799"/>
      <c r="EN4" s="799"/>
      <c r="EO4" s="799"/>
      <c r="EP4" s="799"/>
      <c r="EQ4" s="799"/>
      <c r="ER4" s="799"/>
      <c r="ES4" s="799"/>
      <c r="ET4" s="799"/>
      <c r="EU4" s="799"/>
      <c r="EV4" s="799"/>
      <c r="EW4" s="799"/>
      <c r="EX4" s="799"/>
      <c r="EY4" s="799"/>
      <c r="EZ4" s="799"/>
      <c r="FA4" s="799"/>
      <c r="FB4" s="799"/>
      <c r="FC4" s="799"/>
      <c r="FD4" s="799"/>
      <c r="FE4" s="799"/>
      <c r="FF4" s="799"/>
      <c r="FG4" s="799"/>
      <c r="FH4" s="799"/>
      <c r="FI4" s="799"/>
      <c r="FJ4" s="799"/>
      <c r="FK4" s="799"/>
      <c r="FL4" s="799"/>
      <c r="FM4" s="799"/>
      <c r="FN4" s="799"/>
      <c r="FO4" s="799"/>
      <c r="FP4" s="799"/>
      <c r="FQ4" s="799"/>
      <c r="FR4" s="799"/>
      <c r="FS4" s="799"/>
      <c r="FT4" s="799"/>
      <c r="FU4" s="799"/>
      <c r="FV4" s="799"/>
      <c r="FW4" s="799"/>
      <c r="FX4" s="799"/>
      <c r="FY4" s="799"/>
      <c r="FZ4" s="799"/>
      <c r="GA4" s="799"/>
      <c r="GB4" s="799"/>
      <c r="GC4" s="799"/>
      <c r="GD4" s="799"/>
      <c r="GE4" s="799"/>
      <c r="GF4" s="799"/>
      <c r="GG4" s="799"/>
      <c r="GH4" s="799"/>
      <c r="GI4" s="799"/>
      <c r="GJ4" s="799"/>
      <c r="GK4" s="799"/>
      <c r="GL4" s="799"/>
      <c r="GM4" s="799"/>
      <c r="GN4" s="799"/>
      <c r="GO4" s="799"/>
      <c r="GP4" s="799"/>
      <c r="GQ4" s="799"/>
      <c r="GR4" s="799"/>
      <c r="GS4" s="799"/>
      <c r="GT4" s="799"/>
      <c r="GU4" s="799"/>
      <c r="GV4" s="799"/>
      <c r="GW4" s="799"/>
      <c r="GX4" s="799"/>
      <c r="GY4" s="799"/>
      <c r="GZ4" s="799"/>
      <c r="HA4" s="799"/>
      <c r="HB4" s="799"/>
      <c r="HC4" s="799"/>
      <c r="HD4" s="799"/>
      <c r="HE4" s="799"/>
      <c r="HF4" s="799"/>
      <c r="HG4" s="799"/>
      <c r="HH4" s="799"/>
      <c r="HI4" s="799"/>
      <c r="HJ4" s="799"/>
      <c r="HK4" s="799"/>
      <c r="HL4" s="799"/>
      <c r="HM4" s="799"/>
      <c r="HN4" s="799"/>
      <c r="HO4" s="799"/>
      <c r="HP4" s="799"/>
      <c r="HQ4" s="799"/>
      <c r="HR4" s="799"/>
      <c r="HS4" s="799"/>
      <c r="HT4" s="799"/>
      <c r="HU4" s="799"/>
      <c r="HV4" s="799"/>
      <c r="HW4" s="799"/>
      <c r="HX4" s="799"/>
      <c r="HY4" s="799"/>
      <c r="HZ4" s="799"/>
      <c r="IA4" s="799"/>
      <c r="IB4" s="799"/>
    </row>
    <row r="5" s="803" customFormat="true" ht="51.75" hidden="false" customHeight="true" outlineLevel="0" collapsed="false">
      <c r="B5" s="804" t="s">
        <v>639</v>
      </c>
      <c r="C5" s="805"/>
      <c r="D5" s="806" t="s">
        <v>640</v>
      </c>
      <c r="E5" s="806"/>
      <c r="F5" s="806"/>
      <c r="G5" s="806"/>
      <c r="H5" s="806"/>
      <c r="I5" s="806"/>
      <c r="J5" s="806"/>
      <c r="K5" s="806"/>
      <c r="L5" s="806"/>
      <c r="M5" s="806"/>
      <c r="N5" s="806"/>
      <c r="O5" s="806"/>
      <c r="P5" s="806"/>
      <c r="Q5" s="806"/>
      <c r="R5" s="806"/>
      <c r="S5" s="806"/>
      <c r="T5" s="806"/>
      <c r="U5" s="807"/>
      <c r="V5" s="804" t="s">
        <v>641</v>
      </c>
      <c r="W5" s="808" t="s">
        <v>642</v>
      </c>
      <c r="X5" s="808"/>
      <c r="Y5" s="808"/>
      <c r="Z5" s="808"/>
      <c r="AA5" s="808"/>
      <c r="AB5" s="808"/>
      <c r="AC5" s="808"/>
      <c r="AD5" s="808"/>
      <c r="AE5" s="808"/>
      <c r="AF5" s="808"/>
      <c r="AG5" s="808"/>
      <c r="AH5" s="808"/>
      <c r="AI5" s="808"/>
      <c r="AJ5" s="808"/>
      <c r="AK5" s="808"/>
      <c r="AL5" s="808"/>
      <c r="AM5" s="808"/>
      <c r="AN5" s="808"/>
      <c r="AO5" s="808"/>
      <c r="AP5" s="808"/>
      <c r="AQ5" s="809"/>
      <c r="AR5" s="809"/>
      <c r="AS5" s="809"/>
      <c r="AT5" s="809"/>
      <c r="AU5" s="809"/>
      <c r="AV5" s="809"/>
      <c r="AW5" s="809"/>
      <c r="AX5" s="809"/>
      <c r="AY5" s="809"/>
      <c r="AZ5" s="809"/>
      <c r="BA5" s="809"/>
      <c r="BH5" s="798"/>
      <c r="BI5" s="798"/>
      <c r="BJ5" s="798"/>
      <c r="BK5" s="798"/>
      <c r="BL5" s="798"/>
      <c r="BM5" s="798"/>
      <c r="BN5" s="798"/>
      <c r="BO5" s="798"/>
      <c r="BP5" s="798"/>
      <c r="BQ5" s="798"/>
      <c r="BR5" s="798"/>
      <c r="BS5" s="798"/>
      <c r="BT5" s="798"/>
      <c r="BU5" s="798"/>
      <c r="BV5" s="798"/>
      <c r="BW5" s="798"/>
      <c r="BX5" s="798"/>
      <c r="BY5" s="798"/>
      <c r="BZ5" s="798"/>
      <c r="CA5" s="798"/>
      <c r="CB5" s="798"/>
      <c r="CC5" s="798"/>
      <c r="CD5" s="798"/>
      <c r="CE5" s="798"/>
      <c r="CF5" s="798"/>
      <c r="CG5" s="798"/>
      <c r="CH5" s="798"/>
      <c r="CI5" s="798"/>
      <c r="CJ5" s="798"/>
      <c r="CK5" s="798"/>
      <c r="CL5" s="798"/>
      <c r="CM5" s="798"/>
      <c r="CN5" s="798"/>
      <c r="CO5" s="798"/>
      <c r="CP5" s="798"/>
      <c r="CQ5" s="798"/>
      <c r="CR5" s="798"/>
      <c r="CS5" s="798"/>
      <c r="CT5" s="798"/>
      <c r="CU5" s="798"/>
      <c r="CV5" s="798"/>
      <c r="CW5" s="798"/>
      <c r="CX5" s="798"/>
      <c r="CY5" s="798"/>
      <c r="CZ5" s="798"/>
      <c r="DA5" s="798"/>
      <c r="DB5" s="798"/>
      <c r="DC5" s="798"/>
      <c r="DD5" s="798"/>
      <c r="DE5" s="798"/>
      <c r="DF5" s="798"/>
      <c r="DG5" s="798"/>
      <c r="DH5" s="798"/>
      <c r="DI5" s="798"/>
      <c r="DJ5" s="798"/>
      <c r="DK5" s="798"/>
      <c r="DL5" s="798"/>
      <c r="DM5" s="798"/>
      <c r="DN5" s="798"/>
      <c r="DO5" s="798"/>
      <c r="DP5" s="798"/>
      <c r="DQ5" s="798"/>
      <c r="DR5" s="798"/>
      <c r="DS5" s="798"/>
      <c r="DT5" s="798"/>
      <c r="DU5" s="798"/>
      <c r="DV5" s="798"/>
      <c r="DW5" s="798"/>
      <c r="DX5" s="798"/>
      <c r="DY5" s="798"/>
      <c r="DZ5" s="798"/>
      <c r="EA5" s="798"/>
      <c r="EB5" s="798"/>
      <c r="EC5" s="798"/>
      <c r="ED5" s="798"/>
      <c r="EE5" s="798"/>
      <c r="EF5" s="798"/>
      <c r="EG5" s="798"/>
      <c r="EH5" s="798"/>
      <c r="EI5" s="798"/>
      <c r="EJ5" s="798"/>
      <c r="EK5" s="798"/>
      <c r="EL5" s="798"/>
      <c r="EM5" s="798"/>
      <c r="EN5" s="798"/>
      <c r="EO5" s="798"/>
      <c r="EP5" s="798"/>
      <c r="EQ5" s="798"/>
      <c r="ER5" s="798"/>
      <c r="ES5" s="798"/>
      <c r="ET5" s="798"/>
      <c r="EU5" s="798"/>
      <c r="EV5" s="798"/>
      <c r="EW5" s="798"/>
      <c r="EX5" s="798"/>
      <c r="EY5" s="798"/>
      <c r="EZ5" s="798"/>
      <c r="FA5" s="798"/>
      <c r="FB5" s="798"/>
      <c r="FC5" s="798"/>
      <c r="FD5" s="798"/>
      <c r="FE5" s="798"/>
      <c r="FF5" s="798"/>
      <c r="FG5" s="798"/>
      <c r="FH5" s="798"/>
      <c r="FI5" s="798"/>
      <c r="FJ5" s="798"/>
      <c r="FK5" s="798"/>
      <c r="FL5" s="798"/>
      <c r="FM5" s="798"/>
      <c r="FN5" s="798"/>
      <c r="FO5" s="798"/>
      <c r="FP5" s="798"/>
      <c r="FQ5" s="798"/>
      <c r="FR5" s="798"/>
      <c r="FS5" s="798"/>
      <c r="FT5" s="798"/>
      <c r="FU5" s="798"/>
      <c r="FV5" s="798"/>
      <c r="FW5" s="798"/>
      <c r="FX5" s="798"/>
      <c r="FY5" s="798"/>
      <c r="FZ5" s="798"/>
      <c r="GA5" s="798"/>
      <c r="GB5" s="798"/>
      <c r="GC5" s="798"/>
      <c r="GD5" s="798"/>
      <c r="GE5" s="798"/>
      <c r="GF5" s="798"/>
      <c r="GG5" s="798"/>
      <c r="GH5" s="798"/>
      <c r="GI5" s="798"/>
      <c r="GJ5" s="798"/>
      <c r="GK5" s="798"/>
      <c r="GL5" s="798"/>
      <c r="GM5" s="798"/>
      <c r="GN5" s="798"/>
      <c r="GO5" s="798"/>
      <c r="GP5" s="798"/>
      <c r="GQ5" s="798"/>
      <c r="GR5" s="798"/>
      <c r="GS5" s="798"/>
      <c r="GT5" s="798"/>
      <c r="GU5" s="798"/>
      <c r="GV5" s="798"/>
      <c r="GW5" s="798"/>
      <c r="GX5" s="798"/>
      <c r="GY5" s="798"/>
      <c r="GZ5" s="798"/>
      <c r="HA5" s="798"/>
      <c r="HB5" s="798"/>
      <c r="HC5" s="798"/>
      <c r="HD5" s="798"/>
      <c r="HE5" s="798"/>
      <c r="HF5" s="798"/>
      <c r="HG5" s="798"/>
      <c r="HH5" s="798"/>
      <c r="HI5" s="798"/>
      <c r="HJ5" s="798"/>
      <c r="HK5" s="798"/>
      <c r="HL5" s="798"/>
      <c r="HM5" s="798"/>
      <c r="HN5" s="798"/>
      <c r="HO5" s="798"/>
      <c r="HP5" s="798"/>
      <c r="HQ5" s="798"/>
      <c r="HR5" s="798"/>
      <c r="HS5" s="798"/>
      <c r="HT5" s="798"/>
      <c r="HU5" s="798"/>
      <c r="HV5" s="798"/>
      <c r="HW5" s="798"/>
      <c r="HX5" s="798"/>
      <c r="HY5" s="798"/>
      <c r="HZ5" s="798"/>
      <c r="IA5" s="798"/>
      <c r="IB5" s="798"/>
    </row>
    <row r="6" s="814" customFormat="true" ht="29.25" hidden="false" customHeight="true" outlineLevel="0" collapsed="false">
      <c r="A6" s="810"/>
      <c r="B6" s="811" t="s">
        <v>643</v>
      </c>
      <c r="C6" s="811"/>
      <c r="D6" s="811"/>
      <c r="E6" s="811"/>
      <c r="F6" s="812"/>
      <c r="G6" s="811" t="s">
        <v>644</v>
      </c>
      <c r="H6" s="811"/>
      <c r="I6" s="811"/>
      <c r="J6" s="811"/>
      <c r="K6" s="811"/>
      <c r="L6" s="811"/>
      <c r="M6" s="811"/>
      <c r="N6" s="811"/>
      <c r="O6" s="811"/>
      <c r="P6" s="811"/>
      <c r="Q6" s="811"/>
      <c r="R6" s="812"/>
      <c r="S6" s="812" t="s">
        <v>645</v>
      </c>
      <c r="T6" s="812"/>
      <c r="U6" s="811" t="s">
        <v>646</v>
      </c>
      <c r="V6" s="811"/>
      <c r="W6" s="811"/>
      <c r="X6" s="811"/>
      <c r="Y6" s="811"/>
      <c r="Z6" s="811"/>
      <c r="AA6" s="811"/>
      <c r="AB6" s="811"/>
      <c r="AC6" s="811"/>
      <c r="AD6" s="811"/>
      <c r="AE6" s="811"/>
      <c r="AF6" s="811"/>
      <c r="AG6" s="811"/>
      <c r="AH6" s="811"/>
      <c r="AI6" s="811"/>
      <c r="AJ6" s="811"/>
      <c r="AK6" s="811"/>
      <c r="AL6" s="811"/>
      <c r="AM6" s="811"/>
      <c r="AN6" s="811"/>
      <c r="AO6" s="811"/>
      <c r="AP6" s="811"/>
      <c r="AQ6" s="811"/>
      <c r="AR6" s="811"/>
      <c r="AS6" s="811"/>
      <c r="AT6" s="811"/>
      <c r="AU6" s="811"/>
      <c r="AV6" s="811"/>
      <c r="AW6" s="811"/>
      <c r="AX6" s="811"/>
      <c r="AY6" s="811"/>
      <c r="AZ6" s="811"/>
      <c r="BA6" s="811"/>
      <c r="BB6" s="813"/>
    </row>
    <row r="7" s="815" customFormat="true" ht="37.5" hidden="false" customHeight="true" outlineLevel="0" collapsed="false">
      <c r="B7" s="816" t="s">
        <v>647</v>
      </c>
      <c r="C7" s="816"/>
      <c r="D7" s="816"/>
      <c r="E7" s="816"/>
      <c r="F7" s="817"/>
      <c r="G7" s="818" t="s">
        <v>648</v>
      </c>
      <c r="H7" s="818"/>
      <c r="I7" s="818"/>
      <c r="J7" s="818"/>
      <c r="K7" s="818"/>
      <c r="L7" s="819" t="s">
        <v>649</v>
      </c>
      <c r="M7" s="819"/>
      <c r="N7" s="819"/>
      <c r="O7" s="819"/>
      <c r="P7" s="819"/>
      <c r="Q7" s="819"/>
      <c r="R7" s="820" t="s">
        <v>650</v>
      </c>
      <c r="S7" s="820"/>
      <c r="T7" s="820"/>
      <c r="U7" s="821" t="s">
        <v>651</v>
      </c>
      <c r="V7" s="821"/>
      <c r="W7" s="821"/>
      <c r="X7" s="821"/>
      <c r="Y7" s="821"/>
      <c r="Z7" s="821"/>
      <c r="AA7" s="821"/>
      <c r="AB7" s="821"/>
      <c r="AC7" s="821"/>
      <c r="AD7" s="821"/>
      <c r="AE7" s="821"/>
      <c r="AF7" s="821"/>
      <c r="AG7" s="821"/>
      <c r="AH7" s="821"/>
      <c r="AI7" s="821"/>
      <c r="AJ7" s="821"/>
      <c r="AK7" s="821"/>
      <c r="AL7" s="821"/>
      <c r="AM7" s="821"/>
      <c r="AN7" s="821"/>
      <c r="AO7" s="821"/>
      <c r="AP7" s="821"/>
      <c r="AQ7" s="821"/>
      <c r="AR7" s="821"/>
      <c r="AS7" s="821"/>
      <c r="AT7" s="821"/>
      <c r="AU7" s="821"/>
      <c r="AV7" s="821"/>
      <c r="AW7" s="821"/>
      <c r="AX7" s="821"/>
      <c r="AY7" s="821"/>
      <c r="AZ7" s="821"/>
      <c r="BA7" s="821"/>
      <c r="BB7" s="822"/>
      <c r="BC7" s="823"/>
      <c r="BD7" s="823"/>
      <c r="BE7" s="823"/>
      <c r="BF7" s="823"/>
      <c r="BG7" s="823"/>
      <c r="BH7" s="823"/>
      <c r="BI7" s="823"/>
      <c r="BJ7" s="823"/>
      <c r="BK7" s="823"/>
      <c r="BL7" s="823"/>
      <c r="BM7" s="823"/>
      <c r="BN7" s="823"/>
      <c r="BO7" s="823"/>
      <c r="BP7" s="823"/>
      <c r="BQ7" s="823"/>
      <c r="BR7" s="823"/>
      <c r="BS7" s="823"/>
      <c r="BT7" s="823"/>
      <c r="BU7" s="823"/>
      <c r="BV7" s="823"/>
      <c r="BW7" s="823"/>
      <c r="BX7" s="823"/>
      <c r="BY7" s="823"/>
      <c r="BZ7" s="823"/>
      <c r="CA7" s="823"/>
      <c r="CB7" s="823"/>
      <c r="CC7" s="823"/>
      <c r="CD7" s="823"/>
      <c r="CE7" s="823"/>
      <c r="CF7" s="823"/>
      <c r="CG7" s="823"/>
      <c r="CH7" s="823"/>
      <c r="CI7" s="823"/>
      <c r="CJ7" s="823"/>
      <c r="CK7" s="823"/>
      <c r="CL7" s="823"/>
      <c r="CM7" s="823"/>
      <c r="CN7" s="823"/>
      <c r="CO7" s="823"/>
      <c r="CP7" s="823"/>
      <c r="CQ7" s="823"/>
      <c r="CR7" s="823"/>
      <c r="CS7" s="823"/>
      <c r="CT7" s="823"/>
      <c r="CU7" s="823"/>
      <c r="CV7" s="823"/>
      <c r="CW7" s="823"/>
      <c r="CX7" s="823"/>
      <c r="CY7" s="823"/>
      <c r="CZ7" s="823"/>
      <c r="DA7" s="823"/>
      <c r="DB7" s="823"/>
      <c r="DC7" s="823"/>
      <c r="DD7" s="823"/>
      <c r="DE7" s="823"/>
      <c r="DF7" s="823"/>
      <c r="DG7" s="823"/>
      <c r="DH7" s="823"/>
      <c r="DI7" s="823"/>
      <c r="DJ7" s="823"/>
      <c r="DK7" s="823"/>
      <c r="DL7" s="823"/>
      <c r="DM7" s="823"/>
      <c r="DN7" s="823"/>
      <c r="DO7" s="823"/>
      <c r="DP7" s="823"/>
      <c r="DQ7" s="823"/>
      <c r="DR7" s="823"/>
      <c r="DS7" s="823"/>
      <c r="DT7" s="823"/>
      <c r="DU7" s="823"/>
      <c r="DV7" s="823"/>
      <c r="DW7" s="823"/>
      <c r="DX7" s="823"/>
      <c r="DY7" s="823"/>
      <c r="DZ7" s="823"/>
      <c r="EA7" s="823"/>
      <c r="EB7" s="823"/>
      <c r="EC7" s="823"/>
      <c r="ED7" s="823"/>
      <c r="EE7" s="823"/>
      <c r="EF7" s="823"/>
      <c r="EG7" s="823"/>
      <c r="EH7" s="823"/>
      <c r="EI7" s="823"/>
      <c r="EJ7" s="823"/>
      <c r="EK7" s="823"/>
      <c r="EL7" s="823"/>
      <c r="EM7" s="823"/>
      <c r="EN7" s="823"/>
      <c r="EO7" s="823"/>
      <c r="EP7" s="823"/>
      <c r="EQ7" s="823"/>
      <c r="ER7" s="823"/>
      <c r="ES7" s="823"/>
      <c r="ET7" s="823"/>
      <c r="EU7" s="823"/>
      <c r="EV7" s="823"/>
      <c r="EW7" s="823"/>
      <c r="EX7" s="823"/>
      <c r="EY7" s="823"/>
      <c r="EZ7" s="823"/>
      <c r="FA7" s="823"/>
      <c r="FB7" s="823"/>
      <c r="FC7" s="823"/>
      <c r="FD7" s="823"/>
      <c r="FE7" s="823"/>
      <c r="FF7" s="823"/>
      <c r="FG7" s="823"/>
      <c r="FH7" s="823"/>
      <c r="FI7" s="823"/>
      <c r="FJ7" s="823"/>
      <c r="FK7" s="823"/>
      <c r="FL7" s="823"/>
      <c r="FM7" s="823"/>
      <c r="FN7" s="823"/>
      <c r="FO7" s="823"/>
      <c r="FP7" s="823"/>
      <c r="FQ7" s="823"/>
      <c r="FR7" s="823"/>
      <c r="FS7" s="823"/>
      <c r="FT7" s="823"/>
      <c r="FU7" s="823"/>
      <c r="FV7" s="823"/>
      <c r="FW7" s="823"/>
      <c r="FX7" s="823"/>
      <c r="FY7" s="823"/>
      <c r="FZ7" s="823"/>
      <c r="GA7" s="823"/>
      <c r="GB7" s="823"/>
      <c r="GC7" s="823"/>
      <c r="GD7" s="823"/>
      <c r="GE7" s="823"/>
      <c r="GF7" s="823"/>
      <c r="GG7" s="823"/>
      <c r="GH7" s="823"/>
      <c r="GI7" s="823"/>
      <c r="GJ7" s="823"/>
      <c r="GK7" s="823"/>
      <c r="GL7" s="823"/>
      <c r="GM7" s="823"/>
      <c r="GN7" s="823"/>
      <c r="GO7" s="823"/>
      <c r="GP7" s="823"/>
      <c r="GQ7" s="823"/>
      <c r="GR7" s="823"/>
      <c r="GS7" s="823"/>
      <c r="GT7" s="823"/>
      <c r="GU7" s="823"/>
      <c r="GV7" s="823"/>
      <c r="GW7" s="823"/>
      <c r="GX7" s="823"/>
      <c r="GY7" s="823"/>
      <c r="GZ7" s="823"/>
      <c r="HA7" s="823"/>
      <c r="HB7" s="823"/>
      <c r="HC7" s="823"/>
      <c r="HD7" s="823"/>
      <c r="HE7" s="823"/>
      <c r="HF7" s="823"/>
      <c r="HG7" s="823"/>
      <c r="HH7" s="823"/>
      <c r="HI7" s="823"/>
      <c r="HJ7" s="823"/>
      <c r="HK7" s="823"/>
      <c r="HL7" s="823"/>
      <c r="HM7" s="823"/>
      <c r="HN7" s="823"/>
      <c r="HO7" s="823"/>
      <c r="HP7" s="823"/>
      <c r="HQ7" s="823"/>
      <c r="HR7" s="823"/>
      <c r="HS7" s="823"/>
      <c r="HT7" s="823"/>
      <c r="HU7" s="823"/>
      <c r="HV7" s="823"/>
      <c r="HW7" s="823"/>
      <c r="HX7" s="823"/>
      <c r="HY7" s="823"/>
      <c r="HZ7" s="823"/>
      <c r="IA7" s="823"/>
      <c r="IB7" s="823"/>
    </row>
    <row r="8" s="796" customFormat="true" ht="13.8" hidden="false" customHeight="false" outlineLevel="0" collapsed="false">
      <c r="B8" s="824"/>
      <c r="C8" s="824"/>
      <c r="D8" s="825"/>
      <c r="E8" s="826"/>
      <c r="F8" s="827"/>
      <c r="G8" s="828"/>
      <c r="H8" s="828"/>
      <c r="I8" s="828"/>
      <c r="J8" s="828"/>
      <c r="K8" s="828"/>
      <c r="L8" s="829"/>
      <c r="M8" s="829"/>
      <c r="N8" s="829"/>
      <c r="O8" s="829"/>
      <c r="P8" s="829"/>
      <c r="Q8" s="829"/>
      <c r="R8" s="829"/>
      <c r="S8" s="829"/>
      <c r="T8" s="829"/>
      <c r="U8" s="826"/>
      <c r="V8" s="826"/>
      <c r="W8" s="826"/>
      <c r="X8" s="826"/>
      <c r="Y8" s="826"/>
      <c r="Z8" s="827"/>
      <c r="AA8" s="827"/>
      <c r="AB8" s="827"/>
      <c r="AC8" s="827"/>
      <c r="AD8" s="827"/>
      <c r="AE8" s="827"/>
      <c r="AF8" s="827"/>
      <c r="AG8" s="827"/>
      <c r="AH8" s="827"/>
      <c r="AI8" s="830"/>
      <c r="AJ8" s="827"/>
      <c r="AK8" s="827"/>
      <c r="AL8" s="831"/>
      <c r="AM8" s="824"/>
      <c r="AN8" s="824"/>
      <c r="AO8" s="824"/>
      <c r="AP8" s="824"/>
      <c r="AQ8" s="824"/>
      <c r="AR8" s="824"/>
      <c r="AS8" s="824"/>
      <c r="AT8" s="824"/>
      <c r="AU8" s="824"/>
      <c r="AV8" s="824"/>
      <c r="AW8" s="824"/>
      <c r="AX8" s="824"/>
      <c r="AY8" s="824"/>
      <c r="AZ8" s="824"/>
      <c r="BA8" s="824"/>
      <c r="BB8" s="824"/>
      <c r="BC8" s="824"/>
      <c r="BD8" s="824"/>
      <c r="BE8" s="824"/>
      <c r="BF8" s="824"/>
      <c r="BG8" s="824"/>
      <c r="BH8" s="824"/>
      <c r="BI8" s="824"/>
      <c r="BJ8" s="824"/>
      <c r="BK8" s="824"/>
      <c r="BL8" s="824"/>
      <c r="BM8" s="824"/>
      <c r="BN8" s="824"/>
      <c r="BO8" s="824"/>
      <c r="BP8" s="824"/>
      <c r="BQ8" s="824"/>
      <c r="BR8" s="824"/>
      <c r="BS8" s="824"/>
      <c r="BT8" s="824"/>
      <c r="BU8" s="824"/>
      <c r="BV8" s="824"/>
      <c r="BW8" s="824"/>
      <c r="BX8" s="824"/>
      <c r="BY8" s="824"/>
      <c r="BZ8" s="824"/>
      <c r="CA8" s="824"/>
      <c r="CB8" s="824"/>
      <c r="CC8" s="824"/>
      <c r="CD8" s="824"/>
      <c r="CE8" s="824"/>
      <c r="CF8" s="824"/>
      <c r="CG8" s="824"/>
      <c r="CH8" s="824"/>
      <c r="CI8" s="824"/>
      <c r="CJ8" s="824"/>
      <c r="CK8" s="824"/>
      <c r="CL8" s="824"/>
      <c r="CM8" s="824"/>
      <c r="CN8" s="824"/>
      <c r="CO8" s="824"/>
      <c r="CP8" s="824"/>
      <c r="CQ8" s="824"/>
      <c r="CR8" s="824"/>
      <c r="CS8" s="824"/>
      <c r="CT8" s="824"/>
      <c r="CU8" s="824"/>
      <c r="CV8" s="824"/>
      <c r="CW8" s="824"/>
      <c r="CX8" s="824"/>
      <c r="CY8" s="824"/>
      <c r="CZ8" s="824"/>
      <c r="DA8" s="824"/>
      <c r="DB8" s="824"/>
      <c r="DC8" s="824"/>
      <c r="DD8" s="824"/>
      <c r="DE8" s="824"/>
      <c r="DF8" s="824"/>
      <c r="DG8" s="824"/>
      <c r="DH8" s="824"/>
      <c r="DI8" s="824"/>
      <c r="DJ8" s="824"/>
      <c r="DK8" s="824"/>
      <c r="DL8" s="824"/>
      <c r="DM8" s="824"/>
      <c r="DN8" s="824"/>
      <c r="DO8" s="824"/>
      <c r="DP8" s="824"/>
      <c r="DQ8" s="824"/>
      <c r="DR8" s="824"/>
      <c r="DS8" s="824"/>
      <c r="DT8" s="824"/>
      <c r="DU8" s="824"/>
      <c r="DV8" s="824"/>
      <c r="DW8" s="824"/>
      <c r="DX8" s="824"/>
      <c r="DY8" s="824"/>
      <c r="DZ8" s="824"/>
      <c r="EA8" s="824"/>
      <c r="EB8" s="824"/>
      <c r="EC8" s="824"/>
      <c r="ED8" s="824"/>
      <c r="EE8" s="824"/>
      <c r="EF8" s="824"/>
      <c r="EG8" s="824"/>
      <c r="EH8" s="824"/>
      <c r="EI8" s="824"/>
      <c r="EJ8" s="824"/>
      <c r="EK8" s="824"/>
      <c r="EL8" s="824"/>
      <c r="EM8" s="824"/>
      <c r="EN8" s="824"/>
      <c r="EO8" s="824"/>
      <c r="EP8" s="824"/>
      <c r="EQ8" s="824"/>
      <c r="ER8" s="824"/>
      <c r="ES8" s="824"/>
      <c r="ET8" s="824"/>
      <c r="EU8" s="824"/>
      <c r="EV8" s="824"/>
      <c r="EW8" s="824"/>
      <c r="EX8" s="824"/>
      <c r="EY8" s="824"/>
      <c r="EZ8" s="824"/>
      <c r="FA8" s="824"/>
      <c r="FB8" s="824"/>
      <c r="FC8" s="824"/>
      <c r="FD8" s="824"/>
      <c r="FE8" s="824"/>
      <c r="FF8" s="824"/>
      <c r="FG8" s="824"/>
      <c r="FH8" s="824"/>
      <c r="FI8" s="824"/>
      <c r="FJ8" s="824"/>
      <c r="FK8" s="824"/>
      <c r="FL8" s="824"/>
      <c r="FM8" s="824"/>
      <c r="FN8" s="824"/>
      <c r="FO8" s="824"/>
      <c r="FP8" s="824"/>
      <c r="FQ8" s="824"/>
      <c r="FR8" s="824"/>
      <c r="FS8" s="824"/>
      <c r="FT8" s="824"/>
      <c r="FU8" s="824"/>
      <c r="FV8" s="824"/>
      <c r="FW8" s="824"/>
      <c r="FX8" s="824"/>
      <c r="FY8" s="824"/>
      <c r="FZ8" s="824"/>
      <c r="GA8" s="824"/>
      <c r="GB8" s="824"/>
      <c r="GC8" s="824"/>
      <c r="GD8" s="824"/>
      <c r="GE8" s="824"/>
      <c r="GF8" s="824"/>
      <c r="GG8" s="824"/>
      <c r="GH8" s="824"/>
      <c r="GI8" s="824"/>
      <c r="GJ8" s="824"/>
      <c r="GK8" s="824"/>
      <c r="GL8" s="824"/>
      <c r="GM8" s="824"/>
      <c r="GN8" s="824"/>
      <c r="GO8" s="824"/>
      <c r="GP8" s="824"/>
      <c r="GQ8" s="824"/>
      <c r="GR8" s="824"/>
      <c r="GS8" s="824"/>
      <c r="GT8" s="824"/>
      <c r="GU8" s="824"/>
      <c r="GV8" s="824"/>
      <c r="GW8" s="824"/>
      <c r="GX8" s="824"/>
      <c r="GY8" s="824"/>
      <c r="GZ8" s="824"/>
      <c r="HA8" s="824"/>
      <c r="HB8" s="824"/>
      <c r="HC8" s="824"/>
      <c r="HD8" s="824"/>
      <c r="HE8" s="824"/>
      <c r="HF8" s="824"/>
      <c r="HG8" s="824"/>
      <c r="HH8" s="824"/>
      <c r="HI8" s="824"/>
      <c r="HJ8" s="824"/>
      <c r="HK8" s="824"/>
      <c r="HL8" s="824"/>
      <c r="HM8" s="824"/>
      <c r="HN8" s="824"/>
      <c r="HO8" s="824"/>
      <c r="HP8" s="824"/>
      <c r="HQ8" s="824"/>
      <c r="HR8" s="824"/>
      <c r="HS8" s="824"/>
      <c r="HT8" s="824"/>
      <c r="HU8" s="824"/>
      <c r="HV8" s="824"/>
      <c r="HW8" s="824"/>
      <c r="HX8" s="824"/>
      <c r="HY8" s="824"/>
      <c r="HZ8" s="824"/>
      <c r="IA8" s="824"/>
      <c r="IB8" s="824"/>
    </row>
    <row r="9" customFormat="false" ht="43.5" hidden="false" customHeight="true" outlineLevel="0" collapsed="false">
      <c r="B9" s="832" t="s">
        <v>349</v>
      </c>
      <c r="C9" s="833" t="s">
        <v>317</v>
      </c>
      <c r="D9" s="832" t="s">
        <v>316</v>
      </c>
      <c r="E9" s="834" t="s">
        <v>652</v>
      </c>
      <c r="F9" s="835"/>
      <c r="G9" s="836" t="s">
        <v>600</v>
      </c>
      <c r="H9" s="836" t="s">
        <v>653</v>
      </c>
      <c r="I9" s="836" t="s">
        <v>599</v>
      </c>
      <c r="J9" s="836" t="s">
        <v>654</v>
      </c>
      <c r="K9" s="837" t="s">
        <v>655</v>
      </c>
      <c r="L9" s="836" t="s">
        <v>656</v>
      </c>
      <c r="M9" s="836" t="s">
        <v>657</v>
      </c>
      <c r="N9" s="838" t="s">
        <v>658</v>
      </c>
      <c r="O9" s="836" t="s">
        <v>659</v>
      </c>
      <c r="P9" s="836" t="s">
        <v>660</v>
      </c>
      <c r="Q9" s="838" t="s">
        <v>661</v>
      </c>
      <c r="R9" s="839" t="s">
        <v>662</v>
      </c>
      <c r="S9" s="839" t="s">
        <v>663</v>
      </c>
      <c r="T9" s="839" t="s">
        <v>664</v>
      </c>
      <c r="U9" s="840" t="s">
        <v>665</v>
      </c>
      <c r="V9" s="840"/>
      <c r="W9" s="840"/>
      <c r="X9" s="840"/>
      <c r="Y9" s="840"/>
      <c r="Z9" s="840" t="s">
        <v>666</v>
      </c>
      <c r="AA9" s="840"/>
      <c r="AB9" s="840"/>
      <c r="AC9" s="840"/>
      <c r="AD9" s="840"/>
      <c r="AE9" s="840"/>
      <c r="AF9" s="840"/>
      <c r="AG9" s="840"/>
      <c r="AH9" s="840"/>
      <c r="AI9" s="840"/>
      <c r="AJ9" s="840"/>
      <c r="AK9" s="840"/>
      <c r="AL9" s="840" t="s">
        <v>667</v>
      </c>
      <c r="AM9" s="840"/>
      <c r="AN9" s="840"/>
      <c r="AO9" s="840"/>
      <c r="AP9" s="840"/>
      <c r="AQ9" s="840"/>
      <c r="AR9" s="840"/>
      <c r="AS9" s="840" t="s">
        <v>668</v>
      </c>
      <c r="AT9" s="840"/>
      <c r="AU9" s="840"/>
      <c r="AV9" s="840"/>
      <c r="AW9" s="840"/>
      <c r="AX9" s="840"/>
      <c r="AY9" s="840"/>
      <c r="AZ9" s="841" t="s">
        <v>669</v>
      </c>
      <c r="BA9" s="841"/>
      <c r="BB9" s="829"/>
      <c r="BC9" s="842"/>
      <c r="BD9" s="842"/>
      <c r="BE9" s="842"/>
      <c r="BF9" s="842"/>
      <c r="BG9" s="842"/>
      <c r="BH9" s="842"/>
      <c r="BI9" s="842"/>
      <c r="BJ9" s="842"/>
      <c r="BK9" s="842"/>
      <c r="BL9" s="842"/>
      <c r="BM9" s="842"/>
      <c r="BN9" s="842"/>
      <c r="BO9" s="842"/>
      <c r="BP9" s="842"/>
      <c r="BQ9" s="842"/>
      <c r="BR9" s="842"/>
      <c r="BS9" s="842"/>
      <c r="BT9" s="842"/>
      <c r="BU9" s="842"/>
      <c r="BV9" s="842"/>
      <c r="BW9" s="842"/>
      <c r="BX9" s="842"/>
      <c r="BY9" s="842"/>
      <c r="BZ9" s="842"/>
      <c r="CA9" s="842"/>
      <c r="CB9" s="842"/>
      <c r="CC9" s="842"/>
      <c r="CD9" s="842"/>
      <c r="CE9" s="842"/>
      <c r="CF9" s="842"/>
      <c r="CG9" s="842"/>
      <c r="CH9" s="842"/>
      <c r="CI9" s="842"/>
      <c r="CJ9" s="842"/>
      <c r="CK9" s="842"/>
      <c r="CL9" s="842"/>
      <c r="CM9" s="842"/>
      <c r="CN9" s="842"/>
      <c r="CO9" s="842"/>
      <c r="CP9" s="842"/>
      <c r="CQ9" s="842"/>
      <c r="CR9" s="842"/>
      <c r="CS9" s="842"/>
      <c r="CT9" s="842"/>
      <c r="CU9" s="842"/>
      <c r="CV9" s="842"/>
      <c r="CW9" s="842"/>
      <c r="CX9" s="842"/>
      <c r="CY9" s="842"/>
      <c r="CZ9" s="842"/>
      <c r="DA9" s="842"/>
      <c r="DB9" s="842"/>
      <c r="DC9" s="842"/>
      <c r="DD9" s="842"/>
      <c r="DE9" s="842"/>
      <c r="DF9" s="842"/>
      <c r="DG9" s="842"/>
      <c r="DH9" s="842"/>
      <c r="DI9" s="842"/>
      <c r="DJ9" s="842"/>
      <c r="DK9" s="842"/>
      <c r="DL9" s="842"/>
      <c r="DM9" s="842"/>
      <c r="DN9" s="842"/>
      <c r="DO9" s="842"/>
      <c r="DP9" s="842"/>
      <c r="DQ9" s="842"/>
      <c r="DR9" s="842"/>
      <c r="DS9" s="842"/>
      <c r="DT9" s="842"/>
      <c r="DU9" s="842"/>
      <c r="DV9" s="842"/>
      <c r="DW9" s="842"/>
      <c r="DX9" s="842"/>
      <c r="DY9" s="842"/>
      <c r="DZ9" s="842"/>
      <c r="EA9" s="842"/>
      <c r="EB9" s="842"/>
      <c r="EC9" s="842"/>
      <c r="ED9" s="842"/>
      <c r="EE9" s="842"/>
      <c r="EF9" s="842"/>
      <c r="EG9" s="842"/>
      <c r="EH9" s="842"/>
      <c r="EI9" s="842"/>
      <c r="EJ9" s="842"/>
      <c r="EK9" s="842"/>
      <c r="EL9" s="842"/>
      <c r="EM9" s="842"/>
      <c r="EN9" s="842"/>
      <c r="EO9" s="842"/>
      <c r="EP9" s="842"/>
      <c r="EQ9" s="842"/>
      <c r="ER9" s="842"/>
      <c r="ES9" s="842"/>
      <c r="ET9" s="842"/>
      <c r="EU9" s="842"/>
      <c r="EV9" s="842"/>
      <c r="EW9" s="842"/>
      <c r="EX9" s="842"/>
      <c r="EY9" s="842"/>
      <c r="EZ9" s="842"/>
      <c r="FA9" s="842"/>
      <c r="FB9" s="842"/>
      <c r="FC9" s="842"/>
      <c r="FD9" s="842"/>
      <c r="FE9" s="842"/>
      <c r="FF9" s="842"/>
      <c r="FG9" s="842"/>
      <c r="FH9" s="842"/>
      <c r="FI9" s="842"/>
      <c r="FJ9" s="842"/>
      <c r="FK9" s="842"/>
      <c r="FL9" s="842"/>
      <c r="FM9" s="842"/>
      <c r="FN9" s="842"/>
      <c r="FO9" s="842"/>
      <c r="FP9" s="842"/>
      <c r="FQ9" s="842"/>
      <c r="FR9" s="842"/>
      <c r="FS9" s="842"/>
      <c r="FT9" s="842"/>
      <c r="FU9" s="842"/>
      <c r="FV9" s="842"/>
      <c r="FW9" s="842"/>
      <c r="FX9" s="842"/>
      <c r="FY9" s="842"/>
      <c r="FZ9" s="842"/>
      <c r="GA9" s="842"/>
      <c r="GB9" s="842"/>
      <c r="GC9" s="842"/>
      <c r="GD9" s="842"/>
      <c r="GE9" s="842"/>
      <c r="GF9" s="842"/>
      <c r="GG9" s="842"/>
      <c r="GH9" s="842"/>
      <c r="GI9" s="842"/>
      <c r="GJ9" s="842"/>
      <c r="GK9" s="842"/>
      <c r="GL9" s="842"/>
      <c r="GM9" s="842"/>
      <c r="GN9" s="842"/>
      <c r="GO9" s="842"/>
      <c r="GP9" s="842"/>
      <c r="GQ9" s="842"/>
      <c r="GR9" s="842"/>
      <c r="GS9" s="842"/>
      <c r="GT9" s="842"/>
      <c r="GU9" s="842"/>
      <c r="GV9" s="842"/>
      <c r="GW9" s="842"/>
      <c r="GX9" s="842"/>
      <c r="GY9" s="842"/>
      <c r="GZ9" s="842"/>
      <c r="HA9" s="842"/>
      <c r="HB9" s="842"/>
      <c r="HC9" s="842"/>
      <c r="HD9" s="842"/>
      <c r="HE9" s="842"/>
      <c r="HF9" s="842"/>
      <c r="HG9" s="842"/>
      <c r="HH9" s="842"/>
      <c r="HI9" s="842"/>
      <c r="HJ9" s="842"/>
      <c r="HK9" s="842"/>
      <c r="HL9" s="842"/>
      <c r="HM9" s="842"/>
      <c r="HN9" s="842"/>
      <c r="HO9" s="842"/>
      <c r="HP9" s="842"/>
      <c r="HQ9" s="842"/>
      <c r="HR9" s="842"/>
      <c r="HS9" s="842"/>
      <c r="HT9" s="842"/>
      <c r="HU9" s="842"/>
      <c r="HV9" s="842"/>
      <c r="HW9" s="842"/>
      <c r="HX9" s="842"/>
      <c r="HY9" s="842"/>
      <c r="HZ9" s="842"/>
      <c r="IA9" s="842"/>
      <c r="IB9" s="842"/>
    </row>
    <row r="10" customFormat="false" ht="68.65" hidden="false" customHeight="false" outlineLevel="0" collapsed="false">
      <c r="B10" s="832"/>
      <c r="C10" s="833"/>
      <c r="D10" s="832"/>
      <c r="E10" s="834"/>
      <c r="F10" s="843"/>
      <c r="G10" s="836"/>
      <c r="H10" s="836"/>
      <c r="I10" s="836"/>
      <c r="J10" s="836"/>
      <c r="K10" s="837"/>
      <c r="L10" s="836"/>
      <c r="M10" s="836"/>
      <c r="N10" s="838"/>
      <c r="O10" s="836"/>
      <c r="P10" s="836"/>
      <c r="Q10" s="838"/>
      <c r="R10" s="839"/>
      <c r="S10" s="839"/>
      <c r="T10" s="839"/>
      <c r="U10" s="844" t="s">
        <v>670</v>
      </c>
      <c r="V10" s="844" t="s">
        <v>671</v>
      </c>
      <c r="W10" s="844" t="s">
        <v>672</v>
      </c>
      <c r="X10" s="844" t="s">
        <v>673</v>
      </c>
      <c r="Y10" s="844" t="s">
        <v>674</v>
      </c>
      <c r="Z10" s="844" t="s">
        <v>675</v>
      </c>
      <c r="AA10" s="844" t="s">
        <v>676</v>
      </c>
      <c r="AB10" s="845" t="s">
        <v>677</v>
      </c>
      <c r="AC10" s="844" t="s">
        <v>678</v>
      </c>
      <c r="AD10" s="845" t="s">
        <v>679</v>
      </c>
      <c r="AE10" s="845" t="s">
        <v>680</v>
      </c>
      <c r="AF10" s="844" t="s">
        <v>681</v>
      </c>
      <c r="AG10" s="844" t="s">
        <v>682</v>
      </c>
      <c r="AH10" s="844" t="s">
        <v>683</v>
      </c>
      <c r="AI10" s="846" t="s">
        <v>684</v>
      </c>
      <c r="AJ10" s="844" t="s">
        <v>685</v>
      </c>
      <c r="AK10" s="844" t="s">
        <v>686</v>
      </c>
      <c r="AL10" s="847" t="s">
        <v>687</v>
      </c>
      <c r="AM10" s="847" t="s">
        <v>688</v>
      </c>
      <c r="AN10" s="847" t="s">
        <v>689</v>
      </c>
      <c r="AO10" s="847" t="s">
        <v>690</v>
      </c>
      <c r="AP10" s="848" t="s">
        <v>691</v>
      </c>
      <c r="AQ10" s="847" t="s">
        <v>692</v>
      </c>
      <c r="AR10" s="847" t="s">
        <v>693</v>
      </c>
      <c r="AS10" s="847" t="s">
        <v>694</v>
      </c>
      <c r="AT10" s="847" t="s">
        <v>695</v>
      </c>
      <c r="AU10" s="847" t="s">
        <v>696</v>
      </c>
      <c r="AV10" s="847" t="s">
        <v>697</v>
      </c>
      <c r="AW10" s="847" t="s">
        <v>698</v>
      </c>
      <c r="AX10" s="847" t="s">
        <v>699</v>
      </c>
      <c r="AY10" s="847" t="s">
        <v>700</v>
      </c>
      <c r="AZ10" s="849" t="s">
        <v>701</v>
      </c>
      <c r="BA10" s="848" t="s">
        <v>702</v>
      </c>
      <c r="BB10" s="850"/>
      <c r="BC10" s="815"/>
      <c r="BD10" s="815"/>
      <c r="BE10" s="815"/>
      <c r="BF10" s="815"/>
      <c r="BG10" s="815"/>
      <c r="BH10" s="815"/>
      <c r="BI10" s="815"/>
      <c r="BJ10" s="815"/>
      <c r="BK10" s="815"/>
      <c r="BL10" s="815"/>
      <c r="BM10" s="815"/>
      <c r="BN10" s="815"/>
      <c r="BO10" s="815"/>
      <c r="BP10" s="815"/>
      <c r="BQ10" s="815"/>
      <c r="BR10" s="815"/>
      <c r="BS10" s="815"/>
      <c r="BT10" s="815"/>
      <c r="BU10" s="815"/>
      <c r="BV10" s="815"/>
      <c r="BW10" s="815"/>
      <c r="BX10" s="815"/>
      <c r="BY10" s="815"/>
      <c r="BZ10" s="815"/>
      <c r="CA10" s="815"/>
      <c r="CB10" s="815"/>
      <c r="CC10" s="815"/>
      <c r="CD10" s="815"/>
      <c r="CE10" s="815"/>
      <c r="CF10" s="815"/>
      <c r="CG10" s="815"/>
      <c r="CH10" s="815"/>
      <c r="CI10" s="815"/>
      <c r="CJ10" s="815"/>
      <c r="CK10" s="815"/>
      <c r="CL10" s="815"/>
      <c r="CM10" s="815"/>
      <c r="CN10" s="815"/>
      <c r="CO10" s="815"/>
      <c r="CP10" s="815"/>
      <c r="CQ10" s="815"/>
      <c r="CR10" s="815"/>
      <c r="CS10" s="815"/>
      <c r="CT10" s="815"/>
      <c r="CU10" s="815"/>
      <c r="CV10" s="815"/>
      <c r="CW10" s="815"/>
      <c r="CX10" s="815"/>
      <c r="CY10" s="815"/>
      <c r="CZ10" s="815"/>
      <c r="DA10" s="815"/>
      <c r="DB10" s="815"/>
      <c r="DC10" s="815"/>
      <c r="DD10" s="815"/>
      <c r="DE10" s="815"/>
      <c r="DF10" s="815"/>
      <c r="DG10" s="815"/>
      <c r="DH10" s="815"/>
      <c r="DI10" s="815"/>
      <c r="DJ10" s="815"/>
      <c r="DK10" s="815"/>
      <c r="DL10" s="815"/>
      <c r="DM10" s="815"/>
      <c r="DN10" s="815"/>
      <c r="DO10" s="815"/>
      <c r="DP10" s="815"/>
      <c r="DQ10" s="815"/>
      <c r="DR10" s="815"/>
      <c r="DS10" s="815"/>
      <c r="DT10" s="815"/>
      <c r="DU10" s="815"/>
      <c r="DV10" s="815"/>
      <c r="DW10" s="815"/>
      <c r="DX10" s="815"/>
      <c r="DY10" s="815"/>
      <c r="DZ10" s="815"/>
      <c r="EA10" s="815"/>
      <c r="EB10" s="815"/>
      <c r="EC10" s="815"/>
      <c r="ED10" s="815"/>
      <c r="EE10" s="815"/>
      <c r="EF10" s="815"/>
      <c r="EG10" s="815"/>
      <c r="EH10" s="815"/>
      <c r="EI10" s="815"/>
      <c r="EJ10" s="815"/>
      <c r="EK10" s="815"/>
      <c r="EL10" s="815"/>
      <c r="EM10" s="815"/>
      <c r="EN10" s="815"/>
      <c r="EO10" s="815"/>
      <c r="EP10" s="815"/>
      <c r="EQ10" s="815"/>
      <c r="ER10" s="815"/>
      <c r="ES10" s="815"/>
      <c r="ET10" s="815"/>
      <c r="EU10" s="815"/>
      <c r="EV10" s="815"/>
      <c r="EW10" s="815"/>
      <c r="EX10" s="815"/>
      <c r="EY10" s="815"/>
      <c r="EZ10" s="815"/>
      <c r="FA10" s="815"/>
      <c r="FB10" s="815"/>
      <c r="FC10" s="815"/>
      <c r="FD10" s="815"/>
      <c r="FE10" s="815"/>
      <c r="FF10" s="815"/>
      <c r="FG10" s="815"/>
      <c r="FH10" s="815"/>
      <c r="FI10" s="815"/>
      <c r="FJ10" s="815"/>
      <c r="FK10" s="815"/>
      <c r="FL10" s="815"/>
      <c r="FM10" s="815"/>
      <c r="FN10" s="815"/>
      <c r="FO10" s="815"/>
      <c r="FP10" s="815"/>
      <c r="FQ10" s="815"/>
      <c r="FR10" s="815"/>
      <c r="FS10" s="815"/>
      <c r="FT10" s="815"/>
      <c r="FU10" s="815"/>
      <c r="FV10" s="815"/>
      <c r="FW10" s="815"/>
      <c r="FX10" s="815"/>
      <c r="FY10" s="815"/>
      <c r="FZ10" s="815"/>
      <c r="GA10" s="815"/>
      <c r="GB10" s="815"/>
      <c r="GC10" s="815"/>
      <c r="GD10" s="815"/>
      <c r="GE10" s="815"/>
      <c r="GF10" s="815"/>
      <c r="GG10" s="815"/>
      <c r="GH10" s="815"/>
      <c r="GI10" s="815"/>
      <c r="GJ10" s="815"/>
      <c r="GK10" s="815"/>
      <c r="GL10" s="815"/>
      <c r="GM10" s="815"/>
      <c r="GN10" s="815"/>
      <c r="GO10" s="815"/>
      <c r="GP10" s="815"/>
      <c r="GQ10" s="815"/>
      <c r="GR10" s="815"/>
      <c r="GS10" s="815"/>
      <c r="GT10" s="815"/>
      <c r="GU10" s="815"/>
      <c r="GV10" s="815"/>
      <c r="GW10" s="815"/>
      <c r="GX10" s="815"/>
      <c r="GY10" s="815"/>
      <c r="GZ10" s="815"/>
      <c r="HA10" s="815"/>
      <c r="HB10" s="815"/>
      <c r="HC10" s="815"/>
      <c r="HD10" s="815"/>
      <c r="HE10" s="815"/>
      <c r="HF10" s="815"/>
      <c r="HG10" s="815"/>
      <c r="HH10" s="815"/>
      <c r="HI10" s="815"/>
      <c r="HJ10" s="815"/>
      <c r="HK10" s="815"/>
      <c r="HL10" s="815"/>
      <c r="HM10" s="815"/>
      <c r="HN10" s="815"/>
      <c r="HO10" s="815"/>
      <c r="HP10" s="815"/>
      <c r="HQ10" s="815"/>
      <c r="HR10" s="815"/>
      <c r="HS10" s="815"/>
      <c r="HT10" s="815"/>
      <c r="HU10" s="815"/>
      <c r="HV10" s="815"/>
      <c r="HW10" s="815"/>
      <c r="HX10" s="815"/>
      <c r="HY10" s="815"/>
      <c r="HZ10" s="815"/>
      <c r="IA10" s="815"/>
      <c r="IB10" s="815"/>
    </row>
    <row r="11" customFormat="false" ht="19.5" hidden="false" customHeight="true" outlineLevel="0" collapsed="false">
      <c r="B11" s="851" t="n">
        <v>1</v>
      </c>
      <c r="C11" s="852"/>
      <c r="D11" s="853" t="s">
        <v>73</v>
      </c>
      <c r="E11" s="854" t="s">
        <v>586</v>
      </c>
      <c r="F11" s="824"/>
      <c r="G11" s="855" t="n">
        <v>2</v>
      </c>
      <c r="H11" s="855" t="n">
        <v>1</v>
      </c>
      <c r="I11" s="855" t="n">
        <v>1</v>
      </c>
      <c r="J11" s="855" t="n">
        <v>0</v>
      </c>
      <c r="K11" s="855" t="n">
        <f aca="false">+SUM(G11:J11)</f>
        <v>4</v>
      </c>
      <c r="L11" s="856" t="n">
        <f aca="false">+J33</f>
        <v>10</v>
      </c>
      <c r="M11" s="856" t="n">
        <f aca="false">+N33</f>
        <v>9</v>
      </c>
      <c r="N11" s="857" t="n">
        <f aca="false">+SUM(L11:M11)</f>
        <v>19</v>
      </c>
      <c r="O11" s="857" t="n">
        <f aca="false">+V33</f>
        <v>65</v>
      </c>
      <c r="P11" s="857" t="n">
        <f aca="false">+AC33</f>
        <v>47</v>
      </c>
      <c r="Q11" s="857" t="n">
        <f aca="false">+SUM(O11:P11)</f>
        <v>112</v>
      </c>
      <c r="R11" s="857" t="n">
        <v>1</v>
      </c>
      <c r="S11" s="857" t="n">
        <v>1</v>
      </c>
      <c r="T11" s="857"/>
      <c r="U11" s="857" t="n">
        <v>1</v>
      </c>
      <c r="V11" s="857" t="n">
        <v>1</v>
      </c>
      <c r="W11" s="857" t="n">
        <v>1</v>
      </c>
      <c r="X11" s="857" t="n">
        <v>1</v>
      </c>
      <c r="Y11" s="857" t="n">
        <v>1</v>
      </c>
      <c r="Z11" s="857" t="n">
        <v>1</v>
      </c>
      <c r="AA11" s="857" t="n">
        <v>1</v>
      </c>
      <c r="AB11" s="857" t="n">
        <v>1</v>
      </c>
      <c r="AC11" s="857" t="n">
        <v>1</v>
      </c>
      <c r="AD11" s="857" t="n">
        <v>1</v>
      </c>
      <c r="AE11" s="857" t="n">
        <v>1</v>
      </c>
      <c r="AF11" s="857" t="n">
        <v>1</v>
      </c>
      <c r="AG11" s="857" t="n">
        <v>1</v>
      </c>
      <c r="AH11" s="857" t="n">
        <v>1</v>
      </c>
      <c r="AI11" s="858" t="s">
        <v>703</v>
      </c>
      <c r="AJ11" s="857" t="n">
        <v>1</v>
      </c>
      <c r="AK11" s="857" t="n">
        <v>1</v>
      </c>
      <c r="AL11" s="857" t="n">
        <v>1</v>
      </c>
      <c r="AM11" s="857" t="n">
        <v>1</v>
      </c>
      <c r="AN11" s="857" t="n">
        <v>1</v>
      </c>
      <c r="AO11" s="857" t="n">
        <v>1</v>
      </c>
      <c r="AP11" s="859"/>
      <c r="AQ11" s="857" t="n">
        <v>1</v>
      </c>
      <c r="AR11" s="857" t="n">
        <v>1</v>
      </c>
      <c r="AS11" s="857" t="n">
        <v>1</v>
      </c>
      <c r="AT11" s="857" t="n">
        <v>1</v>
      </c>
      <c r="AU11" s="857" t="n">
        <v>1</v>
      </c>
      <c r="AV11" s="857" t="n">
        <v>1</v>
      </c>
      <c r="AW11" s="857" t="n">
        <v>1</v>
      </c>
      <c r="AX11" s="857" t="n">
        <v>1</v>
      </c>
      <c r="AY11" s="857" t="n">
        <v>1</v>
      </c>
      <c r="AZ11" s="857" t="n">
        <v>1</v>
      </c>
      <c r="BA11" s="860"/>
      <c r="BB11" s="861"/>
      <c r="BC11" s="823"/>
      <c r="BD11" s="823"/>
      <c r="BE11" s="823"/>
      <c r="BF11" s="823"/>
      <c r="BG11" s="823"/>
      <c r="BH11" s="823"/>
      <c r="BI11" s="823"/>
      <c r="BJ11" s="823"/>
      <c r="BK11" s="823"/>
      <c r="BL11" s="823"/>
      <c r="BM11" s="823"/>
      <c r="BN11" s="823"/>
      <c r="BO11" s="823"/>
      <c r="BP11" s="823"/>
      <c r="BQ11" s="823"/>
      <c r="BR11" s="823"/>
      <c r="BS11" s="823"/>
      <c r="BT11" s="823"/>
      <c r="BU11" s="823"/>
      <c r="BV11" s="823"/>
      <c r="BW11" s="823"/>
      <c r="BX11" s="823"/>
      <c r="BY11" s="823"/>
      <c r="BZ11" s="823"/>
      <c r="CA11" s="823"/>
      <c r="CB11" s="823"/>
      <c r="CC11" s="823"/>
      <c r="CD11" s="823"/>
      <c r="CE11" s="823"/>
      <c r="CF11" s="823"/>
      <c r="CG11" s="823"/>
      <c r="CH11" s="823"/>
      <c r="CI11" s="823"/>
      <c r="CJ11" s="823"/>
      <c r="CK11" s="823"/>
      <c r="CL11" s="823"/>
      <c r="CM11" s="823"/>
      <c r="CN11" s="823"/>
      <c r="CO11" s="823"/>
      <c r="CP11" s="823"/>
      <c r="CQ11" s="823"/>
      <c r="CR11" s="823"/>
      <c r="CS11" s="823"/>
      <c r="CT11" s="823"/>
      <c r="CU11" s="823"/>
      <c r="CV11" s="823"/>
      <c r="CW11" s="823"/>
      <c r="CX11" s="823"/>
      <c r="CY11" s="823"/>
      <c r="CZ11" s="823"/>
      <c r="DA11" s="823"/>
      <c r="DB11" s="823"/>
      <c r="DC11" s="823"/>
      <c r="DD11" s="823"/>
      <c r="DE11" s="823"/>
      <c r="DF11" s="823"/>
      <c r="DG11" s="823"/>
      <c r="DH11" s="823"/>
      <c r="DI11" s="823"/>
      <c r="DJ11" s="823"/>
      <c r="DK11" s="823"/>
      <c r="DL11" s="823"/>
      <c r="DM11" s="823"/>
      <c r="DN11" s="823"/>
      <c r="DO11" s="823"/>
      <c r="DP11" s="823"/>
      <c r="DQ11" s="823"/>
      <c r="DR11" s="823"/>
      <c r="DS11" s="823"/>
      <c r="DT11" s="823"/>
      <c r="DU11" s="823"/>
      <c r="DV11" s="823"/>
      <c r="DW11" s="823"/>
      <c r="DX11" s="823"/>
      <c r="DY11" s="823"/>
      <c r="DZ11" s="823"/>
      <c r="EA11" s="823"/>
      <c r="EB11" s="823"/>
      <c r="EC11" s="823"/>
      <c r="ED11" s="823"/>
      <c r="EE11" s="823"/>
      <c r="EF11" s="823"/>
      <c r="EG11" s="823"/>
      <c r="EH11" s="823"/>
      <c r="EI11" s="823"/>
      <c r="EJ11" s="823"/>
      <c r="EK11" s="823"/>
      <c r="EL11" s="823"/>
      <c r="EM11" s="823"/>
      <c r="EN11" s="823"/>
      <c r="EO11" s="823"/>
      <c r="EP11" s="823"/>
      <c r="EQ11" s="823"/>
      <c r="ER11" s="823"/>
      <c r="ES11" s="823"/>
      <c r="ET11" s="823"/>
      <c r="EU11" s="823"/>
      <c r="EV11" s="823"/>
      <c r="EW11" s="823"/>
      <c r="EX11" s="823"/>
      <c r="EY11" s="823"/>
      <c r="EZ11" s="823"/>
      <c r="FA11" s="823"/>
      <c r="FB11" s="823"/>
      <c r="FC11" s="823"/>
      <c r="FD11" s="823"/>
      <c r="FE11" s="823"/>
      <c r="FF11" s="823"/>
      <c r="FG11" s="823"/>
      <c r="FH11" s="823"/>
      <c r="FI11" s="823"/>
      <c r="FJ11" s="823"/>
      <c r="FK11" s="823"/>
      <c r="FL11" s="823"/>
      <c r="FM11" s="823"/>
      <c r="FN11" s="823"/>
      <c r="FO11" s="823"/>
      <c r="FP11" s="823"/>
      <c r="FQ11" s="823"/>
      <c r="FR11" s="823"/>
      <c r="FS11" s="823"/>
      <c r="FT11" s="823"/>
      <c r="FU11" s="823"/>
      <c r="FV11" s="823"/>
      <c r="FW11" s="823"/>
      <c r="FX11" s="823"/>
      <c r="FY11" s="823"/>
      <c r="FZ11" s="823"/>
      <c r="GA11" s="823"/>
      <c r="GB11" s="823"/>
      <c r="GC11" s="823"/>
      <c r="GD11" s="823"/>
      <c r="GE11" s="823"/>
      <c r="GF11" s="823"/>
      <c r="GG11" s="823"/>
      <c r="GH11" s="823"/>
      <c r="GI11" s="823"/>
      <c r="GJ11" s="823"/>
      <c r="GK11" s="823"/>
      <c r="GL11" s="823"/>
      <c r="GM11" s="823"/>
      <c r="GN11" s="823"/>
      <c r="GO11" s="823"/>
      <c r="GP11" s="823"/>
      <c r="GQ11" s="823"/>
      <c r="GR11" s="823"/>
      <c r="GS11" s="823"/>
      <c r="GT11" s="823"/>
      <c r="GU11" s="823"/>
      <c r="GV11" s="823"/>
      <c r="GW11" s="823"/>
      <c r="GX11" s="823"/>
      <c r="GY11" s="823"/>
      <c r="GZ11" s="823"/>
      <c r="HA11" s="823"/>
      <c r="HB11" s="823"/>
      <c r="HC11" s="823"/>
      <c r="HD11" s="823"/>
      <c r="HE11" s="823"/>
      <c r="HF11" s="823"/>
      <c r="HG11" s="823"/>
      <c r="HH11" s="823"/>
      <c r="HI11" s="823"/>
      <c r="HJ11" s="823"/>
      <c r="HK11" s="823"/>
      <c r="HL11" s="823"/>
      <c r="HM11" s="823"/>
      <c r="HN11" s="823"/>
      <c r="HO11" s="823"/>
      <c r="HP11" s="823"/>
      <c r="HQ11" s="823"/>
      <c r="HR11" s="823"/>
      <c r="HS11" s="823"/>
      <c r="HT11" s="823"/>
      <c r="HU11" s="823"/>
      <c r="HV11" s="823"/>
      <c r="HW11" s="823"/>
      <c r="HX11" s="823"/>
      <c r="HY11" s="823"/>
      <c r="HZ11" s="823"/>
      <c r="IA11" s="823"/>
      <c r="IB11" s="823"/>
    </row>
    <row r="12" customFormat="false" ht="13.8" hidden="false" customHeight="false" outlineLevel="0" collapsed="false">
      <c r="B12" s="851" t="n">
        <v>2</v>
      </c>
      <c r="C12" s="852"/>
      <c r="D12" s="853" t="s">
        <v>73</v>
      </c>
      <c r="E12" s="854" t="s">
        <v>587</v>
      </c>
      <c r="F12" s="824"/>
      <c r="G12" s="857"/>
      <c r="H12" s="857"/>
      <c r="I12" s="857"/>
      <c r="J12" s="857"/>
      <c r="K12" s="855" t="n">
        <f aca="false">+SUM(G12:J12)</f>
        <v>0</v>
      </c>
      <c r="L12" s="856" t="n">
        <f aca="false">+J34</f>
        <v>0</v>
      </c>
      <c r="M12" s="856" t="n">
        <f aca="false">+N34</f>
        <v>0</v>
      </c>
      <c r="N12" s="857" t="n">
        <f aca="false">+SUM(L12:M12)</f>
        <v>0</v>
      </c>
      <c r="O12" s="857" t="n">
        <f aca="false">+V34</f>
        <v>0</v>
      </c>
      <c r="P12" s="857" t="n">
        <f aca="false">+AC34</f>
        <v>0</v>
      </c>
      <c r="Q12" s="857" t="n">
        <f aca="false">+SUM(O12:P12)</f>
        <v>0</v>
      </c>
      <c r="R12" s="857" t="n">
        <v>1</v>
      </c>
      <c r="S12" s="857" t="n">
        <v>0</v>
      </c>
      <c r="T12" s="857"/>
      <c r="U12" s="857" t="n">
        <v>1</v>
      </c>
      <c r="V12" s="857" t="n">
        <v>1</v>
      </c>
      <c r="W12" s="857" t="n">
        <v>1</v>
      </c>
      <c r="X12" s="857" t="n">
        <v>1</v>
      </c>
      <c r="Y12" s="857" t="n">
        <v>1</v>
      </c>
      <c r="Z12" s="857" t="n">
        <v>1</v>
      </c>
      <c r="AA12" s="857" t="n">
        <v>1</v>
      </c>
      <c r="AB12" s="857" t="n">
        <v>1</v>
      </c>
      <c r="AC12" s="857" t="n">
        <v>1</v>
      </c>
      <c r="AD12" s="857" t="n">
        <v>1</v>
      </c>
      <c r="AE12" s="857" t="n">
        <v>1</v>
      </c>
      <c r="AF12" s="857" t="n">
        <v>1</v>
      </c>
      <c r="AG12" s="857" t="n">
        <v>1</v>
      </c>
      <c r="AH12" s="857" t="n">
        <v>1</v>
      </c>
      <c r="AI12" s="862"/>
      <c r="AJ12" s="857" t="n">
        <v>1</v>
      </c>
      <c r="AK12" s="857" t="n">
        <v>1</v>
      </c>
      <c r="AL12" s="857" t="n">
        <v>1</v>
      </c>
      <c r="AM12" s="857" t="n">
        <v>1</v>
      </c>
      <c r="AN12" s="857" t="n">
        <v>1</v>
      </c>
      <c r="AO12" s="857" t="n">
        <v>1</v>
      </c>
      <c r="AP12" s="863"/>
      <c r="AQ12" s="857" t="n">
        <v>1</v>
      </c>
      <c r="AR12" s="857" t="n">
        <v>1</v>
      </c>
      <c r="AS12" s="857" t="n">
        <v>1</v>
      </c>
      <c r="AT12" s="857" t="n">
        <v>1</v>
      </c>
      <c r="AU12" s="857" t="n">
        <v>1</v>
      </c>
      <c r="AV12" s="857" t="n">
        <v>1</v>
      </c>
      <c r="AW12" s="857" t="n">
        <v>1</v>
      </c>
      <c r="AX12" s="857" t="n">
        <v>1</v>
      </c>
      <c r="AY12" s="857" t="n">
        <v>1</v>
      </c>
      <c r="AZ12" s="857" t="n">
        <v>1</v>
      </c>
      <c r="BA12" s="860"/>
      <c r="BB12" s="861"/>
      <c r="BC12" s="823"/>
      <c r="BD12" s="823"/>
      <c r="BE12" s="823"/>
      <c r="BF12" s="823"/>
      <c r="BG12" s="823"/>
      <c r="BH12" s="823"/>
      <c r="BI12" s="823"/>
      <c r="BJ12" s="823"/>
      <c r="BK12" s="823"/>
      <c r="BL12" s="823"/>
      <c r="BM12" s="823"/>
      <c r="BN12" s="823"/>
      <c r="BO12" s="823"/>
      <c r="BP12" s="823"/>
      <c r="BQ12" s="823"/>
      <c r="BR12" s="823"/>
      <c r="BS12" s="823"/>
      <c r="BT12" s="823"/>
      <c r="BU12" s="823"/>
      <c r="BV12" s="823"/>
      <c r="BW12" s="823"/>
      <c r="BX12" s="823"/>
      <c r="BY12" s="823"/>
      <c r="BZ12" s="823"/>
      <c r="CA12" s="823"/>
      <c r="CB12" s="823"/>
      <c r="CC12" s="823"/>
      <c r="CD12" s="823"/>
      <c r="CE12" s="823"/>
      <c r="CF12" s="823"/>
      <c r="CG12" s="823"/>
      <c r="CH12" s="823"/>
      <c r="CI12" s="823"/>
      <c r="CJ12" s="823"/>
      <c r="CK12" s="823"/>
      <c r="CL12" s="823"/>
      <c r="CM12" s="823"/>
      <c r="CN12" s="823"/>
      <c r="CO12" s="823"/>
      <c r="CP12" s="823"/>
      <c r="CQ12" s="823"/>
      <c r="CR12" s="823"/>
      <c r="CS12" s="823"/>
      <c r="CT12" s="823"/>
      <c r="CU12" s="823"/>
      <c r="CV12" s="823"/>
      <c r="CW12" s="823"/>
      <c r="CX12" s="823"/>
      <c r="CY12" s="823"/>
      <c r="CZ12" s="823"/>
      <c r="DA12" s="823"/>
      <c r="DB12" s="823"/>
      <c r="DC12" s="823"/>
      <c r="DD12" s="823"/>
      <c r="DE12" s="823"/>
      <c r="DF12" s="823"/>
      <c r="DG12" s="823"/>
      <c r="DH12" s="823"/>
      <c r="DI12" s="823"/>
      <c r="DJ12" s="823"/>
      <c r="DK12" s="823"/>
      <c r="DL12" s="823"/>
      <c r="DM12" s="823"/>
      <c r="DN12" s="823"/>
      <c r="DO12" s="823"/>
      <c r="DP12" s="823"/>
      <c r="DQ12" s="823"/>
      <c r="DR12" s="823"/>
      <c r="DS12" s="823"/>
      <c r="DT12" s="823"/>
      <c r="DU12" s="823"/>
      <c r="DV12" s="823"/>
      <c r="DW12" s="823"/>
      <c r="DX12" s="823"/>
      <c r="DY12" s="823"/>
      <c r="DZ12" s="823"/>
      <c r="EA12" s="823"/>
      <c r="EB12" s="823"/>
      <c r="EC12" s="823"/>
      <c r="ED12" s="823"/>
      <c r="EE12" s="823"/>
      <c r="EF12" s="823"/>
      <c r="EG12" s="823"/>
      <c r="EH12" s="823"/>
      <c r="EI12" s="823"/>
      <c r="EJ12" s="823"/>
      <c r="EK12" s="823"/>
      <c r="EL12" s="823"/>
      <c r="EM12" s="823"/>
      <c r="EN12" s="823"/>
      <c r="EO12" s="823"/>
      <c r="EP12" s="823"/>
      <c r="EQ12" s="823"/>
      <c r="ER12" s="823"/>
      <c r="ES12" s="823"/>
      <c r="ET12" s="823"/>
      <c r="EU12" s="823"/>
      <c r="EV12" s="823"/>
      <c r="EW12" s="823"/>
      <c r="EX12" s="823"/>
      <c r="EY12" s="823"/>
      <c r="EZ12" s="823"/>
      <c r="FA12" s="823"/>
      <c r="FB12" s="823"/>
      <c r="FC12" s="823"/>
      <c r="FD12" s="823"/>
      <c r="FE12" s="823"/>
      <c r="FF12" s="823"/>
      <c r="FG12" s="823"/>
      <c r="FH12" s="823"/>
      <c r="FI12" s="823"/>
      <c r="FJ12" s="823"/>
      <c r="FK12" s="823"/>
      <c r="FL12" s="823"/>
      <c r="FM12" s="823"/>
      <c r="FN12" s="823"/>
      <c r="FO12" s="823"/>
      <c r="FP12" s="823"/>
      <c r="FQ12" s="823"/>
      <c r="FR12" s="823"/>
      <c r="FS12" s="823"/>
      <c r="FT12" s="823"/>
      <c r="FU12" s="823"/>
      <c r="FV12" s="823"/>
      <c r="FW12" s="823"/>
      <c r="FX12" s="823"/>
      <c r="FY12" s="823"/>
      <c r="FZ12" s="823"/>
      <c r="GA12" s="823"/>
      <c r="GB12" s="823"/>
      <c r="GC12" s="823"/>
      <c r="GD12" s="823"/>
      <c r="GE12" s="823"/>
      <c r="GF12" s="823"/>
      <c r="GG12" s="823"/>
      <c r="GH12" s="823"/>
      <c r="GI12" s="823"/>
      <c r="GJ12" s="823"/>
      <c r="GK12" s="823"/>
      <c r="GL12" s="823"/>
      <c r="GM12" s="823"/>
      <c r="GN12" s="823"/>
      <c r="GO12" s="823"/>
      <c r="GP12" s="823"/>
      <c r="GQ12" s="823"/>
      <c r="GR12" s="823"/>
      <c r="GS12" s="823"/>
      <c r="GT12" s="823"/>
      <c r="GU12" s="823"/>
      <c r="GV12" s="823"/>
      <c r="GW12" s="823"/>
      <c r="GX12" s="823"/>
      <c r="GY12" s="823"/>
      <c r="GZ12" s="823"/>
      <c r="HA12" s="823"/>
      <c r="HB12" s="823"/>
      <c r="HC12" s="823"/>
      <c r="HD12" s="823"/>
      <c r="HE12" s="823"/>
      <c r="HF12" s="823"/>
      <c r="HG12" s="823"/>
      <c r="HH12" s="823"/>
      <c r="HI12" s="823"/>
      <c r="HJ12" s="823"/>
      <c r="HK12" s="823"/>
      <c r="HL12" s="823"/>
      <c r="HM12" s="823"/>
      <c r="HN12" s="823"/>
      <c r="HO12" s="823"/>
      <c r="HP12" s="823"/>
      <c r="HQ12" s="823"/>
      <c r="HR12" s="823"/>
      <c r="HS12" s="823"/>
      <c r="HT12" s="823"/>
      <c r="HU12" s="823"/>
      <c r="HV12" s="823"/>
      <c r="HW12" s="823"/>
      <c r="HX12" s="823"/>
      <c r="HY12" s="823"/>
      <c r="HZ12" s="823"/>
      <c r="IA12" s="823"/>
      <c r="IB12" s="823"/>
    </row>
    <row r="13" customFormat="false" ht="13.8" hidden="false" customHeight="false" outlineLevel="0" collapsed="false">
      <c r="B13" s="851" t="n">
        <v>3</v>
      </c>
      <c r="C13" s="852"/>
      <c r="D13" s="853" t="s">
        <v>99</v>
      </c>
      <c r="E13" s="854" t="s">
        <v>601</v>
      </c>
      <c r="F13" s="824"/>
      <c r="G13" s="857"/>
      <c r="H13" s="857"/>
      <c r="I13" s="857"/>
      <c r="J13" s="857"/>
      <c r="K13" s="855" t="n">
        <f aca="false">+SUM(G13:J13)</f>
        <v>0</v>
      </c>
      <c r="L13" s="856" t="n">
        <f aca="false">+J35</f>
        <v>0</v>
      </c>
      <c r="M13" s="856" t="n">
        <f aca="false">+N35</f>
        <v>0</v>
      </c>
      <c r="N13" s="857" t="n">
        <f aca="false">+SUM(L13:M13)</f>
        <v>0</v>
      </c>
      <c r="O13" s="857" t="n">
        <f aca="false">+V35</f>
        <v>0</v>
      </c>
      <c r="P13" s="857" t="n">
        <f aca="false">+AC35</f>
        <v>0</v>
      </c>
      <c r="Q13" s="857" t="n">
        <f aca="false">+SUM(O13:P13)</f>
        <v>0</v>
      </c>
      <c r="R13" s="857"/>
      <c r="S13" s="857"/>
      <c r="T13" s="857"/>
      <c r="U13" s="857" t="n">
        <v>1</v>
      </c>
      <c r="V13" s="857" t="n">
        <v>1</v>
      </c>
      <c r="W13" s="857" t="n">
        <v>1</v>
      </c>
      <c r="X13" s="857" t="n">
        <v>1</v>
      </c>
      <c r="Y13" s="857" t="n">
        <v>1</v>
      </c>
      <c r="Z13" s="857" t="n">
        <v>1</v>
      </c>
      <c r="AA13" s="857" t="n">
        <v>1</v>
      </c>
      <c r="AB13" s="857" t="n">
        <v>1</v>
      </c>
      <c r="AC13" s="857" t="n">
        <v>1</v>
      </c>
      <c r="AD13" s="857" t="n">
        <v>1</v>
      </c>
      <c r="AE13" s="857" t="n">
        <v>1</v>
      </c>
      <c r="AF13" s="857" t="n">
        <v>1</v>
      </c>
      <c r="AG13" s="857" t="n">
        <v>1</v>
      </c>
      <c r="AH13" s="857" t="n">
        <v>1</v>
      </c>
      <c r="AI13" s="862"/>
      <c r="AJ13" s="857" t="n">
        <v>1</v>
      </c>
      <c r="AK13" s="857" t="n">
        <v>1</v>
      </c>
      <c r="AL13" s="857" t="n">
        <v>1</v>
      </c>
      <c r="AM13" s="857" t="n">
        <v>1</v>
      </c>
      <c r="AN13" s="857" t="n">
        <v>1</v>
      </c>
      <c r="AO13" s="857" t="n">
        <v>1</v>
      </c>
      <c r="AP13" s="863"/>
      <c r="AQ13" s="857" t="n">
        <v>1</v>
      </c>
      <c r="AR13" s="857" t="n">
        <v>1</v>
      </c>
      <c r="AS13" s="857" t="n">
        <v>1</v>
      </c>
      <c r="AT13" s="857" t="n">
        <v>1</v>
      </c>
      <c r="AU13" s="857" t="n">
        <v>1</v>
      </c>
      <c r="AV13" s="857" t="n">
        <v>1</v>
      </c>
      <c r="AW13" s="857" t="n">
        <v>1</v>
      </c>
      <c r="AX13" s="857" t="n">
        <v>1</v>
      </c>
      <c r="AY13" s="857" t="n">
        <v>1</v>
      </c>
      <c r="AZ13" s="857" t="n">
        <v>1</v>
      </c>
      <c r="BA13" s="860"/>
      <c r="BB13" s="861"/>
      <c r="BC13" s="823"/>
      <c r="BD13" s="823"/>
      <c r="BE13" s="823"/>
      <c r="BF13" s="823"/>
      <c r="BG13" s="823"/>
      <c r="BH13" s="823"/>
      <c r="BI13" s="823"/>
      <c r="BJ13" s="823"/>
      <c r="BK13" s="823"/>
      <c r="BL13" s="823"/>
      <c r="BM13" s="823"/>
      <c r="BN13" s="823"/>
      <c r="BO13" s="823"/>
      <c r="BP13" s="823"/>
      <c r="BQ13" s="823"/>
      <c r="BR13" s="823"/>
      <c r="BS13" s="823"/>
      <c r="BT13" s="823"/>
      <c r="BU13" s="823"/>
      <c r="BV13" s="823"/>
      <c r="BW13" s="823"/>
      <c r="BX13" s="823"/>
      <c r="BY13" s="823"/>
      <c r="BZ13" s="823"/>
      <c r="CA13" s="823"/>
      <c r="CB13" s="823"/>
      <c r="CC13" s="823"/>
      <c r="CD13" s="823"/>
      <c r="CE13" s="823"/>
      <c r="CF13" s="823"/>
      <c r="CG13" s="823"/>
      <c r="CH13" s="823"/>
      <c r="CI13" s="823"/>
      <c r="CJ13" s="823"/>
      <c r="CK13" s="823"/>
      <c r="CL13" s="823"/>
      <c r="CM13" s="823"/>
      <c r="CN13" s="823"/>
      <c r="CO13" s="823"/>
      <c r="CP13" s="823"/>
      <c r="CQ13" s="823"/>
      <c r="CR13" s="823"/>
      <c r="CS13" s="823"/>
      <c r="CT13" s="823"/>
      <c r="CU13" s="823"/>
      <c r="CV13" s="823"/>
      <c r="CW13" s="823"/>
      <c r="CX13" s="823"/>
      <c r="CY13" s="823"/>
      <c r="CZ13" s="823"/>
      <c r="DA13" s="823"/>
      <c r="DB13" s="823"/>
      <c r="DC13" s="823"/>
      <c r="DD13" s="823"/>
      <c r="DE13" s="823"/>
      <c r="DF13" s="823"/>
      <c r="DG13" s="823"/>
      <c r="DH13" s="823"/>
      <c r="DI13" s="823"/>
      <c r="DJ13" s="823"/>
      <c r="DK13" s="823"/>
      <c r="DL13" s="823"/>
      <c r="DM13" s="823"/>
      <c r="DN13" s="823"/>
      <c r="DO13" s="823"/>
      <c r="DP13" s="823"/>
      <c r="DQ13" s="823"/>
      <c r="DR13" s="823"/>
      <c r="DS13" s="823"/>
      <c r="DT13" s="823"/>
      <c r="DU13" s="823"/>
      <c r="DV13" s="823"/>
      <c r="DW13" s="823"/>
      <c r="DX13" s="823"/>
      <c r="DY13" s="823"/>
      <c r="DZ13" s="823"/>
      <c r="EA13" s="823"/>
      <c r="EB13" s="823"/>
      <c r="EC13" s="823"/>
      <c r="ED13" s="823"/>
      <c r="EE13" s="823"/>
      <c r="EF13" s="823"/>
      <c r="EG13" s="823"/>
      <c r="EH13" s="823"/>
      <c r="EI13" s="823"/>
      <c r="EJ13" s="823"/>
      <c r="EK13" s="823"/>
      <c r="EL13" s="823"/>
      <c r="EM13" s="823"/>
      <c r="EN13" s="823"/>
      <c r="EO13" s="823"/>
      <c r="EP13" s="823"/>
      <c r="EQ13" s="823"/>
      <c r="ER13" s="823"/>
      <c r="ES13" s="823"/>
      <c r="ET13" s="823"/>
      <c r="EU13" s="823"/>
      <c r="EV13" s="823"/>
      <c r="EW13" s="823"/>
      <c r="EX13" s="823"/>
      <c r="EY13" s="823"/>
      <c r="EZ13" s="823"/>
      <c r="FA13" s="823"/>
      <c r="FB13" s="823"/>
      <c r="FC13" s="823"/>
      <c r="FD13" s="823"/>
      <c r="FE13" s="823"/>
      <c r="FF13" s="823"/>
      <c r="FG13" s="823"/>
      <c r="FH13" s="823"/>
      <c r="FI13" s="823"/>
      <c r="FJ13" s="823"/>
      <c r="FK13" s="823"/>
      <c r="FL13" s="823"/>
      <c r="FM13" s="823"/>
      <c r="FN13" s="823"/>
      <c r="FO13" s="823"/>
      <c r="FP13" s="823"/>
      <c r="FQ13" s="823"/>
      <c r="FR13" s="823"/>
      <c r="FS13" s="823"/>
      <c r="FT13" s="823"/>
      <c r="FU13" s="823"/>
      <c r="FV13" s="823"/>
      <c r="FW13" s="823"/>
      <c r="FX13" s="823"/>
      <c r="FY13" s="823"/>
      <c r="FZ13" s="823"/>
      <c r="GA13" s="823"/>
      <c r="GB13" s="823"/>
      <c r="GC13" s="823"/>
      <c r="GD13" s="823"/>
      <c r="GE13" s="823"/>
      <c r="GF13" s="823"/>
      <c r="GG13" s="823"/>
      <c r="GH13" s="823"/>
      <c r="GI13" s="823"/>
      <c r="GJ13" s="823"/>
      <c r="GK13" s="823"/>
      <c r="GL13" s="823"/>
      <c r="GM13" s="823"/>
      <c r="GN13" s="823"/>
      <c r="GO13" s="823"/>
      <c r="GP13" s="823"/>
      <c r="GQ13" s="823"/>
      <c r="GR13" s="823"/>
      <c r="GS13" s="823"/>
      <c r="GT13" s="823"/>
      <c r="GU13" s="823"/>
      <c r="GV13" s="823"/>
      <c r="GW13" s="823"/>
      <c r="GX13" s="823"/>
      <c r="GY13" s="823"/>
      <c r="GZ13" s="823"/>
      <c r="HA13" s="823"/>
      <c r="HB13" s="823"/>
      <c r="HC13" s="823"/>
      <c r="HD13" s="823"/>
      <c r="HE13" s="823"/>
      <c r="HF13" s="823"/>
      <c r="HG13" s="823"/>
      <c r="HH13" s="823"/>
      <c r="HI13" s="823"/>
      <c r="HJ13" s="823"/>
      <c r="HK13" s="823"/>
      <c r="HL13" s="823"/>
      <c r="HM13" s="823"/>
      <c r="HN13" s="823"/>
      <c r="HO13" s="823"/>
      <c r="HP13" s="823"/>
      <c r="HQ13" s="823"/>
      <c r="HR13" s="823"/>
      <c r="HS13" s="823"/>
      <c r="HT13" s="823"/>
      <c r="HU13" s="823"/>
      <c r="HV13" s="823"/>
      <c r="HW13" s="823"/>
      <c r="HX13" s="823"/>
      <c r="HY13" s="823"/>
      <c r="HZ13" s="823"/>
      <c r="IA13" s="823"/>
      <c r="IB13" s="823"/>
    </row>
    <row r="14" customFormat="false" ht="13.8" hidden="false" customHeight="false" outlineLevel="0" collapsed="false">
      <c r="B14" s="851" t="n">
        <v>4</v>
      </c>
      <c r="C14" s="852"/>
      <c r="D14" s="853" t="s">
        <v>99</v>
      </c>
      <c r="E14" s="854" t="s">
        <v>588</v>
      </c>
      <c r="F14" s="824"/>
      <c r="G14" s="857"/>
      <c r="H14" s="857"/>
      <c r="I14" s="857"/>
      <c r="J14" s="857"/>
      <c r="K14" s="855" t="n">
        <f aca="false">+SUM(G14:J14)</f>
        <v>0</v>
      </c>
      <c r="L14" s="856" t="n">
        <f aca="false">+J36</f>
        <v>0</v>
      </c>
      <c r="M14" s="856" t="n">
        <f aca="false">+N36</f>
        <v>0</v>
      </c>
      <c r="N14" s="857" t="n">
        <f aca="false">+SUM(L14:M14)</f>
        <v>0</v>
      </c>
      <c r="O14" s="857" t="n">
        <f aca="false">+V36</f>
        <v>0</v>
      </c>
      <c r="P14" s="857" t="n">
        <f aca="false">+AC36</f>
        <v>0</v>
      </c>
      <c r="Q14" s="857" t="n">
        <f aca="false">+SUM(O14:P14)</f>
        <v>0</v>
      </c>
      <c r="R14" s="857"/>
      <c r="S14" s="857"/>
      <c r="T14" s="857"/>
      <c r="U14" s="857" t="n">
        <v>1</v>
      </c>
      <c r="V14" s="857" t="n">
        <v>1</v>
      </c>
      <c r="W14" s="857" t="n">
        <v>1</v>
      </c>
      <c r="X14" s="857" t="n">
        <v>1</v>
      </c>
      <c r="Y14" s="857" t="n">
        <v>1</v>
      </c>
      <c r="Z14" s="857" t="n">
        <v>1</v>
      </c>
      <c r="AA14" s="857" t="n">
        <v>1</v>
      </c>
      <c r="AB14" s="857" t="n">
        <v>1</v>
      </c>
      <c r="AC14" s="857" t="n">
        <v>1</v>
      </c>
      <c r="AD14" s="857" t="n">
        <v>1</v>
      </c>
      <c r="AE14" s="857" t="n">
        <v>1</v>
      </c>
      <c r="AF14" s="857" t="n">
        <v>1</v>
      </c>
      <c r="AG14" s="857" t="n">
        <v>1</v>
      </c>
      <c r="AH14" s="857" t="n">
        <v>1</v>
      </c>
      <c r="AI14" s="862"/>
      <c r="AJ14" s="857" t="n">
        <v>1</v>
      </c>
      <c r="AK14" s="857" t="n">
        <v>1</v>
      </c>
      <c r="AL14" s="857" t="n">
        <v>1</v>
      </c>
      <c r="AM14" s="857" t="n">
        <v>1</v>
      </c>
      <c r="AN14" s="857" t="n">
        <v>1</v>
      </c>
      <c r="AO14" s="857" t="n">
        <v>1</v>
      </c>
      <c r="AP14" s="863"/>
      <c r="AQ14" s="857" t="n">
        <v>1</v>
      </c>
      <c r="AR14" s="857" t="n">
        <v>1</v>
      </c>
      <c r="AS14" s="857" t="n">
        <v>1</v>
      </c>
      <c r="AT14" s="857" t="n">
        <v>1</v>
      </c>
      <c r="AU14" s="857" t="n">
        <v>1</v>
      </c>
      <c r="AV14" s="857" t="n">
        <v>1</v>
      </c>
      <c r="AW14" s="857" t="n">
        <v>1</v>
      </c>
      <c r="AX14" s="857" t="n">
        <v>1</v>
      </c>
      <c r="AY14" s="857" t="n">
        <v>1</v>
      </c>
      <c r="AZ14" s="857" t="n">
        <v>1</v>
      </c>
      <c r="BA14" s="860"/>
      <c r="BB14" s="861"/>
      <c r="BC14" s="823"/>
      <c r="BD14" s="823"/>
      <c r="BE14" s="823"/>
      <c r="BF14" s="823"/>
      <c r="BG14" s="823"/>
      <c r="BH14" s="823"/>
      <c r="BI14" s="823"/>
      <c r="BJ14" s="823"/>
      <c r="BK14" s="823"/>
      <c r="BL14" s="823"/>
      <c r="BM14" s="823"/>
      <c r="BN14" s="823"/>
      <c r="BO14" s="823"/>
      <c r="BP14" s="823"/>
      <c r="BQ14" s="823"/>
      <c r="BR14" s="823"/>
      <c r="BS14" s="823"/>
      <c r="BT14" s="823"/>
      <c r="BU14" s="823"/>
      <c r="BV14" s="823"/>
      <c r="BW14" s="823"/>
      <c r="BX14" s="823"/>
      <c r="BY14" s="823"/>
      <c r="BZ14" s="823"/>
      <c r="CA14" s="823"/>
      <c r="CB14" s="823"/>
      <c r="CC14" s="823"/>
      <c r="CD14" s="823"/>
      <c r="CE14" s="823"/>
      <c r="CF14" s="823"/>
      <c r="CG14" s="823"/>
      <c r="CH14" s="823"/>
      <c r="CI14" s="823"/>
      <c r="CJ14" s="823"/>
      <c r="CK14" s="823"/>
      <c r="CL14" s="823"/>
      <c r="CM14" s="823"/>
      <c r="CN14" s="823"/>
      <c r="CO14" s="823"/>
      <c r="CP14" s="823"/>
      <c r="CQ14" s="823"/>
      <c r="CR14" s="823"/>
      <c r="CS14" s="823"/>
      <c r="CT14" s="823"/>
      <c r="CU14" s="823"/>
      <c r="CV14" s="823"/>
      <c r="CW14" s="823"/>
      <c r="CX14" s="823"/>
      <c r="CY14" s="823"/>
      <c r="CZ14" s="823"/>
      <c r="DA14" s="823"/>
      <c r="DB14" s="823"/>
      <c r="DC14" s="823"/>
      <c r="DD14" s="823"/>
      <c r="DE14" s="823"/>
      <c r="DF14" s="823"/>
      <c r="DG14" s="823"/>
      <c r="DH14" s="823"/>
      <c r="DI14" s="823"/>
      <c r="DJ14" s="823"/>
      <c r="DK14" s="823"/>
      <c r="DL14" s="823"/>
      <c r="DM14" s="823"/>
      <c r="DN14" s="823"/>
      <c r="DO14" s="823"/>
      <c r="DP14" s="823"/>
      <c r="DQ14" s="823"/>
      <c r="DR14" s="823"/>
      <c r="DS14" s="823"/>
      <c r="DT14" s="823"/>
      <c r="DU14" s="823"/>
      <c r="DV14" s="823"/>
      <c r="DW14" s="823"/>
      <c r="DX14" s="823"/>
      <c r="DY14" s="823"/>
      <c r="DZ14" s="823"/>
      <c r="EA14" s="823"/>
      <c r="EB14" s="823"/>
      <c r="EC14" s="823"/>
      <c r="ED14" s="823"/>
      <c r="EE14" s="823"/>
      <c r="EF14" s="823"/>
      <c r="EG14" s="823"/>
      <c r="EH14" s="823"/>
      <c r="EI14" s="823"/>
      <c r="EJ14" s="823"/>
      <c r="EK14" s="823"/>
      <c r="EL14" s="823"/>
      <c r="EM14" s="823"/>
      <c r="EN14" s="823"/>
      <c r="EO14" s="823"/>
      <c r="EP14" s="823"/>
      <c r="EQ14" s="823"/>
      <c r="ER14" s="823"/>
      <c r="ES14" s="823"/>
      <c r="ET14" s="823"/>
      <c r="EU14" s="823"/>
      <c r="EV14" s="823"/>
      <c r="EW14" s="823"/>
      <c r="EX14" s="823"/>
      <c r="EY14" s="823"/>
      <c r="EZ14" s="823"/>
      <c r="FA14" s="823"/>
      <c r="FB14" s="823"/>
      <c r="FC14" s="823"/>
      <c r="FD14" s="823"/>
      <c r="FE14" s="823"/>
      <c r="FF14" s="823"/>
      <c r="FG14" s="823"/>
      <c r="FH14" s="823"/>
      <c r="FI14" s="823"/>
      <c r="FJ14" s="823"/>
      <c r="FK14" s="823"/>
      <c r="FL14" s="823"/>
      <c r="FM14" s="823"/>
      <c r="FN14" s="823"/>
      <c r="FO14" s="823"/>
      <c r="FP14" s="823"/>
      <c r="FQ14" s="823"/>
      <c r="FR14" s="823"/>
      <c r="FS14" s="823"/>
      <c r="FT14" s="823"/>
      <c r="FU14" s="823"/>
      <c r="FV14" s="823"/>
      <c r="FW14" s="823"/>
      <c r="FX14" s="823"/>
      <c r="FY14" s="823"/>
      <c r="FZ14" s="823"/>
      <c r="GA14" s="823"/>
      <c r="GB14" s="823"/>
      <c r="GC14" s="823"/>
      <c r="GD14" s="823"/>
      <c r="GE14" s="823"/>
      <c r="GF14" s="823"/>
      <c r="GG14" s="823"/>
      <c r="GH14" s="823"/>
      <c r="GI14" s="823"/>
      <c r="GJ14" s="823"/>
      <c r="GK14" s="823"/>
      <c r="GL14" s="823"/>
      <c r="GM14" s="823"/>
      <c r="GN14" s="823"/>
      <c r="GO14" s="823"/>
      <c r="GP14" s="823"/>
      <c r="GQ14" s="823"/>
      <c r="GR14" s="823"/>
      <c r="GS14" s="823"/>
      <c r="GT14" s="823"/>
      <c r="GU14" s="823"/>
      <c r="GV14" s="823"/>
      <c r="GW14" s="823"/>
      <c r="GX14" s="823"/>
      <c r="GY14" s="823"/>
      <c r="GZ14" s="823"/>
      <c r="HA14" s="823"/>
      <c r="HB14" s="823"/>
      <c r="HC14" s="823"/>
      <c r="HD14" s="823"/>
      <c r="HE14" s="823"/>
      <c r="HF14" s="823"/>
      <c r="HG14" s="823"/>
      <c r="HH14" s="823"/>
      <c r="HI14" s="823"/>
      <c r="HJ14" s="823"/>
      <c r="HK14" s="823"/>
      <c r="HL14" s="823"/>
      <c r="HM14" s="823"/>
      <c r="HN14" s="823"/>
      <c r="HO14" s="823"/>
      <c r="HP14" s="823"/>
      <c r="HQ14" s="823"/>
      <c r="HR14" s="823"/>
      <c r="HS14" s="823"/>
      <c r="HT14" s="823"/>
      <c r="HU14" s="823"/>
      <c r="HV14" s="823"/>
      <c r="HW14" s="823"/>
      <c r="HX14" s="823"/>
      <c r="HY14" s="823"/>
      <c r="HZ14" s="823"/>
      <c r="IA14" s="823"/>
      <c r="IB14" s="823"/>
    </row>
    <row r="15" customFormat="false" ht="13.8" hidden="false" customHeight="false" outlineLevel="0" collapsed="false">
      <c r="B15" s="851" t="n">
        <v>5</v>
      </c>
      <c r="C15" s="852"/>
      <c r="D15" s="853" t="s">
        <v>90</v>
      </c>
      <c r="E15" s="854" t="s">
        <v>589</v>
      </c>
      <c r="F15" s="824"/>
      <c r="G15" s="857"/>
      <c r="H15" s="857"/>
      <c r="I15" s="857"/>
      <c r="J15" s="857"/>
      <c r="K15" s="855" t="n">
        <f aca="false">+SUM(G15:J15)</f>
        <v>0</v>
      </c>
      <c r="L15" s="856" t="n">
        <f aca="false">+J37</f>
        <v>0</v>
      </c>
      <c r="M15" s="856" t="n">
        <f aca="false">+N37</f>
        <v>0</v>
      </c>
      <c r="N15" s="857" t="n">
        <f aca="false">+SUM(L15:M15)</f>
        <v>0</v>
      </c>
      <c r="O15" s="857" t="n">
        <f aca="false">+V37</f>
        <v>0</v>
      </c>
      <c r="P15" s="857" t="n">
        <f aca="false">+AC37</f>
        <v>0</v>
      </c>
      <c r="Q15" s="857" t="n">
        <f aca="false">+SUM(O15:P15)</f>
        <v>0</v>
      </c>
      <c r="R15" s="857"/>
      <c r="S15" s="857"/>
      <c r="T15" s="857"/>
      <c r="U15" s="857" t="n">
        <v>1</v>
      </c>
      <c r="V15" s="857" t="n">
        <v>1</v>
      </c>
      <c r="W15" s="857" t="n">
        <v>1</v>
      </c>
      <c r="X15" s="857" t="n">
        <v>1</v>
      </c>
      <c r="Y15" s="857" t="n">
        <v>1</v>
      </c>
      <c r="Z15" s="857" t="n">
        <v>1</v>
      </c>
      <c r="AA15" s="857" t="n">
        <v>1</v>
      </c>
      <c r="AB15" s="857" t="n">
        <v>1</v>
      </c>
      <c r="AC15" s="857" t="n">
        <v>1</v>
      </c>
      <c r="AD15" s="857" t="n">
        <v>1</v>
      </c>
      <c r="AE15" s="857" t="n">
        <v>1</v>
      </c>
      <c r="AF15" s="857" t="n">
        <v>1</v>
      </c>
      <c r="AG15" s="857" t="n">
        <v>1</v>
      </c>
      <c r="AH15" s="857" t="n">
        <v>1</v>
      </c>
      <c r="AI15" s="862"/>
      <c r="AJ15" s="857" t="n">
        <v>1</v>
      </c>
      <c r="AK15" s="857" t="n">
        <v>1</v>
      </c>
      <c r="AL15" s="857" t="n">
        <v>1</v>
      </c>
      <c r="AM15" s="857" t="n">
        <v>1</v>
      </c>
      <c r="AN15" s="857" t="n">
        <v>1</v>
      </c>
      <c r="AO15" s="857" t="n">
        <v>1</v>
      </c>
      <c r="AP15" s="863"/>
      <c r="AQ15" s="857" t="n">
        <v>1</v>
      </c>
      <c r="AR15" s="857" t="n">
        <v>1</v>
      </c>
      <c r="AS15" s="857" t="n">
        <v>1</v>
      </c>
      <c r="AT15" s="857" t="n">
        <v>1</v>
      </c>
      <c r="AU15" s="857" t="n">
        <v>1</v>
      </c>
      <c r="AV15" s="857" t="n">
        <v>1</v>
      </c>
      <c r="AW15" s="857" t="n">
        <v>1</v>
      </c>
      <c r="AX15" s="857" t="n">
        <v>1</v>
      </c>
      <c r="AY15" s="857" t="n">
        <v>1</v>
      </c>
      <c r="AZ15" s="857" t="n">
        <v>1</v>
      </c>
      <c r="BA15" s="860"/>
      <c r="BB15" s="861"/>
      <c r="BC15" s="823"/>
      <c r="BD15" s="823"/>
      <c r="BE15" s="823"/>
      <c r="BF15" s="823"/>
      <c r="BG15" s="823"/>
      <c r="BH15" s="823"/>
      <c r="BI15" s="823"/>
      <c r="BJ15" s="823"/>
      <c r="BK15" s="823"/>
      <c r="BL15" s="823"/>
      <c r="BM15" s="823"/>
      <c r="BN15" s="823"/>
      <c r="BO15" s="823"/>
      <c r="BP15" s="823"/>
      <c r="BQ15" s="823"/>
      <c r="BR15" s="823"/>
      <c r="BS15" s="823"/>
      <c r="BT15" s="823"/>
      <c r="BU15" s="823"/>
      <c r="BV15" s="823"/>
      <c r="BW15" s="823"/>
      <c r="BX15" s="823"/>
      <c r="BY15" s="823"/>
      <c r="BZ15" s="823"/>
      <c r="CA15" s="823"/>
      <c r="CB15" s="823"/>
      <c r="CC15" s="823"/>
      <c r="CD15" s="823"/>
      <c r="CE15" s="823"/>
      <c r="CF15" s="823"/>
      <c r="CG15" s="823"/>
      <c r="CH15" s="823"/>
      <c r="CI15" s="823"/>
      <c r="CJ15" s="823"/>
      <c r="CK15" s="823"/>
      <c r="CL15" s="823"/>
      <c r="CM15" s="823"/>
      <c r="CN15" s="823"/>
      <c r="CO15" s="823"/>
      <c r="CP15" s="823"/>
      <c r="CQ15" s="823"/>
      <c r="CR15" s="823"/>
      <c r="CS15" s="823"/>
      <c r="CT15" s="823"/>
      <c r="CU15" s="823"/>
      <c r="CV15" s="823"/>
      <c r="CW15" s="823"/>
      <c r="CX15" s="823"/>
      <c r="CY15" s="823"/>
      <c r="CZ15" s="823"/>
      <c r="DA15" s="823"/>
      <c r="DB15" s="823"/>
      <c r="DC15" s="823"/>
      <c r="DD15" s="823"/>
      <c r="DE15" s="823"/>
      <c r="DF15" s="823"/>
      <c r="DG15" s="823"/>
      <c r="DH15" s="823"/>
      <c r="DI15" s="823"/>
      <c r="DJ15" s="823"/>
      <c r="DK15" s="823"/>
      <c r="DL15" s="823"/>
      <c r="DM15" s="823"/>
      <c r="DN15" s="823"/>
      <c r="DO15" s="823"/>
      <c r="DP15" s="823"/>
      <c r="DQ15" s="823"/>
      <c r="DR15" s="823"/>
      <c r="DS15" s="823"/>
      <c r="DT15" s="823"/>
      <c r="DU15" s="823"/>
      <c r="DV15" s="823"/>
      <c r="DW15" s="823"/>
      <c r="DX15" s="823"/>
      <c r="DY15" s="823"/>
      <c r="DZ15" s="823"/>
      <c r="EA15" s="823"/>
      <c r="EB15" s="823"/>
      <c r="EC15" s="823"/>
      <c r="ED15" s="823"/>
      <c r="EE15" s="823"/>
      <c r="EF15" s="823"/>
      <c r="EG15" s="823"/>
      <c r="EH15" s="823"/>
      <c r="EI15" s="823"/>
      <c r="EJ15" s="823"/>
      <c r="EK15" s="823"/>
      <c r="EL15" s="823"/>
      <c r="EM15" s="823"/>
      <c r="EN15" s="823"/>
      <c r="EO15" s="823"/>
      <c r="EP15" s="823"/>
      <c r="EQ15" s="823"/>
      <c r="ER15" s="823"/>
      <c r="ES15" s="823"/>
      <c r="ET15" s="823"/>
      <c r="EU15" s="823"/>
      <c r="EV15" s="823"/>
      <c r="EW15" s="823"/>
      <c r="EX15" s="823"/>
      <c r="EY15" s="823"/>
      <c r="EZ15" s="823"/>
      <c r="FA15" s="823"/>
      <c r="FB15" s="823"/>
      <c r="FC15" s="823"/>
      <c r="FD15" s="823"/>
      <c r="FE15" s="823"/>
      <c r="FF15" s="823"/>
      <c r="FG15" s="823"/>
      <c r="FH15" s="823"/>
      <c r="FI15" s="823"/>
      <c r="FJ15" s="823"/>
      <c r="FK15" s="823"/>
      <c r="FL15" s="823"/>
      <c r="FM15" s="823"/>
      <c r="FN15" s="823"/>
      <c r="FO15" s="823"/>
      <c r="FP15" s="823"/>
      <c r="FQ15" s="823"/>
      <c r="FR15" s="823"/>
      <c r="FS15" s="823"/>
      <c r="FT15" s="823"/>
      <c r="FU15" s="823"/>
      <c r="FV15" s="823"/>
      <c r="FW15" s="823"/>
      <c r="FX15" s="823"/>
      <c r="FY15" s="823"/>
      <c r="FZ15" s="823"/>
      <c r="GA15" s="823"/>
      <c r="GB15" s="823"/>
      <c r="GC15" s="823"/>
      <c r="GD15" s="823"/>
      <c r="GE15" s="823"/>
      <c r="GF15" s="823"/>
      <c r="GG15" s="823"/>
      <c r="GH15" s="823"/>
      <c r="GI15" s="823"/>
      <c r="GJ15" s="823"/>
      <c r="GK15" s="823"/>
      <c r="GL15" s="823"/>
      <c r="GM15" s="823"/>
      <c r="GN15" s="823"/>
      <c r="GO15" s="823"/>
      <c r="GP15" s="823"/>
      <c r="GQ15" s="823"/>
      <c r="GR15" s="823"/>
      <c r="GS15" s="823"/>
      <c r="GT15" s="823"/>
      <c r="GU15" s="823"/>
      <c r="GV15" s="823"/>
      <c r="GW15" s="823"/>
      <c r="GX15" s="823"/>
      <c r="GY15" s="823"/>
      <c r="GZ15" s="823"/>
      <c r="HA15" s="823"/>
      <c r="HB15" s="823"/>
      <c r="HC15" s="823"/>
      <c r="HD15" s="823"/>
      <c r="HE15" s="823"/>
      <c r="HF15" s="823"/>
      <c r="HG15" s="823"/>
      <c r="HH15" s="823"/>
      <c r="HI15" s="823"/>
      <c r="HJ15" s="823"/>
      <c r="HK15" s="823"/>
      <c r="HL15" s="823"/>
      <c r="HM15" s="823"/>
      <c r="HN15" s="823"/>
      <c r="HO15" s="823"/>
      <c r="HP15" s="823"/>
      <c r="HQ15" s="823"/>
      <c r="HR15" s="823"/>
      <c r="HS15" s="823"/>
      <c r="HT15" s="823"/>
      <c r="HU15" s="823"/>
      <c r="HV15" s="823"/>
      <c r="HW15" s="823"/>
      <c r="HX15" s="823"/>
      <c r="HY15" s="823"/>
      <c r="HZ15" s="823"/>
      <c r="IA15" s="823"/>
      <c r="IB15" s="823"/>
    </row>
    <row r="16" customFormat="false" ht="13.8" hidden="false" customHeight="false" outlineLevel="0" collapsed="false">
      <c r="B16" s="851" t="n">
        <v>6</v>
      </c>
      <c r="C16" s="852"/>
      <c r="D16" s="853" t="s">
        <v>99</v>
      </c>
      <c r="E16" s="854" t="s">
        <v>590</v>
      </c>
      <c r="F16" s="824"/>
      <c r="G16" s="857"/>
      <c r="H16" s="857"/>
      <c r="I16" s="857"/>
      <c r="J16" s="857"/>
      <c r="K16" s="855" t="n">
        <f aca="false">+SUM(G16:J16)</f>
        <v>0</v>
      </c>
      <c r="L16" s="856" t="n">
        <f aca="false">+J38</f>
        <v>0</v>
      </c>
      <c r="M16" s="856" t="n">
        <f aca="false">+N38</f>
        <v>0</v>
      </c>
      <c r="N16" s="857" t="n">
        <f aca="false">+SUM(L16:M16)</f>
        <v>0</v>
      </c>
      <c r="O16" s="857" t="n">
        <f aca="false">+V38</f>
        <v>0</v>
      </c>
      <c r="P16" s="857" t="n">
        <f aca="false">+AC38</f>
        <v>0</v>
      </c>
      <c r="Q16" s="857" t="n">
        <f aca="false">+SUM(O16:P16)</f>
        <v>0</v>
      </c>
      <c r="R16" s="857"/>
      <c r="S16" s="857"/>
      <c r="T16" s="857"/>
      <c r="U16" s="857" t="n">
        <v>1</v>
      </c>
      <c r="V16" s="857" t="n">
        <v>1</v>
      </c>
      <c r="W16" s="857" t="n">
        <v>1</v>
      </c>
      <c r="X16" s="857" t="n">
        <v>1</v>
      </c>
      <c r="Y16" s="857" t="n">
        <v>1</v>
      </c>
      <c r="Z16" s="857" t="n">
        <v>1</v>
      </c>
      <c r="AA16" s="857" t="n">
        <v>1</v>
      </c>
      <c r="AB16" s="857" t="n">
        <v>1</v>
      </c>
      <c r="AC16" s="857" t="n">
        <v>1</v>
      </c>
      <c r="AD16" s="857" t="n">
        <v>1</v>
      </c>
      <c r="AE16" s="857" t="n">
        <v>1</v>
      </c>
      <c r="AF16" s="857" t="n">
        <v>1</v>
      </c>
      <c r="AG16" s="857" t="n">
        <v>1</v>
      </c>
      <c r="AH16" s="857" t="n">
        <v>1</v>
      </c>
      <c r="AI16" s="862"/>
      <c r="AJ16" s="857" t="n">
        <v>1</v>
      </c>
      <c r="AK16" s="857" t="n">
        <v>1</v>
      </c>
      <c r="AL16" s="857" t="n">
        <v>1</v>
      </c>
      <c r="AM16" s="857" t="n">
        <v>1</v>
      </c>
      <c r="AN16" s="857" t="n">
        <v>1</v>
      </c>
      <c r="AO16" s="857" t="n">
        <v>1</v>
      </c>
      <c r="AP16" s="863"/>
      <c r="AQ16" s="857" t="n">
        <v>1</v>
      </c>
      <c r="AR16" s="857" t="n">
        <v>1</v>
      </c>
      <c r="AS16" s="857" t="n">
        <v>1</v>
      </c>
      <c r="AT16" s="857" t="n">
        <v>1</v>
      </c>
      <c r="AU16" s="857" t="n">
        <v>1</v>
      </c>
      <c r="AV16" s="857" t="n">
        <v>1</v>
      </c>
      <c r="AW16" s="857" t="n">
        <v>1</v>
      </c>
      <c r="AX16" s="857" t="n">
        <v>1</v>
      </c>
      <c r="AY16" s="857" t="n">
        <v>1</v>
      </c>
      <c r="AZ16" s="857" t="n">
        <v>1</v>
      </c>
      <c r="BA16" s="860"/>
      <c r="BB16" s="861"/>
      <c r="BC16" s="823"/>
      <c r="BD16" s="823"/>
      <c r="BE16" s="823"/>
      <c r="BF16" s="823"/>
      <c r="BG16" s="823"/>
      <c r="BH16" s="823"/>
      <c r="BI16" s="823"/>
      <c r="BJ16" s="823"/>
      <c r="BK16" s="823"/>
      <c r="BL16" s="823"/>
      <c r="BM16" s="823"/>
      <c r="BN16" s="823"/>
      <c r="BO16" s="823"/>
      <c r="BP16" s="823"/>
      <c r="BQ16" s="823"/>
      <c r="BR16" s="823"/>
      <c r="BS16" s="823"/>
      <c r="BT16" s="823"/>
      <c r="BU16" s="823"/>
      <c r="BV16" s="823"/>
      <c r="BW16" s="823"/>
      <c r="BX16" s="823"/>
      <c r="BY16" s="823"/>
      <c r="BZ16" s="823"/>
      <c r="CA16" s="823"/>
      <c r="CB16" s="823"/>
      <c r="CC16" s="823"/>
      <c r="CD16" s="823"/>
      <c r="CE16" s="823"/>
      <c r="CF16" s="823"/>
      <c r="CG16" s="823"/>
      <c r="CH16" s="823"/>
      <c r="CI16" s="823"/>
      <c r="CJ16" s="823"/>
      <c r="CK16" s="823"/>
      <c r="CL16" s="823"/>
      <c r="CM16" s="823"/>
      <c r="CN16" s="823"/>
      <c r="CO16" s="823"/>
      <c r="CP16" s="823"/>
      <c r="CQ16" s="823"/>
      <c r="CR16" s="823"/>
      <c r="CS16" s="823"/>
      <c r="CT16" s="823"/>
      <c r="CU16" s="823"/>
      <c r="CV16" s="823"/>
      <c r="CW16" s="823"/>
      <c r="CX16" s="823"/>
      <c r="CY16" s="823"/>
      <c r="CZ16" s="823"/>
      <c r="DA16" s="823"/>
      <c r="DB16" s="823"/>
      <c r="DC16" s="823"/>
      <c r="DD16" s="823"/>
      <c r="DE16" s="823"/>
      <c r="DF16" s="823"/>
      <c r="DG16" s="823"/>
      <c r="DH16" s="823"/>
      <c r="DI16" s="823"/>
      <c r="DJ16" s="823"/>
      <c r="DK16" s="823"/>
      <c r="DL16" s="823"/>
      <c r="DM16" s="823"/>
      <c r="DN16" s="823"/>
      <c r="DO16" s="823"/>
      <c r="DP16" s="823"/>
      <c r="DQ16" s="823"/>
      <c r="DR16" s="823"/>
      <c r="DS16" s="823"/>
      <c r="DT16" s="823"/>
      <c r="DU16" s="823"/>
      <c r="DV16" s="823"/>
      <c r="DW16" s="823"/>
      <c r="DX16" s="823"/>
      <c r="DY16" s="823"/>
      <c r="DZ16" s="823"/>
      <c r="EA16" s="823"/>
      <c r="EB16" s="823"/>
      <c r="EC16" s="823"/>
      <c r="ED16" s="823"/>
      <c r="EE16" s="823"/>
      <c r="EF16" s="823"/>
      <c r="EG16" s="823"/>
      <c r="EH16" s="823"/>
      <c r="EI16" s="823"/>
      <c r="EJ16" s="823"/>
      <c r="EK16" s="823"/>
      <c r="EL16" s="823"/>
      <c r="EM16" s="823"/>
      <c r="EN16" s="823"/>
      <c r="EO16" s="823"/>
      <c r="EP16" s="823"/>
      <c r="EQ16" s="823"/>
      <c r="ER16" s="823"/>
      <c r="ES16" s="823"/>
      <c r="ET16" s="823"/>
      <c r="EU16" s="823"/>
      <c r="EV16" s="823"/>
      <c r="EW16" s="823"/>
      <c r="EX16" s="823"/>
      <c r="EY16" s="823"/>
      <c r="EZ16" s="823"/>
      <c r="FA16" s="823"/>
      <c r="FB16" s="823"/>
      <c r="FC16" s="823"/>
      <c r="FD16" s="823"/>
      <c r="FE16" s="823"/>
      <c r="FF16" s="823"/>
      <c r="FG16" s="823"/>
      <c r="FH16" s="823"/>
      <c r="FI16" s="823"/>
      <c r="FJ16" s="823"/>
      <c r="FK16" s="823"/>
      <c r="FL16" s="823"/>
      <c r="FM16" s="823"/>
      <c r="FN16" s="823"/>
      <c r="FO16" s="823"/>
      <c r="FP16" s="823"/>
      <c r="FQ16" s="823"/>
      <c r="FR16" s="823"/>
      <c r="FS16" s="823"/>
      <c r="FT16" s="823"/>
      <c r="FU16" s="823"/>
      <c r="FV16" s="823"/>
      <c r="FW16" s="823"/>
      <c r="FX16" s="823"/>
      <c r="FY16" s="823"/>
      <c r="FZ16" s="823"/>
      <c r="GA16" s="823"/>
      <c r="GB16" s="823"/>
      <c r="GC16" s="823"/>
      <c r="GD16" s="823"/>
      <c r="GE16" s="823"/>
      <c r="GF16" s="823"/>
      <c r="GG16" s="823"/>
      <c r="GH16" s="823"/>
      <c r="GI16" s="823"/>
      <c r="GJ16" s="823"/>
      <c r="GK16" s="823"/>
      <c r="GL16" s="823"/>
      <c r="GM16" s="823"/>
      <c r="GN16" s="823"/>
      <c r="GO16" s="823"/>
      <c r="GP16" s="823"/>
      <c r="GQ16" s="823"/>
      <c r="GR16" s="823"/>
      <c r="GS16" s="823"/>
      <c r="GT16" s="823"/>
      <c r="GU16" s="823"/>
      <c r="GV16" s="823"/>
      <c r="GW16" s="823"/>
      <c r="GX16" s="823"/>
      <c r="GY16" s="823"/>
      <c r="GZ16" s="823"/>
      <c r="HA16" s="823"/>
      <c r="HB16" s="823"/>
      <c r="HC16" s="823"/>
      <c r="HD16" s="823"/>
      <c r="HE16" s="823"/>
      <c r="HF16" s="823"/>
      <c r="HG16" s="823"/>
      <c r="HH16" s="823"/>
      <c r="HI16" s="823"/>
      <c r="HJ16" s="823"/>
      <c r="HK16" s="823"/>
      <c r="HL16" s="823"/>
      <c r="HM16" s="823"/>
      <c r="HN16" s="823"/>
      <c r="HO16" s="823"/>
      <c r="HP16" s="823"/>
      <c r="HQ16" s="823"/>
      <c r="HR16" s="823"/>
      <c r="HS16" s="823"/>
      <c r="HT16" s="823"/>
      <c r="HU16" s="823"/>
      <c r="HV16" s="823"/>
      <c r="HW16" s="823"/>
      <c r="HX16" s="823"/>
      <c r="HY16" s="823"/>
      <c r="HZ16" s="823"/>
      <c r="IA16" s="823"/>
      <c r="IB16" s="823"/>
    </row>
    <row r="17" customFormat="false" ht="13.8" hidden="false" customHeight="false" outlineLevel="0" collapsed="false">
      <c r="B17" s="851" t="n">
        <v>7</v>
      </c>
      <c r="C17" s="852"/>
      <c r="D17" s="853" t="s">
        <v>73</v>
      </c>
      <c r="E17" s="854" t="s">
        <v>591</v>
      </c>
      <c r="F17" s="824"/>
      <c r="G17" s="857"/>
      <c r="H17" s="857"/>
      <c r="I17" s="857"/>
      <c r="J17" s="857"/>
      <c r="K17" s="855" t="n">
        <f aca="false">+SUM(G17:J17)</f>
        <v>0</v>
      </c>
      <c r="L17" s="856" t="n">
        <f aca="false">+J39</f>
        <v>0</v>
      </c>
      <c r="M17" s="856" t="n">
        <f aca="false">+N39</f>
        <v>0</v>
      </c>
      <c r="N17" s="857" t="n">
        <f aca="false">+SUM(L17:M17)</f>
        <v>0</v>
      </c>
      <c r="O17" s="857" t="n">
        <f aca="false">+V39</f>
        <v>0</v>
      </c>
      <c r="P17" s="857" t="n">
        <f aca="false">+AC39</f>
        <v>0</v>
      </c>
      <c r="Q17" s="857" t="n">
        <f aca="false">+SUM(O17:P17)</f>
        <v>0</v>
      </c>
      <c r="R17" s="857"/>
      <c r="S17" s="857"/>
      <c r="T17" s="857"/>
      <c r="U17" s="857" t="n">
        <v>1</v>
      </c>
      <c r="V17" s="857" t="n">
        <v>1</v>
      </c>
      <c r="W17" s="857" t="n">
        <v>1</v>
      </c>
      <c r="X17" s="857" t="n">
        <v>1</v>
      </c>
      <c r="Y17" s="857" t="n">
        <v>1</v>
      </c>
      <c r="Z17" s="857" t="n">
        <v>1</v>
      </c>
      <c r="AA17" s="857" t="n">
        <v>1</v>
      </c>
      <c r="AB17" s="857" t="n">
        <v>1</v>
      </c>
      <c r="AC17" s="857" t="n">
        <v>1</v>
      </c>
      <c r="AD17" s="857" t="n">
        <v>1</v>
      </c>
      <c r="AE17" s="857" t="n">
        <v>1</v>
      </c>
      <c r="AF17" s="857" t="n">
        <v>1</v>
      </c>
      <c r="AG17" s="857" t="n">
        <v>1</v>
      </c>
      <c r="AH17" s="857" t="n">
        <v>1</v>
      </c>
      <c r="AI17" s="862"/>
      <c r="AJ17" s="857" t="n">
        <v>1</v>
      </c>
      <c r="AK17" s="857" t="n">
        <v>1</v>
      </c>
      <c r="AL17" s="857" t="n">
        <v>1</v>
      </c>
      <c r="AM17" s="857" t="n">
        <v>1</v>
      </c>
      <c r="AN17" s="857" t="n">
        <v>1</v>
      </c>
      <c r="AO17" s="857" t="n">
        <v>1</v>
      </c>
      <c r="AP17" s="863"/>
      <c r="AQ17" s="857" t="n">
        <v>1</v>
      </c>
      <c r="AR17" s="857" t="n">
        <v>1</v>
      </c>
      <c r="AS17" s="857" t="n">
        <v>1</v>
      </c>
      <c r="AT17" s="857" t="n">
        <v>1</v>
      </c>
      <c r="AU17" s="857" t="n">
        <v>1</v>
      </c>
      <c r="AV17" s="857" t="n">
        <v>1</v>
      </c>
      <c r="AW17" s="857" t="n">
        <v>1</v>
      </c>
      <c r="AX17" s="857" t="n">
        <v>1</v>
      </c>
      <c r="AY17" s="857" t="n">
        <v>1</v>
      </c>
      <c r="AZ17" s="857" t="n">
        <v>1</v>
      </c>
      <c r="BA17" s="860"/>
      <c r="BB17" s="861"/>
      <c r="BC17" s="823"/>
      <c r="BD17" s="823"/>
      <c r="BE17" s="823"/>
      <c r="BF17" s="823"/>
      <c r="BG17" s="823"/>
      <c r="BH17" s="823"/>
      <c r="BI17" s="823"/>
      <c r="BJ17" s="823"/>
      <c r="BK17" s="823"/>
      <c r="BL17" s="823"/>
      <c r="BM17" s="823"/>
      <c r="BN17" s="823"/>
      <c r="BO17" s="823"/>
      <c r="BP17" s="823"/>
      <c r="BQ17" s="823"/>
      <c r="BR17" s="823"/>
      <c r="BS17" s="823"/>
      <c r="BT17" s="823"/>
      <c r="BU17" s="823"/>
      <c r="BV17" s="823"/>
      <c r="BW17" s="823"/>
      <c r="BX17" s="823"/>
      <c r="BY17" s="823"/>
      <c r="BZ17" s="823"/>
      <c r="CA17" s="823"/>
      <c r="CB17" s="823"/>
      <c r="CC17" s="823"/>
      <c r="CD17" s="823"/>
      <c r="CE17" s="823"/>
      <c r="CF17" s="823"/>
      <c r="CG17" s="823"/>
      <c r="CH17" s="823"/>
      <c r="CI17" s="823"/>
      <c r="CJ17" s="823"/>
      <c r="CK17" s="823"/>
      <c r="CL17" s="823"/>
      <c r="CM17" s="823"/>
      <c r="CN17" s="823"/>
      <c r="CO17" s="823"/>
      <c r="CP17" s="823"/>
      <c r="CQ17" s="823"/>
      <c r="CR17" s="823"/>
      <c r="CS17" s="823"/>
      <c r="CT17" s="823"/>
      <c r="CU17" s="823"/>
      <c r="CV17" s="823"/>
      <c r="CW17" s="823"/>
      <c r="CX17" s="823"/>
      <c r="CY17" s="823"/>
      <c r="CZ17" s="823"/>
      <c r="DA17" s="823"/>
      <c r="DB17" s="823"/>
      <c r="DC17" s="823"/>
      <c r="DD17" s="823"/>
      <c r="DE17" s="823"/>
      <c r="DF17" s="823"/>
      <c r="DG17" s="823"/>
      <c r="DH17" s="823"/>
      <c r="DI17" s="823"/>
      <c r="DJ17" s="823"/>
      <c r="DK17" s="823"/>
      <c r="DL17" s="823"/>
      <c r="DM17" s="823"/>
      <c r="DN17" s="823"/>
      <c r="DO17" s="823"/>
      <c r="DP17" s="823"/>
      <c r="DQ17" s="823"/>
      <c r="DR17" s="823"/>
      <c r="DS17" s="823"/>
      <c r="DT17" s="823"/>
      <c r="DU17" s="823"/>
      <c r="DV17" s="823"/>
      <c r="DW17" s="823"/>
      <c r="DX17" s="823"/>
      <c r="DY17" s="823"/>
      <c r="DZ17" s="823"/>
      <c r="EA17" s="823"/>
      <c r="EB17" s="823"/>
      <c r="EC17" s="823"/>
      <c r="ED17" s="823"/>
      <c r="EE17" s="823"/>
      <c r="EF17" s="823"/>
      <c r="EG17" s="823"/>
      <c r="EH17" s="823"/>
      <c r="EI17" s="823"/>
      <c r="EJ17" s="823"/>
      <c r="EK17" s="823"/>
      <c r="EL17" s="823"/>
      <c r="EM17" s="823"/>
      <c r="EN17" s="823"/>
      <c r="EO17" s="823"/>
      <c r="EP17" s="823"/>
      <c r="EQ17" s="823"/>
      <c r="ER17" s="823"/>
      <c r="ES17" s="823"/>
      <c r="ET17" s="823"/>
      <c r="EU17" s="823"/>
      <c r="EV17" s="823"/>
      <c r="EW17" s="823"/>
      <c r="EX17" s="823"/>
      <c r="EY17" s="823"/>
      <c r="EZ17" s="823"/>
      <c r="FA17" s="823"/>
      <c r="FB17" s="823"/>
      <c r="FC17" s="823"/>
      <c r="FD17" s="823"/>
      <c r="FE17" s="823"/>
      <c r="FF17" s="823"/>
      <c r="FG17" s="823"/>
      <c r="FH17" s="823"/>
      <c r="FI17" s="823"/>
      <c r="FJ17" s="823"/>
      <c r="FK17" s="823"/>
      <c r="FL17" s="823"/>
      <c r="FM17" s="823"/>
      <c r="FN17" s="823"/>
      <c r="FO17" s="823"/>
      <c r="FP17" s="823"/>
      <c r="FQ17" s="823"/>
      <c r="FR17" s="823"/>
      <c r="FS17" s="823"/>
      <c r="FT17" s="823"/>
      <c r="FU17" s="823"/>
      <c r="FV17" s="823"/>
      <c r="FW17" s="823"/>
      <c r="FX17" s="823"/>
      <c r="FY17" s="823"/>
      <c r="FZ17" s="823"/>
      <c r="GA17" s="823"/>
      <c r="GB17" s="823"/>
      <c r="GC17" s="823"/>
      <c r="GD17" s="823"/>
      <c r="GE17" s="823"/>
      <c r="GF17" s="823"/>
      <c r="GG17" s="823"/>
      <c r="GH17" s="823"/>
      <c r="GI17" s="823"/>
      <c r="GJ17" s="823"/>
      <c r="GK17" s="823"/>
      <c r="GL17" s="823"/>
      <c r="GM17" s="823"/>
      <c r="GN17" s="823"/>
      <c r="GO17" s="823"/>
      <c r="GP17" s="823"/>
      <c r="GQ17" s="823"/>
      <c r="GR17" s="823"/>
      <c r="GS17" s="823"/>
      <c r="GT17" s="823"/>
      <c r="GU17" s="823"/>
      <c r="GV17" s="823"/>
      <c r="GW17" s="823"/>
      <c r="GX17" s="823"/>
      <c r="GY17" s="823"/>
      <c r="GZ17" s="823"/>
      <c r="HA17" s="823"/>
      <c r="HB17" s="823"/>
      <c r="HC17" s="823"/>
      <c r="HD17" s="823"/>
      <c r="HE17" s="823"/>
      <c r="HF17" s="823"/>
      <c r="HG17" s="823"/>
      <c r="HH17" s="823"/>
      <c r="HI17" s="823"/>
      <c r="HJ17" s="823"/>
      <c r="HK17" s="823"/>
      <c r="HL17" s="823"/>
      <c r="HM17" s="823"/>
      <c r="HN17" s="823"/>
      <c r="HO17" s="823"/>
      <c r="HP17" s="823"/>
      <c r="HQ17" s="823"/>
      <c r="HR17" s="823"/>
      <c r="HS17" s="823"/>
      <c r="HT17" s="823"/>
      <c r="HU17" s="823"/>
      <c r="HV17" s="823"/>
      <c r="HW17" s="823"/>
      <c r="HX17" s="823"/>
      <c r="HY17" s="823"/>
      <c r="HZ17" s="823"/>
      <c r="IA17" s="823"/>
      <c r="IB17" s="823"/>
    </row>
    <row r="18" customFormat="false" ht="13.8" hidden="false" customHeight="false" outlineLevel="0" collapsed="false">
      <c r="B18" s="851" t="n">
        <v>8</v>
      </c>
      <c r="C18" s="852"/>
      <c r="D18" s="853" t="s">
        <v>73</v>
      </c>
      <c r="E18" s="854" t="s">
        <v>592</v>
      </c>
      <c r="F18" s="824"/>
      <c r="G18" s="857"/>
      <c r="H18" s="857"/>
      <c r="I18" s="857"/>
      <c r="J18" s="857"/>
      <c r="K18" s="855" t="n">
        <f aca="false">+SUM(G18:J18)</f>
        <v>0</v>
      </c>
      <c r="L18" s="856" t="n">
        <f aca="false">+J40</f>
        <v>0</v>
      </c>
      <c r="M18" s="856" t="n">
        <f aca="false">+N40</f>
        <v>0</v>
      </c>
      <c r="N18" s="857" t="n">
        <f aca="false">+SUM(L18:M18)</f>
        <v>0</v>
      </c>
      <c r="O18" s="857" t="n">
        <f aca="false">+V40</f>
        <v>0</v>
      </c>
      <c r="P18" s="857" t="n">
        <f aca="false">+AC40</f>
        <v>0</v>
      </c>
      <c r="Q18" s="857" t="n">
        <f aca="false">+SUM(O18:P18)</f>
        <v>0</v>
      </c>
      <c r="R18" s="857"/>
      <c r="S18" s="857"/>
      <c r="T18" s="857"/>
      <c r="U18" s="857" t="n">
        <v>1</v>
      </c>
      <c r="V18" s="857" t="n">
        <v>1</v>
      </c>
      <c r="W18" s="857" t="n">
        <v>1</v>
      </c>
      <c r="X18" s="857" t="n">
        <v>1</v>
      </c>
      <c r="Y18" s="857" t="n">
        <v>1</v>
      </c>
      <c r="Z18" s="857" t="n">
        <v>1</v>
      </c>
      <c r="AA18" s="857" t="n">
        <v>1</v>
      </c>
      <c r="AB18" s="857" t="n">
        <v>1</v>
      </c>
      <c r="AC18" s="857" t="n">
        <v>1</v>
      </c>
      <c r="AD18" s="857" t="n">
        <v>1</v>
      </c>
      <c r="AE18" s="857" t="n">
        <v>1</v>
      </c>
      <c r="AF18" s="857" t="n">
        <v>1</v>
      </c>
      <c r="AG18" s="857" t="n">
        <v>1</v>
      </c>
      <c r="AH18" s="857" t="n">
        <v>1</v>
      </c>
      <c r="AI18" s="862"/>
      <c r="AJ18" s="857" t="n">
        <v>1</v>
      </c>
      <c r="AK18" s="857" t="n">
        <v>1</v>
      </c>
      <c r="AL18" s="857" t="n">
        <v>1</v>
      </c>
      <c r="AM18" s="857" t="n">
        <v>1</v>
      </c>
      <c r="AN18" s="857" t="n">
        <v>1</v>
      </c>
      <c r="AO18" s="857" t="n">
        <v>1</v>
      </c>
      <c r="AP18" s="863"/>
      <c r="AQ18" s="857" t="n">
        <v>1</v>
      </c>
      <c r="AR18" s="857" t="n">
        <v>1</v>
      </c>
      <c r="AS18" s="857" t="n">
        <v>1</v>
      </c>
      <c r="AT18" s="857" t="n">
        <v>1</v>
      </c>
      <c r="AU18" s="857" t="n">
        <v>1</v>
      </c>
      <c r="AV18" s="857" t="n">
        <v>1</v>
      </c>
      <c r="AW18" s="857" t="n">
        <v>1</v>
      </c>
      <c r="AX18" s="857" t="n">
        <v>1</v>
      </c>
      <c r="AY18" s="857" t="n">
        <v>1</v>
      </c>
      <c r="AZ18" s="857" t="n">
        <v>1</v>
      </c>
      <c r="BA18" s="860"/>
      <c r="BB18" s="861"/>
      <c r="BC18" s="823"/>
      <c r="BD18" s="823"/>
      <c r="BE18" s="823"/>
      <c r="BF18" s="823"/>
      <c r="BG18" s="823"/>
      <c r="BH18" s="823"/>
      <c r="BI18" s="823"/>
      <c r="BJ18" s="823"/>
      <c r="BK18" s="823"/>
      <c r="BL18" s="823"/>
      <c r="BM18" s="823"/>
      <c r="BN18" s="823"/>
      <c r="BO18" s="823"/>
      <c r="BP18" s="823"/>
      <c r="BQ18" s="823"/>
      <c r="BR18" s="823"/>
      <c r="BS18" s="823"/>
      <c r="BT18" s="823"/>
      <c r="BU18" s="823"/>
      <c r="BV18" s="823"/>
      <c r="BW18" s="823"/>
      <c r="BX18" s="823"/>
      <c r="BY18" s="823"/>
      <c r="BZ18" s="823"/>
      <c r="CA18" s="823"/>
      <c r="CB18" s="823"/>
      <c r="CC18" s="823"/>
      <c r="CD18" s="823"/>
      <c r="CE18" s="823"/>
      <c r="CF18" s="823"/>
      <c r="CG18" s="823"/>
      <c r="CH18" s="823"/>
      <c r="CI18" s="823"/>
      <c r="CJ18" s="823"/>
      <c r="CK18" s="823"/>
      <c r="CL18" s="823"/>
      <c r="CM18" s="823"/>
      <c r="CN18" s="823"/>
      <c r="CO18" s="823"/>
      <c r="CP18" s="823"/>
      <c r="CQ18" s="823"/>
      <c r="CR18" s="823"/>
      <c r="CS18" s="823"/>
      <c r="CT18" s="823"/>
      <c r="CU18" s="823"/>
      <c r="CV18" s="823"/>
      <c r="CW18" s="823"/>
      <c r="CX18" s="823"/>
      <c r="CY18" s="823"/>
      <c r="CZ18" s="823"/>
      <c r="DA18" s="823"/>
      <c r="DB18" s="823"/>
      <c r="DC18" s="823"/>
      <c r="DD18" s="823"/>
      <c r="DE18" s="823"/>
      <c r="DF18" s="823"/>
      <c r="DG18" s="823"/>
      <c r="DH18" s="823"/>
      <c r="DI18" s="823"/>
      <c r="DJ18" s="823"/>
      <c r="DK18" s="823"/>
      <c r="DL18" s="823"/>
      <c r="DM18" s="823"/>
      <c r="DN18" s="823"/>
      <c r="DO18" s="823"/>
      <c r="DP18" s="823"/>
      <c r="DQ18" s="823"/>
      <c r="DR18" s="823"/>
      <c r="DS18" s="823"/>
      <c r="DT18" s="823"/>
      <c r="DU18" s="823"/>
      <c r="DV18" s="823"/>
      <c r="DW18" s="823"/>
      <c r="DX18" s="823"/>
      <c r="DY18" s="823"/>
      <c r="DZ18" s="823"/>
      <c r="EA18" s="823"/>
      <c r="EB18" s="823"/>
      <c r="EC18" s="823"/>
      <c r="ED18" s="823"/>
      <c r="EE18" s="823"/>
      <c r="EF18" s="823"/>
      <c r="EG18" s="823"/>
      <c r="EH18" s="823"/>
      <c r="EI18" s="823"/>
      <c r="EJ18" s="823"/>
      <c r="EK18" s="823"/>
      <c r="EL18" s="823"/>
      <c r="EM18" s="823"/>
      <c r="EN18" s="823"/>
      <c r="EO18" s="823"/>
      <c r="EP18" s="823"/>
      <c r="EQ18" s="823"/>
      <c r="ER18" s="823"/>
      <c r="ES18" s="823"/>
      <c r="ET18" s="823"/>
      <c r="EU18" s="823"/>
      <c r="EV18" s="823"/>
      <c r="EW18" s="823"/>
      <c r="EX18" s="823"/>
      <c r="EY18" s="823"/>
      <c r="EZ18" s="823"/>
      <c r="FA18" s="823"/>
      <c r="FB18" s="823"/>
      <c r="FC18" s="823"/>
      <c r="FD18" s="823"/>
      <c r="FE18" s="823"/>
      <c r="FF18" s="823"/>
      <c r="FG18" s="823"/>
      <c r="FH18" s="823"/>
      <c r="FI18" s="823"/>
      <c r="FJ18" s="823"/>
      <c r="FK18" s="823"/>
      <c r="FL18" s="823"/>
      <c r="FM18" s="823"/>
      <c r="FN18" s="823"/>
      <c r="FO18" s="823"/>
      <c r="FP18" s="823"/>
      <c r="FQ18" s="823"/>
      <c r="FR18" s="823"/>
      <c r="FS18" s="823"/>
      <c r="FT18" s="823"/>
      <c r="FU18" s="823"/>
      <c r="FV18" s="823"/>
      <c r="FW18" s="823"/>
      <c r="FX18" s="823"/>
      <c r="FY18" s="823"/>
      <c r="FZ18" s="823"/>
      <c r="GA18" s="823"/>
      <c r="GB18" s="823"/>
      <c r="GC18" s="823"/>
      <c r="GD18" s="823"/>
      <c r="GE18" s="823"/>
      <c r="GF18" s="823"/>
      <c r="GG18" s="823"/>
      <c r="GH18" s="823"/>
      <c r="GI18" s="823"/>
      <c r="GJ18" s="823"/>
      <c r="GK18" s="823"/>
      <c r="GL18" s="823"/>
      <c r="GM18" s="823"/>
      <c r="GN18" s="823"/>
      <c r="GO18" s="823"/>
      <c r="GP18" s="823"/>
      <c r="GQ18" s="823"/>
      <c r="GR18" s="823"/>
      <c r="GS18" s="823"/>
      <c r="GT18" s="823"/>
      <c r="GU18" s="823"/>
      <c r="GV18" s="823"/>
      <c r="GW18" s="823"/>
      <c r="GX18" s="823"/>
      <c r="GY18" s="823"/>
      <c r="GZ18" s="823"/>
      <c r="HA18" s="823"/>
      <c r="HB18" s="823"/>
      <c r="HC18" s="823"/>
      <c r="HD18" s="823"/>
      <c r="HE18" s="823"/>
      <c r="HF18" s="823"/>
      <c r="HG18" s="823"/>
      <c r="HH18" s="823"/>
      <c r="HI18" s="823"/>
      <c r="HJ18" s="823"/>
      <c r="HK18" s="823"/>
      <c r="HL18" s="823"/>
      <c r="HM18" s="823"/>
      <c r="HN18" s="823"/>
      <c r="HO18" s="823"/>
      <c r="HP18" s="823"/>
      <c r="HQ18" s="823"/>
      <c r="HR18" s="823"/>
      <c r="HS18" s="823"/>
      <c r="HT18" s="823"/>
      <c r="HU18" s="823"/>
      <c r="HV18" s="823"/>
      <c r="HW18" s="823"/>
      <c r="HX18" s="823"/>
      <c r="HY18" s="823"/>
      <c r="HZ18" s="823"/>
      <c r="IA18" s="823"/>
      <c r="IB18" s="823"/>
    </row>
    <row r="19" customFormat="false" ht="13.8" hidden="false" customHeight="false" outlineLevel="0" collapsed="false">
      <c r="B19" s="851" t="n">
        <v>9</v>
      </c>
      <c r="C19" s="852"/>
      <c r="D19" s="853" t="s">
        <v>73</v>
      </c>
      <c r="E19" s="854" t="s">
        <v>593</v>
      </c>
      <c r="F19" s="824"/>
      <c r="G19" s="857"/>
      <c r="H19" s="857"/>
      <c r="I19" s="857"/>
      <c r="J19" s="857"/>
      <c r="K19" s="855" t="n">
        <f aca="false">+SUM(G19:J19)</f>
        <v>0</v>
      </c>
      <c r="L19" s="856" t="n">
        <f aca="false">+J41</f>
        <v>0</v>
      </c>
      <c r="M19" s="856" t="n">
        <f aca="false">+N41</f>
        <v>0</v>
      </c>
      <c r="N19" s="857" t="n">
        <f aca="false">+SUM(L19:M19)</f>
        <v>0</v>
      </c>
      <c r="O19" s="857" t="n">
        <f aca="false">+V41</f>
        <v>0</v>
      </c>
      <c r="P19" s="857" t="n">
        <f aca="false">+AC41</f>
        <v>0</v>
      </c>
      <c r="Q19" s="857" t="n">
        <f aca="false">+SUM(O19:P19)</f>
        <v>0</v>
      </c>
      <c r="R19" s="857"/>
      <c r="S19" s="857"/>
      <c r="T19" s="857"/>
      <c r="U19" s="857" t="n">
        <v>1</v>
      </c>
      <c r="V19" s="857" t="n">
        <v>1</v>
      </c>
      <c r="W19" s="857" t="n">
        <v>1</v>
      </c>
      <c r="X19" s="857" t="n">
        <v>1</v>
      </c>
      <c r="Y19" s="857" t="n">
        <v>1</v>
      </c>
      <c r="Z19" s="857" t="n">
        <v>1</v>
      </c>
      <c r="AA19" s="857" t="n">
        <v>1</v>
      </c>
      <c r="AB19" s="857" t="n">
        <v>1</v>
      </c>
      <c r="AC19" s="857" t="n">
        <v>1</v>
      </c>
      <c r="AD19" s="857" t="n">
        <v>1</v>
      </c>
      <c r="AE19" s="857" t="n">
        <v>1</v>
      </c>
      <c r="AF19" s="857" t="n">
        <v>1</v>
      </c>
      <c r="AG19" s="857" t="n">
        <v>1</v>
      </c>
      <c r="AH19" s="857" t="n">
        <v>1</v>
      </c>
      <c r="AI19" s="862"/>
      <c r="AJ19" s="857" t="n">
        <v>1</v>
      </c>
      <c r="AK19" s="857" t="n">
        <v>1</v>
      </c>
      <c r="AL19" s="857" t="n">
        <v>1</v>
      </c>
      <c r="AM19" s="857" t="n">
        <v>1</v>
      </c>
      <c r="AN19" s="857" t="n">
        <v>1</v>
      </c>
      <c r="AO19" s="857" t="n">
        <v>1</v>
      </c>
      <c r="AP19" s="863"/>
      <c r="AQ19" s="857" t="n">
        <v>1</v>
      </c>
      <c r="AR19" s="857" t="n">
        <v>1</v>
      </c>
      <c r="AS19" s="857" t="n">
        <v>1</v>
      </c>
      <c r="AT19" s="857" t="n">
        <v>1</v>
      </c>
      <c r="AU19" s="857" t="n">
        <v>1</v>
      </c>
      <c r="AV19" s="857" t="n">
        <v>1</v>
      </c>
      <c r="AW19" s="857" t="n">
        <v>1</v>
      </c>
      <c r="AX19" s="857" t="n">
        <v>1</v>
      </c>
      <c r="AY19" s="857" t="n">
        <v>1</v>
      </c>
      <c r="AZ19" s="857" t="n">
        <v>1</v>
      </c>
      <c r="BA19" s="860"/>
      <c r="BB19" s="861"/>
      <c r="BC19" s="823"/>
      <c r="BD19" s="823"/>
      <c r="BE19" s="823"/>
      <c r="BF19" s="823"/>
      <c r="BG19" s="823"/>
      <c r="BH19" s="823"/>
      <c r="BI19" s="823"/>
      <c r="BJ19" s="823"/>
      <c r="BK19" s="823"/>
      <c r="BL19" s="823"/>
      <c r="BM19" s="823"/>
      <c r="BN19" s="823"/>
      <c r="BO19" s="823"/>
      <c r="BP19" s="823"/>
      <c r="BQ19" s="823"/>
      <c r="BR19" s="823"/>
      <c r="BS19" s="823"/>
      <c r="BT19" s="823"/>
      <c r="BU19" s="823"/>
      <c r="BV19" s="823"/>
      <c r="BW19" s="823"/>
      <c r="BX19" s="823"/>
      <c r="BY19" s="823"/>
      <c r="BZ19" s="823"/>
      <c r="CA19" s="823"/>
      <c r="CB19" s="823"/>
      <c r="CC19" s="823"/>
      <c r="CD19" s="823"/>
      <c r="CE19" s="823"/>
      <c r="CF19" s="823"/>
      <c r="CG19" s="823"/>
      <c r="CH19" s="823"/>
      <c r="CI19" s="823"/>
      <c r="CJ19" s="823"/>
      <c r="CK19" s="823"/>
      <c r="CL19" s="823"/>
      <c r="CM19" s="823"/>
      <c r="CN19" s="823"/>
      <c r="CO19" s="823"/>
      <c r="CP19" s="823"/>
      <c r="CQ19" s="823"/>
      <c r="CR19" s="823"/>
      <c r="CS19" s="823"/>
      <c r="CT19" s="823"/>
      <c r="CU19" s="823"/>
      <c r="CV19" s="823"/>
      <c r="CW19" s="823"/>
      <c r="CX19" s="823"/>
      <c r="CY19" s="823"/>
      <c r="CZ19" s="823"/>
      <c r="DA19" s="823"/>
      <c r="DB19" s="823"/>
      <c r="DC19" s="823"/>
      <c r="DD19" s="823"/>
      <c r="DE19" s="823"/>
      <c r="DF19" s="823"/>
      <c r="DG19" s="823"/>
      <c r="DH19" s="823"/>
      <c r="DI19" s="823"/>
      <c r="DJ19" s="823"/>
      <c r="DK19" s="823"/>
      <c r="DL19" s="823"/>
      <c r="DM19" s="823"/>
      <c r="DN19" s="823"/>
      <c r="DO19" s="823"/>
      <c r="DP19" s="823"/>
      <c r="DQ19" s="823"/>
      <c r="DR19" s="823"/>
      <c r="DS19" s="823"/>
      <c r="DT19" s="823"/>
      <c r="DU19" s="823"/>
      <c r="DV19" s="823"/>
      <c r="DW19" s="823"/>
      <c r="DX19" s="823"/>
      <c r="DY19" s="823"/>
      <c r="DZ19" s="823"/>
      <c r="EA19" s="823"/>
      <c r="EB19" s="823"/>
      <c r="EC19" s="823"/>
      <c r="ED19" s="823"/>
      <c r="EE19" s="823"/>
      <c r="EF19" s="823"/>
      <c r="EG19" s="823"/>
      <c r="EH19" s="823"/>
      <c r="EI19" s="823"/>
      <c r="EJ19" s="823"/>
      <c r="EK19" s="823"/>
      <c r="EL19" s="823"/>
      <c r="EM19" s="823"/>
      <c r="EN19" s="823"/>
      <c r="EO19" s="823"/>
      <c r="EP19" s="823"/>
      <c r="EQ19" s="823"/>
      <c r="ER19" s="823"/>
      <c r="ES19" s="823"/>
      <c r="ET19" s="823"/>
      <c r="EU19" s="823"/>
      <c r="EV19" s="823"/>
      <c r="EW19" s="823"/>
      <c r="EX19" s="823"/>
      <c r="EY19" s="823"/>
      <c r="EZ19" s="823"/>
      <c r="FA19" s="823"/>
      <c r="FB19" s="823"/>
      <c r="FC19" s="823"/>
      <c r="FD19" s="823"/>
      <c r="FE19" s="823"/>
      <c r="FF19" s="823"/>
      <c r="FG19" s="823"/>
      <c r="FH19" s="823"/>
      <c r="FI19" s="823"/>
      <c r="FJ19" s="823"/>
      <c r="FK19" s="823"/>
      <c r="FL19" s="823"/>
      <c r="FM19" s="823"/>
      <c r="FN19" s="823"/>
      <c r="FO19" s="823"/>
      <c r="FP19" s="823"/>
      <c r="FQ19" s="823"/>
      <c r="FR19" s="823"/>
      <c r="FS19" s="823"/>
      <c r="FT19" s="823"/>
      <c r="FU19" s="823"/>
      <c r="FV19" s="823"/>
      <c r="FW19" s="823"/>
      <c r="FX19" s="823"/>
      <c r="FY19" s="823"/>
      <c r="FZ19" s="823"/>
      <c r="GA19" s="823"/>
      <c r="GB19" s="823"/>
      <c r="GC19" s="823"/>
      <c r="GD19" s="823"/>
      <c r="GE19" s="823"/>
      <c r="GF19" s="823"/>
      <c r="GG19" s="823"/>
      <c r="GH19" s="823"/>
      <c r="GI19" s="823"/>
      <c r="GJ19" s="823"/>
      <c r="GK19" s="823"/>
      <c r="GL19" s="823"/>
      <c r="GM19" s="823"/>
      <c r="GN19" s="823"/>
      <c r="GO19" s="823"/>
      <c r="GP19" s="823"/>
      <c r="GQ19" s="823"/>
      <c r="GR19" s="823"/>
      <c r="GS19" s="823"/>
      <c r="GT19" s="823"/>
      <c r="GU19" s="823"/>
      <c r="GV19" s="823"/>
      <c r="GW19" s="823"/>
      <c r="GX19" s="823"/>
      <c r="GY19" s="823"/>
      <c r="GZ19" s="823"/>
      <c r="HA19" s="823"/>
      <c r="HB19" s="823"/>
      <c r="HC19" s="823"/>
      <c r="HD19" s="823"/>
      <c r="HE19" s="823"/>
      <c r="HF19" s="823"/>
      <c r="HG19" s="823"/>
      <c r="HH19" s="823"/>
      <c r="HI19" s="823"/>
      <c r="HJ19" s="823"/>
      <c r="HK19" s="823"/>
      <c r="HL19" s="823"/>
      <c r="HM19" s="823"/>
      <c r="HN19" s="823"/>
      <c r="HO19" s="823"/>
      <c r="HP19" s="823"/>
      <c r="HQ19" s="823"/>
      <c r="HR19" s="823"/>
      <c r="HS19" s="823"/>
      <c r="HT19" s="823"/>
      <c r="HU19" s="823"/>
      <c r="HV19" s="823"/>
      <c r="HW19" s="823"/>
      <c r="HX19" s="823"/>
      <c r="HY19" s="823"/>
      <c r="HZ19" s="823"/>
      <c r="IA19" s="823"/>
      <c r="IB19" s="823"/>
    </row>
    <row r="20" customFormat="false" ht="13.8" hidden="false" customHeight="false" outlineLevel="0" collapsed="false">
      <c r="B20" s="851" t="n">
        <v>10</v>
      </c>
      <c r="C20" s="852"/>
      <c r="D20" s="853" t="s">
        <v>99</v>
      </c>
      <c r="E20" s="854" t="s">
        <v>594</v>
      </c>
      <c r="F20" s="824"/>
      <c r="G20" s="857"/>
      <c r="H20" s="857"/>
      <c r="I20" s="857"/>
      <c r="J20" s="857"/>
      <c r="K20" s="855" t="n">
        <f aca="false">+SUM(G20:J20)</f>
        <v>0</v>
      </c>
      <c r="L20" s="856" t="n">
        <f aca="false">+J42</f>
        <v>0</v>
      </c>
      <c r="M20" s="856" t="n">
        <f aca="false">+N42</f>
        <v>0</v>
      </c>
      <c r="N20" s="857" t="n">
        <f aca="false">+SUM(L20:M20)</f>
        <v>0</v>
      </c>
      <c r="O20" s="857" t="n">
        <f aca="false">+V42</f>
        <v>0</v>
      </c>
      <c r="P20" s="857" t="n">
        <f aca="false">+AC42</f>
        <v>0</v>
      </c>
      <c r="Q20" s="857" t="n">
        <f aca="false">+SUM(O20:P20)</f>
        <v>0</v>
      </c>
      <c r="R20" s="857"/>
      <c r="S20" s="857"/>
      <c r="T20" s="857"/>
      <c r="U20" s="857" t="n">
        <v>1</v>
      </c>
      <c r="V20" s="857" t="n">
        <v>1</v>
      </c>
      <c r="W20" s="857" t="n">
        <v>1</v>
      </c>
      <c r="X20" s="857" t="n">
        <v>1</v>
      </c>
      <c r="Y20" s="857" t="n">
        <v>1</v>
      </c>
      <c r="Z20" s="857" t="n">
        <v>1</v>
      </c>
      <c r="AA20" s="857" t="n">
        <v>1</v>
      </c>
      <c r="AB20" s="857" t="n">
        <v>1</v>
      </c>
      <c r="AC20" s="857" t="n">
        <v>1</v>
      </c>
      <c r="AD20" s="857" t="n">
        <v>1</v>
      </c>
      <c r="AE20" s="857" t="n">
        <v>1</v>
      </c>
      <c r="AF20" s="857" t="n">
        <v>1</v>
      </c>
      <c r="AG20" s="857" t="n">
        <v>1</v>
      </c>
      <c r="AH20" s="857" t="n">
        <v>1</v>
      </c>
      <c r="AI20" s="862"/>
      <c r="AJ20" s="857" t="n">
        <v>1</v>
      </c>
      <c r="AK20" s="857" t="n">
        <v>1</v>
      </c>
      <c r="AL20" s="857" t="n">
        <v>1</v>
      </c>
      <c r="AM20" s="857" t="n">
        <v>1</v>
      </c>
      <c r="AN20" s="857" t="n">
        <v>1</v>
      </c>
      <c r="AO20" s="857" t="n">
        <v>1</v>
      </c>
      <c r="AP20" s="863"/>
      <c r="AQ20" s="857" t="n">
        <v>1</v>
      </c>
      <c r="AR20" s="857" t="n">
        <v>1</v>
      </c>
      <c r="AS20" s="857" t="n">
        <v>1</v>
      </c>
      <c r="AT20" s="857" t="n">
        <v>1</v>
      </c>
      <c r="AU20" s="857" t="n">
        <v>1</v>
      </c>
      <c r="AV20" s="857" t="n">
        <v>1</v>
      </c>
      <c r="AW20" s="857" t="n">
        <v>1</v>
      </c>
      <c r="AX20" s="857" t="n">
        <v>1</v>
      </c>
      <c r="AY20" s="857" t="n">
        <v>1</v>
      </c>
      <c r="AZ20" s="857" t="n">
        <v>1</v>
      </c>
      <c r="BA20" s="860"/>
      <c r="BB20" s="861"/>
      <c r="BC20" s="823"/>
      <c r="BD20" s="823"/>
      <c r="BE20" s="823"/>
      <c r="BF20" s="823"/>
      <c r="BG20" s="823"/>
      <c r="BH20" s="823"/>
      <c r="BI20" s="823"/>
      <c r="BJ20" s="823"/>
      <c r="BK20" s="823"/>
      <c r="BL20" s="823"/>
      <c r="BM20" s="823"/>
      <c r="BN20" s="823"/>
      <c r="BO20" s="823"/>
      <c r="BP20" s="823"/>
      <c r="BQ20" s="823"/>
      <c r="BR20" s="823"/>
      <c r="BS20" s="823"/>
      <c r="BT20" s="823"/>
      <c r="BU20" s="823"/>
      <c r="BV20" s="823"/>
      <c r="BW20" s="823"/>
      <c r="BX20" s="823"/>
      <c r="BY20" s="823"/>
      <c r="BZ20" s="823"/>
      <c r="CA20" s="823"/>
      <c r="CB20" s="823"/>
      <c r="CC20" s="823"/>
      <c r="CD20" s="823"/>
      <c r="CE20" s="823"/>
      <c r="CF20" s="823"/>
      <c r="CG20" s="823"/>
      <c r="CH20" s="823"/>
      <c r="CI20" s="823"/>
      <c r="CJ20" s="823"/>
      <c r="CK20" s="823"/>
      <c r="CL20" s="823"/>
      <c r="CM20" s="823"/>
      <c r="CN20" s="823"/>
      <c r="CO20" s="823"/>
      <c r="CP20" s="823"/>
      <c r="CQ20" s="823"/>
      <c r="CR20" s="823"/>
      <c r="CS20" s="823"/>
      <c r="CT20" s="823"/>
      <c r="CU20" s="823"/>
      <c r="CV20" s="823"/>
      <c r="CW20" s="823"/>
      <c r="CX20" s="823"/>
      <c r="CY20" s="823"/>
      <c r="CZ20" s="823"/>
      <c r="DA20" s="823"/>
      <c r="DB20" s="823"/>
      <c r="DC20" s="823"/>
      <c r="DD20" s="823"/>
      <c r="DE20" s="823"/>
      <c r="DF20" s="823"/>
      <c r="DG20" s="823"/>
      <c r="DH20" s="823"/>
      <c r="DI20" s="823"/>
      <c r="DJ20" s="823"/>
      <c r="DK20" s="823"/>
      <c r="DL20" s="823"/>
      <c r="DM20" s="823"/>
      <c r="DN20" s="823"/>
      <c r="DO20" s="823"/>
      <c r="DP20" s="823"/>
      <c r="DQ20" s="823"/>
      <c r="DR20" s="823"/>
      <c r="DS20" s="823"/>
      <c r="DT20" s="823"/>
      <c r="DU20" s="823"/>
      <c r="DV20" s="823"/>
      <c r="DW20" s="823"/>
      <c r="DX20" s="823"/>
      <c r="DY20" s="823"/>
      <c r="DZ20" s="823"/>
      <c r="EA20" s="823"/>
      <c r="EB20" s="823"/>
      <c r="EC20" s="823"/>
      <c r="ED20" s="823"/>
      <c r="EE20" s="823"/>
      <c r="EF20" s="823"/>
      <c r="EG20" s="823"/>
      <c r="EH20" s="823"/>
      <c r="EI20" s="823"/>
      <c r="EJ20" s="823"/>
      <c r="EK20" s="823"/>
      <c r="EL20" s="823"/>
      <c r="EM20" s="823"/>
      <c r="EN20" s="823"/>
      <c r="EO20" s="823"/>
      <c r="EP20" s="823"/>
      <c r="EQ20" s="823"/>
      <c r="ER20" s="823"/>
      <c r="ES20" s="823"/>
      <c r="ET20" s="823"/>
      <c r="EU20" s="823"/>
      <c r="EV20" s="823"/>
      <c r="EW20" s="823"/>
      <c r="EX20" s="823"/>
      <c r="EY20" s="823"/>
      <c r="EZ20" s="823"/>
      <c r="FA20" s="823"/>
      <c r="FB20" s="823"/>
      <c r="FC20" s="823"/>
      <c r="FD20" s="823"/>
      <c r="FE20" s="823"/>
      <c r="FF20" s="823"/>
      <c r="FG20" s="823"/>
      <c r="FH20" s="823"/>
      <c r="FI20" s="823"/>
      <c r="FJ20" s="823"/>
      <c r="FK20" s="823"/>
      <c r="FL20" s="823"/>
      <c r="FM20" s="823"/>
      <c r="FN20" s="823"/>
      <c r="FO20" s="823"/>
      <c r="FP20" s="823"/>
      <c r="FQ20" s="823"/>
      <c r="FR20" s="823"/>
      <c r="FS20" s="823"/>
      <c r="FT20" s="823"/>
      <c r="FU20" s="823"/>
      <c r="FV20" s="823"/>
      <c r="FW20" s="823"/>
      <c r="FX20" s="823"/>
      <c r="FY20" s="823"/>
      <c r="FZ20" s="823"/>
      <c r="GA20" s="823"/>
      <c r="GB20" s="823"/>
      <c r="GC20" s="823"/>
      <c r="GD20" s="823"/>
      <c r="GE20" s="823"/>
      <c r="GF20" s="823"/>
      <c r="GG20" s="823"/>
      <c r="GH20" s="823"/>
      <c r="GI20" s="823"/>
      <c r="GJ20" s="823"/>
      <c r="GK20" s="823"/>
      <c r="GL20" s="823"/>
      <c r="GM20" s="823"/>
      <c r="GN20" s="823"/>
      <c r="GO20" s="823"/>
      <c r="GP20" s="823"/>
      <c r="GQ20" s="823"/>
      <c r="GR20" s="823"/>
      <c r="GS20" s="823"/>
      <c r="GT20" s="823"/>
      <c r="GU20" s="823"/>
      <c r="GV20" s="823"/>
      <c r="GW20" s="823"/>
      <c r="GX20" s="823"/>
      <c r="GY20" s="823"/>
      <c r="GZ20" s="823"/>
      <c r="HA20" s="823"/>
      <c r="HB20" s="823"/>
      <c r="HC20" s="823"/>
      <c r="HD20" s="823"/>
      <c r="HE20" s="823"/>
      <c r="HF20" s="823"/>
      <c r="HG20" s="823"/>
      <c r="HH20" s="823"/>
      <c r="HI20" s="823"/>
      <c r="HJ20" s="823"/>
      <c r="HK20" s="823"/>
      <c r="HL20" s="823"/>
      <c r="HM20" s="823"/>
      <c r="HN20" s="823"/>
      <c r="HO20" s="823"/>
      <c r="HP20" s="823"/>
      <c r="HQ20" s="823"/>
      <c r="HR20" s="823"/>
      <c r="HS20" s="823"/>
      <c r="HT20" s="823"/>
      <c r="HU20" s="823"/>
      <c r="HV20" s="823"/>
      <c r="HW20" s="823"/>
      <c r="HX20" s="823"/>
      <c r="HY20" s="823"/>
      <c r="HZ20" s="823"/>
      <c r="IA20" s="823"/>
      <c r="IB20" s="823"/>
    </row>
    <row r="21" customFormat="false" ht="13.8" hidden="false" customHeight="false" outlineLevel="0" collapsed="false">
      <c r="B21" s="851" t="n">
        <v>11</v>
      </c>
      <c r="C21" s="852"/>
      <c r="D21" s="853" t="s">
        <v>90</v>
      </c>
      <c r="E21" s="854" t="s">
        <v>595</v>
      </c>
      <c r="F21" s="824"/>
      <c r="G21" s="857"/>
      <c r="H21" s="857"/>
      <c r="I21" s="857"/>
      <c r="J21" s="857"/>
      <c r="K21" s="855" t="n">
        <f aca="false">+SUM(G21:J21)</f>
        <v>0</v>
      </c>
      <c r="L21" s="856" t="n">
        <f aca="false">+J43</f>
        <v>0</v>
      </c>
      <c r="M21" s="856" t="n">
        <f aca="false">+N43</f>
        <v>0</v>
      </c>
      <c r="N21" s="857" t="n">
        <f aca="false">+SUM(L21:M21)</f>
        <v>0</v>
      </c>
      <c r="O21" s="857" t="n">
        <f aca="false">+V43</f>
        <v>0</v>
      </c>
      <c r="P21" s="857" t="n">
        <f aca="false">+AC43</f>
        <v>0</v>
      </c>
      <c r="Q21" s="857" t="n">
        <f aca="false">+SUM(O21:P21)</f>
        <v>0</v>
      </c>
      <c r="R21" s="857"/>
      <c r="S21" s="857"/>
      <c r="T21" s="857"/>
      <c r="U21" s="857" t="n">
        <v>1</v>
      </c>
      <c r="V21" s="857" t="n">
        <v>1</v>
      </c>
      <c r="W21" s="857" t="n">
        <v>1</v>
      </c>
      <c r="X21" s="857" t="n">
        <v>1</v>
      </c>
      <c r="Y21" s="857" t="n">
        <v>1</v>
      </c>
      <c r="Z21" s="857" t="n">
        <v>1</v>
      </c>
      <c r="AA21" s="857" t="n">
        <v>1</v>
      </c>
      <c r="AB21" s="857" t="n">
        <v>1</v>
      </c>
      <c r="AC21" s="857" t="n">
        <v>1</v>
      </c>
      <c r="AD21" s="857" t="n">
        <v>1</v>
      </c>
      <c r="AE21" s="857" t="n">
        <v>1</v>
      </c>
      <c r="AF21" s="857" t="n">
        <v>1</v>
      </c>
      <c r="AG21" s="857" t="n">
        <v>1</v>
      </c>
      <c r="AH21" s="857" t="n">
        <v>1</v>
      </c>
      <c r="AI21" s="862"/>
      <c r="AJ21" s="857" t="n">
        <v>1</v>
      </c>
      <c r="AK21" s="857" t="n">
        <v>1</v>
      </c>
      <c r="AL21" s="857" t="n">
        <v>1</v>
      </c>
      <c r="AM21" s="857" t="n">
        <v>1</v>
      </c>
      <c r="AN21" s="857" t="n">
        <v>1</v>
      </c>
      <c r="AO21" s="857" t="n">
        <v>1</v>
      </c>
      <c r="AP21" s="863"/>
      <c r="AQ21" s="857" t="n">
        <v>1</v>
      </c>
      <c r="AR21" s="857" t="n">
        <v>1</v>
      </c>
      <c r="AS21" s="857" t="n">
        <v>1</v>
      </c>
      <c r="AT21" s="857" t="n">
        <v>1</v>
      </c>
      <c r="AU21" s="857" t="n">
        <v>1</v>
      </c>
      <c r="AV21" s="857" t="n">
        <v>1</v>
      </c>
      <c r="AW21" s="857" t="n">
        <v>1</v>
      </c>
      <c r="AX21" s="857" t="n">
        <v>1</v>
      </c>
      <c r="AY21" s="857" t="n">
        <v>1</v>
      </c>
      <c r="AZ21" s="857" t="n">
        <v>1</v>
      </c>
      <c r="BA21" s="860"/>
      <c r="BB21" s="861"/>
      <c r="BC21" s="823"/>
      <c r="BD21" s="823"/>
      <c r="BE21" s="823"/>
      <c r="BF21" s="823"/>
      <c r="BG21" s="823"/>
      <c r="BH21" s="823"/>
      <c r="BI21" s="823"/>
      <c r="BJ21" s="823"/>
      <c r="BK21" s="823"/>
      <c r="BL21" s="823"/>
      <c r="BM21" s="823"/>
      <c r="BN21" s="823"/>
      <c r="BO21" s="823"/>
      <c r="BP21" s="823"/>
      <c r="BQ21" s="823"/>
      <c r="BR21" s="823"/>
      <c r="BS21" s="823"/>
      <c r="BT21" s="823"/>
      <c r="BU21" s="823"/>
      <c r="BV21" s="823"/>
      <c r="BW21" s="823"/>
      <c r="BX21" s="823"/>
      <c r="BY21" s="823"/>
      <c r="BZ21" s="823"/>
      <c r="CA21" s="823"/>
      <c r="CB21" s="823"/>
      <c r="CC21" s="823"/>
      <c r="CD21" s="823"/>
      <c r="CE21" s="823"/>
      <c r="CF21" s="823"/>
      <c r="CG21" s="823"/>
      <c r="CH21" s="823"/>
      <c r="CI21" s="823"/>
      <c r="CJ21" s="823"/>
      <c r="CK21" s="823"/>
      <c r="CL21" s="823"/>
      <c r="CM21" s="823"/>
      <c r="CN21" s="823"/>
      <c r="CO21" s="823"/>
      <c r="CP21" s="823"/>
      <c r="CQ21" s="823"/>
      <c r="CR21" s="823"/>
      <c r="CS21" s="823"/>
      <c r="CT21" s="823"/>
      <c r="CU21" s="823"/>
      <c r="CV21" s="823"/>
      <c r="CW21" s="823"/>
      <c r="CX21" s="823"/>
      <c r="CY21" s="823"/>
      <c r="CZ21" s="823"/>
      <c r="DA21" s="823"/>
      <c r="DB21" s="823"/>
      <c r="DC21" s="823"/>
      <c r="DD21" s="823"/>
      <c r="DE21" s="823"/>
      <c r="DF21" s="823"/>
      <c r="DG21" s="823"/>
      <c r="DH21" s="823"/>
      <c r="DI21" s="823"/>
      <c r="DJ21" s="823"/>
      <c r="DK21" s="823"/>
      <c r="DL21" s="823"/>
      <c r="DM21" s="823"/>
      <c r="DN21" s="823"/>
      <c r="DO21" s="823"/>
      <c r="DP21" s="823"/>
      <c r="DQ21" s="823"/>
      <c r="DR21" s="823"/>
      <c r="DS21" s="823"/>
      <c r="DT21" s="823"/>
      <c r="DU21" s="823"/>
      <c r="DV21" s="823"/>
      <c r="DW21" s="823"/>
      <c r="DX21" s="823"/>
      <c r="DY21" s="823"/>
      <c r="DZ21" s="823"/>
      <c r="EA21" s="823"/>
      <c r="EB21" s="823"/>
      <c r="EC21" s="823"/>
      <c r="ED21" s="823"/>
      <c r="EE21" s="823"/>
      <c r="EF21" s="823"/>
      <c r="EG21" s="823"/>
      <c r="EH21" s="823"/>
      <c r="EI21" s="823"/>
      <c r="EJ21" s="823"/>
      <c r="EK21" s="823"/>
      <c r="EL21" s="823"/>
      <c r="EM21" s="823"/>
      <c r="EN21" s="823"/>
      <c r="EO21" s="823"/>
      <c r="EP21" s="823"/>
      <c r="EQ21" s="823"/>
      <c r="ER21" s="823"/>
      <c r="ES21" s="823"/>
      <c r="ET21" s="823"/>
      <c r="EU21" s="823"/>
      <c r="EV21" s="823"/>
      <c r="EW21" s="823"/>
      <c r="EX21" s="823"/>
      <c r="EY21" s="823"/>
      <c r="EZ21" s="823"/>
      <c r="FA21" s="823"/>
      <c r="FB21" s="823"/>
      <c r="FC21" s="823"/>
      <c r="FD21" s="823"/>
      <c r="FE21" s="823"/>
      <c r="FF21" s="823"/>
      <c r="FG21" s="823"/>
      <c r="FH21" s="823"/>
      <c r="FI21" s="823"/>
      <c r="FJ21" s="823"/>
      <c r="FK21" s="823"/>
      <c r="FL21" s="823"/>
      <c r="FM21" s="823"/>
      <c r="FN21" s="823"/>
      <c r="FO21" s="823"/>
      <c r="FP21" s="823"/>
      <c r="FQ21" s="823"/>
      <c r="FR21" s="823"/>
      <c r="FS21" s="823"/>
      <c r="FT21" s="823"/>
      <c r="FU21" s="823"/>
      <c r="FV21" s="823"/>
      <c r="FW21" s="823"/>
      <c r="FX21" s="823"/>
      <c r="FY21" s="823"/>
      <c r="FZ21" s="823"/>
      <c r="GA21" s="823"/>
      <c r="GB21" s="823"/>
      <c r="GC21" s="823"/>
      <c r="GD21" s="823"/>
      <c r="GE21" s="823"/>
      <c r="GF21" s="823"/>
      <c r="GG21" s="823"/>
      <c r="GH21" s="823"/>
      <c r="GI21" s="823"/>
      <c r="GJ21" s="823"/>
      <c r="GK21" s="823"/>
      <c r="GL21" s="823"/>
      <c r="GM21" s="823"/>
      <c r="GN21" s="823"/>
      <c r="GO21" s="823"/>
      <c r="GP21" s="823"/>
      <c r="GQ21" s="823"/>
      <c r="GR21" s="823"/>
      <c r="GS21" s="823"/>
      <c r="GT21" s="823"/>
      <c r="GU21" s="823"/>
      <c r="GV21" s="823"/>
      <c r="GW21" s="823"/>
      <c r="GX21" s="823"/>
      <c r="GY21" s="823"/>
      <c r="GZ21" s="823"/>
      <c r="HA21" s="823"/>
      <c r="HB21" s="823"/>
      <c r="HC21" s="823"/>
      <c r="HD21" s="823"/>
      <c r="HE21" s="823"/>
      <c r="HF21" s="823"/>
      <c r="HG21" s="823"/>
      <c r="HH21" s="823"/>
      <c r="HI21" s="823"/>
      <c r="HJ21" s="823"/>
      <c r="HK21" s="823"/>
      <c r="HL21" s="823"/>
      <c r="HM21" s="823"/>
      <c r="HN21" s="823"/>
      <c r="HO21" s="823"/>
      <c r="HP21" s="823"/>
      <c r="HQ21" s="823"/>
      <c r="HR21" s="823"/>
      <c r="HS21" s="823"/>
      <c r="HT21" s="823"/>
      <c r="HU21" s="823"/>
      <c r="HV21" s="823"/>
      <c r="HW21" s="823"/>
      <c r="HX21" s="823"/>
      <c r="HY21" s="823"/>
      <c r="HZ21" s="823"/>
      <c r="IA21" s="823"/>
      <c r="IB21" s="823"/>
    </row>
    <row r="22" customFormat="false" ht="13.8" hidden="false" customHeight="false" outlineLevel="0" collapsed="false">
      <c r="B22" s="851" t="n">
        <v>12</v>
      </c>
      <c r="C22" s="852"/>
      <c r="D22" s="864"/>
      <c r="E22" s="865"/>
      <c r="F22" s="824"/>
      <c r="G22" s="857"/>
      <c r="H22" s="857"/>
      <c r="I22" s="857"/>
      <c r="J22" s="857"/>
      <c r="K22" s="857" t="n">
        <f aca="false">+SUM(G22:J22)</f>
        <v>0</v>
      </c>
      <c r="L22" s="856" t="n">
        <f aca="false">+J44</f>
        <v>0</v>
      </c>
      <c r="M22" s="856" t="n">
        <f aca="false">+N44</f>
        <v>0</v>
      </c>
      <c r="N22" s="857" t="n">
        <f aca="false">+SUM(L22:M22)</f>
        <v>0</v>
      </c>
      <c r="O22" s="857" t="n">
        <f aca="false">+V44</f>
        <v>0</v>
      </c>
      <c r="P22" s="857" t="n">
        <f aca="false">+AC44</f>
        <v>0</v>
      </c>
      <c r="Q22" s="857" t="n">
        <f aca="false">+SUM(O22:P22)</f>
        <v>0</v>
      </c>
      <c r="R22" s="857"/>
      <c r="S22" s="857"/>
      <c r="T22" s="857"/>
      <c r="U22" s="857" t="n">
        <v>1</v>
      </c>
      <c r="V22" s="857" t="n">
        <v>1</v>
      </c>
      <c r="W22" s="857" t="n">
        <v>1</v>
      </c>
      <c r="X22" s="857" t="n">
        <v>1</v>
      </c>
      <c r="Y22" s="857" t="n">
        <v>1</v>
      </c>
      <c r="Z22" s="857" t="n">
        <v>1</v>
      </c>
      <c r="AA22" s="857" t="n">
        <v>1</v>
      </c>
      <c r="AB22" s="857" t="n">
        <v>1</v>
      </c>
      <c r="AC22" s="857" t="n">
        <v>1</v>
      </c>
      <c r="AD22" s="857" t="n">
        <v>1</v>
      </c>
      <c r="AE22" s="857" t="n">
        <v>1</v>
      </c>
      <c r="AF22" s="857" t="n">
        <v>1</v>
      </c>
      <c r="AG22" s="857" t="n">
        <v>1</v>
      </c>
      <c r="AH22" s="857" t="n">
        <v>1</v>
      </c>
      <c r="AI22" s="862"/>
      <c r="AJ22" s="857" t="n">
        <v>1</v>
      </c>
      <c r="AK22" s="857" t="n">
        <v>1</v>
      </c>
      <c r="AL22" s="857" t="n">
        <v>1</v>
      </c>
      <c r="AM22" s="857" t="n">
        <v>1</v>
      </c>
      <c r="AN22" s="857" t="n">
        <v>1</v>
      </c>
      <c r="AO22" s="857" t="n">
        <v>1</v>
      </c>
      <c r="AP22" s="863"/>
      <c r="AQ22" s="857" t="n">
        <v>1</v>
      </c>
      <c r="AR22" s="857" t="n">
        <v>1</v>
      </c>
      <c r="AS22" s="857" t="n">
        <v>1</v>
      </c>
      <c r="AT22" s="857" t="n">
        <v>1</v>
      </c>
      <c r="AU22" s="857" t="n">
        <v>1</v>
      </c>
      <c r="AV22" s="857" t="n">
        <v>1</v>
      </c>
      <c r="AW22" s="857" t="n">
        <v>1</v>
      </c>
      <c r="AX22" s="857" t="n">
        <v>1</v>
      </c>
      <c r="AY22" s="857" t="n">
        <v>1</v>
      </c>
      <c r="AZ22" s="857" t="n">
        <v>1</v>
      </c>
      <c r="BA22" s="860"/>
      <c r="BB22" s="861"/>
      <c r="BC22" s="823"/>
      <c r="BD22" s="823"/>
      <c r="BE22" s="823"/>
      <c r="BF22" s="823"/>
      <c r="BG22" s="823"/>
      <c r="BH22" s="823"/>
      <c r="BI22" s="823"/>
      <c r="BJ22" s="823"/>
      <c r="BK22" s="823"/>
      <c r="BL22" s="823"/>
      <c r="BM22" s="823"/>
      <c r="BN22" s="823"/>
      <c r="BO22" s="823"/>
      <c r="BP22" s="823"/>
      <c r="BQ22" s="823"/>
      <c r="BR22" s="823"/>
      <c r="BS22" s="823"/>
      <c r="BT22" s="823"/>
      <c r="BU22" s="823"/>
      <c r="BV22" s="823"/>
      <c r="BW22" s="823"/>
      <c r="BX22" s="823"/>
      <c r="BY22" s="823"/>
      <c r="BZ22" s="823"/>
      <c r="CA22" s="823"/>
      <c r="CB22" s="823"/>
      <c r="CC22" s="823"/>
      <c r="CD22" s="823"/>
      <c r="CE22" s="823"/>
      <c r="CF22" s="823"/>
      <c r="CG22" s="823"/>
      <c r="CH22" s="823"/>
      <c r="CI22" s="823"/>
      <c r="CJ22" s="823"/>
      <c r="CK22" s="823"/>
      <c r="CL22" s="823"/>
      <c r="CM22" s="823"/>
      <c r="CN22" s="823"/>
      <c r="CO22" s="823"/>
      <c r="CP22" s="823"/>
      <c r="CQ22" s="823"/>
      <c r="CR22" s="823"/>
      <c r="CS22" s="823"/>
      <c r="CT22" s="823"/>
      <c r="CU22" s="823"/>
      <c r="CV22" s="823"/>
      <c r="CW22" s="823"/>
      <c r="CX22" s="823"/>
      <c r="CY22" s="823"/>
      <c r="CZ22" s="823"/>
      <c r="DA22" s="823"/>
      <c r="DB22" s="823"/>
      <c r="DC22" s="823"/>
      <c r="DD22" s="823"/>
      <c r="DE22" s="823"/>
      <c r="DF22" s="823"/>
      <c r="DG22" s="823"/>
      <c r="DH22" s="823"/>
      <c r="DI22" s="823"/>
      <c r="DJ22" s="823"/>
      <c r="DK22" s="823"/>
      <c r="DL22" s="823"/>
      <c r="DM22" s="823"/>
      <c r="DN22" s="823"/>
      <c r="DO22" s="823"/>
      <c r="DP22" s="823"/>
      <c r="DQ22" s="823"/>
      <c r="DR22" s="823"/>
      <c r="DS22" s="823"/>
      <c r="DT22" s="823"/>
      <c r="DU22" s="823"/>
      <c r="DV22" s="823"/>
      <c r="DW22" s="823"/>
      <c r="DX22" s="823"/>
      <c r="DY22" s="823"/>
      <c r="DZ22" s="823"/>
      <c r="EA22" s="823"/>
      <c r="EB22" s="823"/>
      <c r="EC22" s="823"/>
      <c r="ED22" s="823"/>
      <c r="EE22" s="823"/>
      <c r="EF22" s="823"/>
      <c r="EG22" s="823"/>
      <c r="EH22" s="823"/>
      <c r="EI22" s="823"/>
      <c r="EJ22" s="823"/>
      <c r="EK22" s="823"/>
      <c r="EL22" s="823"/>
      <c r="EM22" s="823"/>
      <c r="EN22" s="823"/>
      <c r="EO22" s="823"/>
      <c r="EP22" s="823"/>
      <c r="EQ22" s="823"/>
      <c r="ER22" s="823"/>
      <c r="ES22" s="823"/>
      <c r="ET22" s="823"/>
      <c r="EU22" s="823"/>
      <c r="EV22" s="823"/>
      <c r="EW22" s="823"/>
      <c r="EX22" s="823"/>
      <c r="EY22" s="823"/>
      <c r="EZ22" s="823"/>
      <c r="FA22" s="823"/>
      <c r="FB22" s="823"/>
      <c r="FC22" s="823"/>
      <c r="FD22" s="823"/>
      <c r="FE22" s="823"/>
      <c r="FF22" s="823"/>
      <c r="FG22" s="823"/>
      <c r="FH22" s="823"/>
      <c r="FI22" s="823"/>
      <c r="FJ22" s="823"/>
      <c r="FK22" s="823"/>
      <c r="FL22" s="823"/>
      <c r="FM22" s="823"/>
      <c r="FN22" s="823"/>
      <c r="FO22" s="823"/>
      <c r="FP22" s="823"/>
      <c r="FQ22" s="823"/>
      <c r="FR22" s="823"/>
      <c r="FS22" s="823"/>
      <c r="FT22" s="823"/>
      <c r="FU22" s="823"/>
      <c r="FV22" s="823"/>
      <c r="FW22" s="823"/>
      <c r="FX22" s="823"/>
      <c r="FY22" s="823"/>
      <c r="FZ22" s="823"/>
      <c r="GA22" s="823"/>
      <c r="GB22" s="823"/>
      <c r="GC22" s="823"/>
      <c r="GD22" s="823"/>
      <c r="GE22" s="823"/>
      <c r="GF22" s="823"/>
      <c r="GG22" s="823"/>
      <c r="GH22" s="823"/>
      <c r="GI22" s="823"/>
      <c r="GJ22" s="823"/>
      <c r="GK22" s="823"/>
      <c r="GL22" s="823"/>
      <c r="GM22" s="823"/>
      <c r="GN22" s="823"/>
      <c r="GO22" s="823"/>
      <c r="GP22" s="823"/>
      <c r="GQ22" s="823"/>
      <c r="GR22" s="823"/>
      <c r="GS22" s="823"/>
      <c r="GT22" s="823"/>
      <c r="GU22" s="823"/>
      <c r="GV22" s="823"/>
      <c r="GW22" s="823"/>
      <c r="GX22" s="823"/>
      <c r="GY22" s="823"/>
      <c r="GZ22" s="823"/>
      <c r="HA22" s="823"/>
      <c r="HB22" s="823"/>
      <c r="HC22" s="823"/>
      <c r="HD22" s="823"/>
      <c r="HE22" s="823"/>
      <c r="HF22" s="823"/>
      <c r="HG22" s="823"/>
      <c r="HH22" s="823"/>
      <c r="HI22" s="823"/>
      <c r="HJ22" s="823"/>
      <c r="HK22" s="823"/>
      <c r="HL22" s="823"/>
      <c r="HM22" s="823"/>
      <c r="HN22" s="823"/>
      <c r="HO22" s="823"/>
      <c r="HP22" s="823"/>
      <c r="HQ22" s="823"/>
      <c r="HR22" s="823"/>
      <c r="HS22" s="823"/>
      <c r="HT22" s="823"/>
      <c r="HU22" s="823"/>
      <c r="HV22" s="823"/>
      <c r="HW22" s="823"/>
      <c r="HX22" s="823"/>
      <c r="HY22" s="823"/>
      <c r="HZ22" s="823"/>
      <c r="IA22" s="823"/>
      <c r="IB22" s="823"/>
    </row>
    <row r="23" customFormat="false" ht="13.8" hidden="false" customHeight="false" outlineLevel="0" collapsed="false">
      <c r="B23" s="851" t="n">
        <v>13</v>
      </c>
      <c r="C23" s="866"/>
      <c r="D23" s="867"/>
      <c r="E23" s="866"/>
      <c r="F23" s="824"/>
      <c r="G23" s="868"/>
      <c r="H23" s="868"/>
      <c r="I23" s="868"/>
      <c r="J23" s="868"/>
      <c r="K23" s="868" t="n">
        <f aca="false">+SUM(G23:J23)</f>
        <v>0</v>
      </c>
      <c r="L23" s="869" t="n">
        <f aca="false">+J45</f>
        <v>0</v>
      </c>
      <c r="M23" s="869" t="n">
        <f aca="false">+N45</f>
        <v>0</v>
      </c>
      <c r="N23" s="868" t="n">
        <f aca="false">+SUM(L23:M23)</f>
        <v>0</v>
      </c>
      <c r="O23" s="868" t="n">
        <f aca="false">+V45</f>
        <v>0</v>
      </c>
      <c r="P23" s="868" t="n">
        <f aca="false">+AC45</f>
        <v>0</v>
      </c>
      <c r="Q23" s="868" t="n">
        <f aca="false">+SUM(O23:P23)</f>
        <v>0</v>
      </c>
      <c r="R23" s="857"/>
      <c r="S23" s="857"/>
      <c r="T23" s="857"/>
      <c r="U23" s="857" t="n">
        <v>1</v>
      </c>
      <c r="V23" s="857" t="n">
        <v>1</v>
      </c>
      <c r="W23" s="857" t="n">
        <v>1</v>
      </c>
      <c r="X23" s="857" t="n">
        <v>1</v>
      </c>
      <c r="Y23" s="857" t="n">
        <v>1</v>
      </c>
      <c r="Z23" s="857" t="n">
        <v>1</v>
      </c>
      <c r="AA23" s="857" t="n">
        <v>1</v>
      </c>
      <c r="AB23" s="857" t="n">
        <v>1</v>
      </c>
      <c r="AC23" s="857" t="n">
        <v>1</v>
      </c>
      <c r="AD23" s="857" t="n">
        <v>1</v>
      </c>
      <c r="AE23" s="857" t="n">
        <v>1</v>
      </c>
      <c r="AF23" s="857" t="n">
        <v>1</v>
      </c>
      <c r="AG23" s="857" t="n">
        <v>1</v>
      </c>
      <c r="AH23" s="857" t="n">
        <v>1</v>
      </c>
      <c r="AI23" s="870"/>
      <c r="AJ23" s="857" t="n">
        <v>1</v>
      </c>
      <c r="AK23" s="857" t="n">
        <v>1</v>
      </c>
      <c r="AL23" s="857" t="n">
        <v>1</v>
      </c>
      <c r="AM23" s="857" t="n">
        <v>1</v>
      </c>
      <c r="AN23" s="857" t="n">
        <v>1</v>
      </c>
      <c r="AO23" s="857" t="n">
        <v>1</v>
      </c>
      <c r="AP23" s="871"/>
      <c r="AQ23" s="857" t="n">
        <v>1</v>
      </c>
      <c r="AR23" s="857" t="n">
        <v>1</v>
      </c>
      <c r="AS23" s="857" t="n">
        <v>1</v>
      </c>
      <c r="AT23" s="857" t="n">
        <v>1</v>
      </c>
      <c r="AU23" s="857" t="n">
        <v>1</v>
      </c>
      <c r="AV23" s="857" t="n">
        <v>1</v>
      </c>
      <c r="AW23" s="857" t="n">
        <v>1</v>
      </c>
      <c r="AX23" s="857" t="n">
        <v>1</v>
      </c>
      <c r="AY23" s="857" t="n">
        <v>1</v>
      </c>
      <c r="AZ23" s="857" t="n">
        <v>1</v>
      </c>
      <c r="BA23" s="860"/>
      <c r="BB23" s="861"/>
      <c r="BC23" s="823"/>
      <c r="BD23" s="823"/>
      <c r="BE23" s="823"/>
      <c r="BF23" s="823"/>
      <c r="BG23" s="823"/>
      <c r="BH23" s="823"/>
      <c r="BI23" s="823"/>
      <c r="BJ23" s="823"/>
      <c r="BK23" s="823"/>
      <c r="BL23" s="823"/>
      <c r="BM23" s="823"/>
      <c r="BN23" s="823"/>
      <c r="BO23" s="823"/>
      <c r="BP23" s="823"/>
      <c r="BQ23" s="823"/>
      <c r="BR23" s="823"/>
      <c r="BS23" s="823"/>
      <c r="BT23" s="823"/>
      <c r="BU23" s="823"/>
      <c r="BV23" s="823"/>
      <c r="BW23" s="823"/>
      <c r="BX23" s="823"/>
      <c r="BY23" s="823"/>
      <c r="BZ23" s="823"/>
      <c r="CA23" s="823"/>
      <c r="CB23" s="823"/>
      <c r="CC23" s="823"/>
      <c r="CD23" s="823"/>
      <c r="CE23" s="823"/>
      <c r="CF23" s="823"/>
      <c r="CG23" s="823"/>
      <c r="CH23" s="823"/>
      <c r="CI23" s="823"/>
      <c r="CJ23" s="823"/>
      <c r="CK23" s="823"/>
      <c r="CL23" s="823"/>
      <c r="CM23" s="823"/>
      <c r="CN23" s="823"/>
      <c r="CO23" s="823"/>
      <c r="CP23" s="823"/>
      <c r="CQ23" s="823"/>
      <c r="CR23" s="823"/>
      <c r="CS23" s="823"/>
      <c r="CT23" s="823"/>
      <c r="CU23" s="823"/>
      <c r="CV23" s="823"/>
      <c r="CW23" s="823"/>
      <c r="CX23" s="823"/>
      <c r="CY23" s="823"/>
      <c r="CZ23" s="823"/>
      <c r="DA23" s="823"/>
      <c r="DB23" s="823"/>
      <c r="DC23" s="823"/>
      <c r="DD23" s="823"/>
      <c r="DE23" s="823"/>
      <c r="DF23" s="823"/>
      <c r="DG23" s="823"/>
      <c r="DH23" s="823"/>
      <c r="DI23" s="823"/>
      <c r="DJ23" s="823"/>
      <c r="DK23" s="823"/>
      <c r="DL23" s="823"/>
      <c r="DM23" s="823"/>
      <c r="DN23" s="823"/>
      <c r="DO23" s="823"/>
      <c r="DP23" s="823"/>
      <c r="DQ23" s="823"/>
      <c r="DR23" s="823"/>
      <c r="DS23" s="823"/>
      <c r="DT23" s="823"/>
      <c r="DU23" s="823"/>
      <c r="DV23" s="823"/>
      <c r="DW23" s="823"/>
      <c r="DX23" s="823"/>
      <c r="DY23" s="823"/>
      <c r="DZ23" s="823"/>
      <c r="EA23" s="823"/>
      <c r="EB23" s="823"/>
      <c r="EC23" s="823"/>
      <c r="ED23" s="823"/>
      <c r="EE23" s="823"/>
      <c r="EF23" s="823"/>
      <c r="EG23" s="823"/>
      <c r="EH23" s="823"/>
      <c r="EI23" s="823"/>
      <c r="EJ23" s="823"/>
      <c r="EK23" s="823"/>
      <c r="EL23" s="823"/>
      <c r="EM23" s="823"/>
      <c r="EN23" s="823"/>
      <c r="EO23" s="823"/>
      <c r="EP23" s="823"/>
      <c r="EQ23" s="823"/>
      <c r="ER23" s="823"/>
      <c r="ES23" s="823"/>
      <c r="ET23" s="823"/>
      <c r="EU23" s="823"/>
      <c r="EV23" s="823"/>
      <c r="EW23" s="823"/>
      <c r="EX23" s="823"/>
      <c r="EY23" s="823"/>
      <c r="EZ23" s="823"/>
      <c r="FA23" s="823"/>
      <c r="FB23" s="823"/>
      <c r="FC23" s="823"/>
      <c r="FD23" s="823"/>
      <c r="FE23" s="823"/>
      <c r="FF23" s="823"/>
      <c r="FG23" s="823"/>
      <c r="FH23" s="823"/>
      <c r="FI23" s="823"/>
      <c r="FJ23" s="823"/>
      <c r="FK23" s="823"/>
      <c r="FL23" s="823"/>
      <c r="FM23" s="823"/>
      <c r="FN23" s="823"/>
      <c r="FO23" s="823"/>
      <c r="FP23" s="823"/>
      <c r="FQ23" s="823"/>
      <c r="FR23" s="823"/>
      <c r="FS23" s="823"/>
      <c r="FT23" s="823"/>
      <c r="FU23" s="823"/>
      <c r="FV23" s="823"/>
      <c r="FW23" s="823"/>
      <c r="FX23" s="823"/>
      <c r="FY23" s="823"/>
      <c r="FZ23" s="823"/>
      <c r="GA23" s="823"/>
      <c r="GB23" s="823"/>
      <c r="GC23" s="823"/>
      <c r="GD23" s="823"/>
      <c r="GE23" s="823"/>
      <c r="GF23" s="823"/>
      <c r="GG23" s="823"/>
      <c r="GH23" s="823"/>
      <c r="GI23" s="823"/>
      <c r="GJ23" s="823"/>
      <c r="GK23" s="823"/>
      <c r="GL23" s="823"/>
      <c r="GM23" s="823"/>
      <c r="GN23" s="823"/>
      <c r="GO23" s="823"/>
      <c r="GP23" s="823"/>
      <c r="GQ23" s="823"/>
      <c r="GR23" s="823"/>
      <c r="GS23" s="823"/>
      <c r="GT23" s="823"/>
      <c r="GU23" s="823"/>
      <c r="GV23" s="823"/>
      <c r="GW23" s="823"/>
      <c r="GX23" s="823"/>
      <c r="GY23" s="823"/>
      <c r="GZ23" s="823"/>
      <c r="HA23" s="823"/>
      <c r="HB23" s="823"/>
      <c r="HC23" s="823"/>
      <c r="HD23" s="823"/>
      <c r="HE23" s="823"/>
      <c r="HF23" s="823"/>
      <c r="HG23" s="823"/>
      <c r="HH23" s="823"/>
      <c r="HI23" s="823"/>
      <c r="HJ23" s="823"/>
      <c r="HK23" s="823"/>
      <c r="HL23" s="823"/>
      <c r="HM23" s="823"/>
      <c r="HN23" s="823"/>
      <c r="HO23" s="823"/>
      <c r="HP23" s="823"/>
      <c r="HQ23" s="823"/>
      <c r="HR23" s="823"/>
      <c r="HS23" s="823"/>
      <c r="HT23" s="823"/>
      <c r="HU23" s="823"/>
      <c r="HV23" s="823"/>
      <c r="HW23" s="823"/>
      <c r="HX23" s="823"/>
      <c r="HY23" s="823"/>
      <c r="HZ23" s="823"/>
      <c r="IA23" s="823"/>
      <c r="IB23" s="823"/>
    </row>
    <row r="24" customFormat="false" ht="15" hidden="false" customHeight="false" outlineLevel="0" collapsed="false">
      <c r="B24" s="872"/>
      <c r="C24" s="872"/>
      <c r="D24" s="872"/>
      <c r="E24" s="873" t="s">
        <v>704</v>
      </c>
      <c r="F24" s="874"/>
      <c r="G24" s="875" t="n">
        <f aca="false">+SUM(G11:G23)</f>
        <v>2</v>
      </c>
      <c r="H24" s="875" t="n">
        <f aca="false">+SUM(H11:H23)</f>
        <v>1</v>
      </c>
      <c r="I24" s="875" t="n">
        <f aca="false">+SUM(I11:I23)</f>
        <v>1</v>
      </c>
      <c r="J24" s="875" t="n">
        <f aca="false">+SUM(J11:J23)</f>
        <v>0</v>
      </c>
      <c r="K24" s="875" t="n">
        <f aca="false">+SUM(K11:K23)</f>
        <v>4</v>
      </c>
      <c r="L24" s="875" t="n">
        <f aca="false">+SUM(L11:L23)</f>
        <v>10</v>
      </c>
      <c r="M24" s="875" t="n">
        <f aca="false">+SUM(M11:M23)</f>
        <v>9</v>
      </c>
      <c r="N24" s="875" t="n">
        <f aca="false">+SUM(N11:N23)</f>
        <v>19</v>
      </c>
      <c r="O24" s="875" t="n">
        <f aca="false">+SUM(O11:O23)</f>
        <v>65</v>
      </c>
      <c r="P24" s="875" t="n">
        <f aca="false">+SUM(P11:P23)</f>
        <v>47</v>
      </c>
      <c r="Q24" s="875" t="n">
        <f aca="false">+SUM(Q11:Q23)</f>
        <v>112</v>
      </c>
      <c r="R24" s="875" t="n">
        <f aca="false">+SUM(R11:R23)</f>
        <v>2</v>
      </c>
      <c r="S24" s="875" t="n">
        <f aca="false">+SUM(S11:S23)</f>
        <v>1</v>
      </c>
      <c r="T24" s="875" t="n">
        <f aca="false">+SUM(T11:T23)</f>
        <v>0</v>
      </c>
      <c r="U24" s="875" t="n">
        <f aca="false">+SUM(U11:U23)</f>
        <v>13</v>
      </c>
      <c r="V24" s="875" t="n">
        <f aca="false">+SUM(V11:V23)</f>
        <v>13</v>
      </c>
      <c r="W24" s="875" t="n">
        <f aca="false">+SUM(W11:W23)</f>
        <v>13</v>
      </c>
      <c r="X24" s="875" t="n">
        <f aca="false">+SUM(X11:X23)</f>
        <v>13</v>
      </c>
      <c r="Y24" s="875" t="n">
        <f aca="false">+SUM(Y11:Y23)</f>
        <v>13</v>
      </c>
      <c r="Z24" s="875" t="n">
        <f aca="false">+SUM(Z11:Z23)</f>
        <v>13</v>
      </c>
      <c r="AA24" s="875" t="n">
        <f aca="false">+SUM(AA11:AA23)</f>
        <v>13</v>
      </c>
      <c r="AB24" s="875" t="n">
        <f aca="false">+SUM(AB11:AB23)</f>
        <v>13</v>
      </c>
      <c r="AC24" s="875" t="n">
        <f aca="false">+SUM(AC11:AC23)</f>
        <v>13</v>
      </c>
      <c r="AD24" s="875" t="n">
        <f aca="false">+SUM(AD11:AD23)</f>
        <v>13</v>
      </c>
      <c r="AE24" s="875" t="n">
        <f aca="false">+SUM(AE11:AE23)</f>
        <v>13</v>
      </c>
      <c r="AF24" s="875" t="n">
        <f aca="false">+SUM(AF11:AF23)</f>
        <v>13</v>
      </c>
      <c r="AG24" s="875" t="n">
        <f aca="false">+SUM(AG11:AG23)</f>
        <v>13</v>
      </c>
      <c r="AH24" s="875" t="n">
        <f aca="false">+SUM(AH11:AH23)</f>
        <v>13</v>
      </c>
      <c r="AI24" s="876"/>
      <c r="AJ24" s="875" t="n">
        <f aca="false">+SUM(AJ11:AJ23)</f>
        <v>13</v>
      </c>
      <c r="AK24" s="875" t="n">
        <f aca="false">+SUM(AK11:AK23)</f>
        <v>13</v>
      </c>
      <c r="AL24" s="875" t="n">
        <f aca="false">+SUM(AL11:AL23)</f>
        <v>13</v>
      </c>
      <c r="AM24" s="875" t="n">
        <f aca="false">+SUM(AM11:AM23)</f>
        <v>13</v>
      </c>
      <c r="AN24" s="875" t="n">
        <f aca="false">+SUM(AN11:AN23)</f>
        <v>13</v>
      </c>
      <c r="AO24" s="875" t="n">
        <f aca="false">+SUM(AO11:AO23)</f>
        <v>13</v>
      </c>
      <c r="AP24" s="875" t="n">
        <f aca="false">+SUM(AP11:AP23)</f>
        <v>0</v>
      </c>
      <c r="AQ24" s="875" t="n">
        <f aca="false">+SUM(AQ11:AQ23)</f>
        <v>13</v>
      </c>
      <c r="AR24" s="875" t="n">
        <f aca="false">+SUM(AR11:AR23)</f>
        <v>13</v>
      </c>
      <c r="AS24" s="875" t="n">
        <f aca="false">+SUM(AS11:AS23)</f>
        <v>13</v>
      </c>
      <c r="AT24" s="875" t="n">
        <f aca="false">+SUM(AT11:AT23)</f>
        <v>13</v>
      </c>
      <c r="AU24" s="875" t="n">
        <f aca="false">+SUM(AU11:AU23)</f>
        <v>13</v>
      </c>
      <c r="AV24" s="875" t="n">
        <f aca="false">+SUM(AV11:AV23)</f>
        <v>13</v>
      </c>
      <c r="AW24" s="875" t="n">
        <f aca="false">+SUM(AW11:AW23)</f>
        <v>13</v>
      </c>
      <c r="AX24" s="875" t="n">
        <f aca="false">+SUM(AX11:AX23)</f>
        <v>13</v>
      </c>
      <c r="AY24" s="875" t="n">
        <f aca="false">+SUM(AY11:AY23)</f>
        <v>13</v>
      </c>
      <c r="AZ24" s="875" t="n">
        <f aca="false">+SUM(AZ11:AZ23)</f>
        <v>13</v>
      </c>
      <c r="BA24" s="877"/>
      <c r="BB24" s="878"/>
      <c r="BC24" s="879"/>
      <c r="BD24" s="879"/>
      <c r="BE24" s="879"/>
      <c r="BF24" s="879"/>
      <c r="BG24" s="879"/>
      <c r="BH24" s="879"/>
      <c r="BI24" s="879"/>
      <c r="BJ24" s="879"/>
      <c r="BK24" s="879"/>
      <c r="BL24" s="879"/>
      <c r="BM24" s="879"/>
      <c r="BN24" s="879"/>
      <c r="BO24" s="879"/>
      <c r="BP24" s="879"/>
      <c r="BQ24" s="879"/>
      <c r="BR24" s="879"/>
      <c r="BS24" s="879"/>
      <c r="BT24" s="879"/>
      <c r="BU24" s="879"/>
      <c r="BV24" s="879"/>
      <c r="BW24" s="879"/>
      <c r="BX24" s="879"/>
      <c r="BY24" s="879"/>
      <c r="BZ24" s="879"/>
      <c r="CA24" s="879"/>
      <c r="CB24" s="879"/>
      <c r="CC24" s="879"/>
      <c r="CD24" s="879"/>
      <c r="CE24" s="879"/>
      <c r="CF24" s="879"/>
      <c r="CG24" s="879"/>
      <c r="CH24" s="879"/>
      <c r="CI24" s="879"/>
      <c r="CJ24" s="879"/>
      <c r="CK24" s="879"/>
      <c r="CL24" s="879"/>
      <c r="CM24" s="879"/>
      <c r="CN24" s="879"/>
      <c r="CO24" s="879"/>
      <c r="CP24" s="879"/>
      <c r="CQ24" s="879"/>
      <c r="CR24" s="879"/>
      <c r="CS24" s="879"/>
      <c r="CT24" s="879"/>
      <c r="CU24" s="879"/>
      <c r="CV24" s="879"/>
      <c r="CW24" s="879"/>
      <c r="CX24" s="879"/>
      <c r="CY24" s="879"/>
      <c r="CZ24" s="879"/>
      <c r="DA24" s="879"/>
      <c r="DB24" s="879"/>
      <c r="DC24" s="879"/>
      <c r="DD24" s="879"/>
      <c r="DE24" s="879"/>
      <c r="DF24" s="879"/>
      <c r="DG24" s="879"/>
      <c r="DH24" s="879"/>
      <c r="DI24" s="879"/>
      <c r="DJ24" s="879"/>
      <c r="DK24" s="879"/>
      <c r="DL24" s="879"/>
      <c r="DM24" s="879"/>
      <c r="DN24" s="879"/>
      <c r="DO24" s="879"/>
      <c r="DP24" s="879"/>
      <c r="DQ24" s="879"/>
      <c r="DR24" s="879"/>
      <c r="DS24" s="879"/>
      <c r="DT24" s="879"/>
      <c r="DU24" s="879"/>
      <c r="DV24" s="879"/>
      <c r="DW24" s="879"/>
      <c r="DX24" s="879"/>
      <c r="DY24" s="879"/>
      <c r="DZ24" s="879"/>
      <c r="EA24" s="879"/>
      <c r="EB24" s="879"/>
      <c r="EC24" s="879"/>
      <c r="ED24" s="879"/>
      <c r="EE24" s="879"/>
      <c r="EF24" s="879"/>
      <c r="EG24" s="879"/>
      <c r="EH24" s="879"/>
      <c r="EI24" s="879"/>
      <c r="EJ24" s="879"/>
      <c r="EK24" s="879"/>
      <c r="EL24" s="879"/>
      <c r="EM24" s="879"/>
      <c r="EN24" s="879"/>
      <c r="EO24" s="879"/>
      <c r="EP24" s="879"/>
      <c r="EQ24" s="879"/>
      <c r="ER24" s="879"/>
      <c r="ES24" s="879"/>
      <c r="ET24" s="879"/>
      <c r="EU24" s="879"/>
      <c r="EV24" s="879"/>
      <c r="EW24" s="879"/>
      <c r="EX24" s="879"/>
      <c r="EY24" s="879"/>
      <c r="EZ24" s="879"/>
      <c r="FA24" s="879"/>
      <c r="FB24" s="879"/>
      <c r="FC24" s="879"/>
      <c r="FD24" s="879"/>
      <c r="FE24" s="879"/>
      <c r="FF24" s="879"/>
      <c r="FG24" s="879"/>
      <c r="FH24" s="879"/>
      <c r="FI24" s="879"/>
      <c r="FJ24" s="879"/>
      <c r="FK24" s="879"/>
      <c r="FL24" s="879"/>
      <c r="FM24" s="879"/>
      <c r="FN24" s="879"/>
      <c r="FO24" s="879"/>
      <c r="FP24" s="879"/>
      <c r="FQ24" s="879"/>
      <c r="FR24" s="879"/>
      <c r="FS24" s="879"/>
      <c r="FT24" s="879"/>
      <c r="FU24" s="879"/>
      <c r="FV24" s="879"/>
      <c r="FW24" s="879"/>
      <c r="FX24" s="879"/>
      <c r="FY24" s="879"/>
      <c r="FZ24" s="879"/>
      <c r="GA24" s="879"/>
      <c r="GB24" s="879"/>
      <c r="GC24" s="879"/>
      <c r="GD24" s="879"/>
      <c r="GE24" s="879"/>
      <c r="GF24" s="879"/>
      <c r="GG24" s="879"/>
      <c r="GH24" s="879"/>
      <c r="GI24" s="879"/>
      <c r="GJ24" s="879"/>
      <c r="GK24" s="879"/>
      <c r="GL24" s="879"/>
      <c r="GM24" s="879"/>
      <c r="GN24" s="879"/>
      <c r="GO24" s="879"/>
      <c r="GP24" s="879"/>
      <c r="GQ24" s="879"/>
      <c r="GR24" s="879"/>
      <c r="GS24" s="879"/>
      <c r="GT24" s="879"/>
      <c r="GU24" s="879"/>
      <c r="GV24" s="879"/>
      <c r="GW24" s="879"/>
      <c r="GX24" s="879"/>
      <c r="GY24" s="879"/>
      <c r="GZ24" s="879"/>
      <c r="HA24" s="879"/>
      <c r="HB24" s="879"/>
      <c r="HC24" s="879"/>
      <c r="HD24" s="879"/>
      <c r="HE24" s="879"/>
      <c r="HF24" s="879"/>
      <c r="HG24" s="879"/>
      <c r="HH24" s="879"/>
      <c r="HI24" s="879"/>
      <c r="HJ24" s="879"/>
      <c r="HK24" s="879"/>
      <c r="HL24" s="879"/>
      <c r="HM24" s="879"/>
      <c r="HN24" s="879"/>
      <c r="HO24" s="879"/>
      <c r="HP24" s="879"/>
      <c r="HQ24" s="879"/>
      <c r="HR24" s="879"/>
      <c r="HS24" s="879"/>
      <c r="HT24" s="879"/>
      <c r="HU24" s="879"/>
      <c r="HV24" s="879"/>
      <c r="HW24" s="879"/>
      <c r="HX24" s="879"/>
      <c r="HY24" s="879"/>
      <c r="HZ24" s="879"/>
      <c r="IA24" s="879"/>
      <c r="IB24" s="879"/>
    </row>
    <row r="25" s="796" customFormat="true" ht="15" hidden="false" customHeight="false" outlineLevel="0" collapsed="false">
      <c r="B25" s="880"/>
      <c r="C25" s="880"/>
      <c r="D25" s="880"/>
      <c r="E25" s="881"/>
      <c r="F25" s="882"/>
      <c r="G25" s="883"/>
      <c r="H25" s="883"/>
      <c r="I25" s="883"/>
      <c r="J25" s="883"/>
      <c r="K25" s="883"/>
      <c r="L25" s="883"/>
      <c r="M25" s="883"/>
      <c r="N25" s="883"/>
      <c r="O25" s="883"/>
      <c r="P25" s="883"/>
      <c r="Q25" s="883"/>
      <c r="R25" s="880"/>
      <c r="S25" s="878"/>
      <c r="T25" s="878"/>
      <c r="U25" s="880"/>
      <c r="V25" s="880"/>
      <c r="W25" s="880"/>
      <c r="X25" s="880"/>
      <c r="Y25" s="880"/>
      <c r="Z25" s="880"/>
      <c r="AA25" s="880"/>
      <c r="AB25" s="880"/>
      <c r="AC25" s="880"/>
      <c r="AD25" s="880"/>
      <c r="AE25" s="880"/>
      <c r="AF25" s="880"/>
      <c r="AG25" s="880"/>
      <c r="AH25" s="880"/>
      <c r="AI25" s="884"/>
      <c r="AJ25" s="880"/>
      <c r="AK25" s="878"/>
      <c r="AL25" s="878"/>
      <c r="AM25" s="878"/>
      <c r="AN25" s="880"/>
      <c r="AO25" s="880"/>
      <c r="AP25" s="880"/>
      <c r="AQ25" s="878"/>
      <c r="AR25" s="878"/>
      <c r="AS25" s="878"/>
      <c r="AT25" s="878"/>
      <c r="AU25" s="878"/>
      <c r="AV25" s="878"/>
      <c r="AW25" s="878"/>
      <c r="AX25" s="878"/>
      <c r="AY25" s="878"/>
      <c r="AZ25" s="878"/>
      <c r="BA25" s="878"/>
      <c r="BB25" s="878"/>
      <c r="BC25" s="882"/>
      <c r="BD25" s="882"/>
      <c r="BE25" s="882"/>
      <c r="BF25" s="882"/>
      <c r="BG25" s="882"/>
      <c r="BH25" s="882"/>
      <c r="BI25" s="882"/>
      <c r="BJ25" s="882"/>
      <c r="BK25" s="882"/>
      <c r="BL25" s="882"/>
      <c r="BM25" s="882"/>
      <c r="BN25" s="882"/>
      <c r="BO25" s="882"/>
      <c r="BP25" s="882"/>
      <c r="BQ25" s="882"/>
      <c r="BR25" s="882"/>
      <c r="BS25" s="882"/>
      <c r="BT25" s="882"/>
      <c r="BU25" s="882"/>
      <c r="BV25" s="882"/>
      <c r="BW25" s="882"/>
      <c r="BX25" s="882"/>
      <c r="BY25" s="882"/>
      <c r="BZ25" s="882"/>
      <c r="CA25" s="882"/>
      <c r="CB25" s="882"/>
      <c r="CC25" s="882"/>
      <c r="CD25" s="882"/>
      <c r="CE25" s="882"/>
      <c r="CF25" s="882"/>
      <c r="CG25" s="882"/>
      <c r="CH25" s="882"/>
      <c r="CI25" s="882"/>
      <c r="CJ25" s="882"/>
      <c r="CK25" s="882"/>
      <c r="CL25" s="882"/>
      <c r="CM25" s="882"/>
      <c r="CN25" s="882"/>
      <c r="CO25" s="882"/>
      <c r="CP25" s="882"/>
      <c r="CQ25" s="882"/>
      <c r="CR25" s="882"/>
      <c r="CS25" s="882"/>
      <c r="CT25" s="882"/>
      <c r="CU25" s="882"/>
      <c r="CV25" s="882"/>
      <c r="CW25" s="882"/>
      <c r="CX25" s="882"/>
      <c r="CY25" s="882"/>
      <c r="CZ25" s="882"/>
      <c r="DA25" s="882"/>
      <c r="DB25" s="882"/>
      <c r="DC25" s="882"/>
      <c r="DD25" s="882"/>
      <c r="DE25" s="882"/>
      <c r="DF25" s="882"/>
      <c r="DG25" s="882"/>
      <c r="DH25" s="882"/>
      <c r="DI25" s="882"/>
      <c r="DJ25" s="882"/>
      <c r="DK25" s="882"/>
      <c r="DL25" s="882"/>
      <c r="DM25" s="882"/>
      <c r="DN25" s="882"/>
      <c r="DO25" s="882"/>
      <c r="DP25" s="882"/>
      <c r="DQ25" s="882"/>
      <c r="DR25" s="882"/>
      <c r="DS25" s="882"/>
      <c r="DT25" s="882"/>
      <c r="DU25" s="882"/>
      <c r="DV25" s="882"/>
      <c r="DW25" s="882"/>
      <c r="DX25" s="882"/>
      <c r="DY25" s="882"/>
      <c r="DZ25" s="882"/>
      <c r="EA25" s="882"/>
      <c r="EB25" s="882"/>
      <c r="EC25" s="882"/>
      <c r="ED25" s="882"/>
      <c r="EE25" s="882"/>
      <c r="EF25" s="882"/>
      <c r="EG25" s="882"/>
      <c r="EH25" s="882"/>
      <c r="EI25" s="882"/>
      <c r="EJ25" s="882"/>
      <c r="EK25" s="882"/>
      <c r="EL25" s="882"/>
      <c r="EM25" s="882"/>
      <c r="EN25" s="882"/>
      <c r="EO25" s="882"/>
      <c r="EP25" s="882"/>
      <c r="EQ25" s="882"/>
      <c r="ER25" s="882"/>
      <c r="ES25" s="882"/>
      <c r="ET25" s="882"/>
      <c r="EU25" s="882"/>
      <c r="EV25" s="882"/>
      <c r="EW25" s="882"/>
      <c r="EX25" s="882"/>
      <c r="EY25" s="882"/>
      <c r="EZ25" s="882"/>
      <c r="FA25" s="882"/>
      <c r="FB25" s="882"/>
      <c r="FC25" s="882"/>
      <c r="FD25" s="882"/>
      <c r="FE25" s="882"/>
      <c r="FF25" s="882"/>
      <c r="FG25" s="882"/>
      <c r="FH25" s="882"/>
      <c r="FI25" s="882"/>
      <c r="FJ25" s="882"/>
      <c r="FK25" s="882"/>
      <c r="FL25" s="882"/>
      <c r="FM25" s="882"/>
      <c r="FN25" s="882"/>
      <c r="FO25" s="882"/>
      <c r="FP25" s="882"/>
      <c r="FQ25" s="882"/>
      <c r="FR25" s="882"/>
      <c r="FS25" s="882"/>
      <c r="FT25" s="882"/>
      <c r="FU25" s="882"/>
      <c r="FV25" s="882"/>
      <c r="FW25" s="882"/>
      <c r="FX25" s="882"/>
      <c r="FY25" s="882"/>
      <c r="FZ25" s="882"/>
      <c r="GA25" s="882"/>
      <c r="GB25" s="882"/>
      <c r="GC25" s="882"/>
      <c r="GD25" s="882"/>
      <c r="GE25" s="882"/>
      <c r="GF25" s="882"/>
      <c r="GG25" s="882"/>
      <c r="GH25" s="882"/>
      <c r="GI25" s="882"/>
      <c r="GJ25" s="882"/>
      <c r="GK25" s="882"/>
      <c r="GL25" s="882"/>
      <c r="GM25" s="882"/>
      <c r="GN25" s="882"/>
      <c r="GO25" s="882"/>
      <c r="GP25" s="882"/>
      <c r="GQ25" s="882"/>
      <c r="GR25" s="882"/>
      <c r="GS25" s="882"/>
      <c r="GT25" s="882"/>
      <c r="GU25" s="882"/>
      <c r="GV25" s="882"/>
      <c r="GW25" s="882"/>
      <c r="GX25" s="882"/>
      <c r="GY25" s="882"/>
      <c r="GZ25" s="882"/>
      <c r="HA25" s="882"/>
      <c r="HB25" s="882"/>
      <c r="HC25" s="882"/>
      <c r="HD25" s="882"/>
      <c r="HE25" s="882"/>
      <c r="HF25" s="882"/>
      <c r="HG25" s="882"/>
      <c r="HH25" s="882"/>
      <c r="HI25" s="882"/>
      <c r="HJ25" s="882"/>
      <c r="HK25" s="882"/>
      <c r="HL25" s="882"/>
      <c r="HM25" s="882"/>
      <c r="HN25" s="882"/>
      <c r="HO25" s="882"/>
      <c r="HP25" s="882"/>
      <c r="HQ25" s="882"/>
      <c r="HR25" s="882"/>
      <c r="HS25" s="882"/>
      <c r="HT25" s="882"/>
      <c r="HU25" s="882"/>
      <c r="HV25" s="882"/>
      <c r="HW25" s="882"/>
      <c r="HX25" s="882"/>
      <c r="HY25" s="882"/>
      <c r="HZ25" s="882"/>
      <c r="IA25" s="882"/>
      <c r="IB25" s="882"/>
    </row>
    <row r="26" s="796" customFormat="true" ht="15" hidden="false" customHeight="false" outlineLevel="0" collapsed="false">
      <c r="B26" s="880"/>
      <c r="C26" s="880"/>
      <c r="D26" s="880"/>
      <c r="E26" s="881"/>
      <c r="F26" s="882"/>
      <c r="G26" s="883"/>
      <c r="H26" s="883"/>
      <c r="I26" s="883"/>
      <c r="J26" s="883"/>
      <c r="K26" s="883"/>
      <c r="L26" s="883"/>
      <c r="M26" s="883"/>
      <c r="N26" s="883"/>
      <c r="O26" s="883"/>
      <c r="P26" s="883"/>
      <c r="Q26" s="883"/>
      <c r="R26" s="885"/>
      <c r="S26" s="878"/>
      <c r="T26" s="878"/>
      <c r="U26" s="880"/>
      <c r="V26" s="880"/>
      <c r="W26" s="880"/>
      <c r="X26" s="880"/>
      <c r="Y26" s="880"/>
      <c r="Z26" s="880"/>
      <c r="AA26" s="880"/>
      <c r="AB26" s="880"/>
      <c r="AC26" s="880"/>
      <c r="AD26" s="880"/>
      <c r="AE26" s="880"/>
      <c r="AF26" s="880"/>
      <c r="AG26" s="880"/>
      <c r="AH26" s="880"/>
      <c r="AI26" s="884"/>
      <c r="AJ26" s="880"/>
      <c r="AK26" s="878"/>
      <c r="AL26" s="878"/>
      <c r="AM26" s="878"/>
      <c r="AN26" s="880"/>
      <c r="AO26" s="880"/>
      <c r="AP26" s="880"/>
      <c r="AQ26" s="878"/>
      <c r="AR26" s="878"/>
      <c r="AS26" s="878"/>
      <c r="AT26" s="878"/>
      <c r="AU26" s="878"/>
      <c r="AV26" s="878"/>
      <c r="AW26" s="878"/>
      <c r="AX26" s="878"/>
      <c r="AY26" s="878"/>
      <c r="AZ26" s="878"/>
      <c r="BA26" s="878"/>
      <c r="BB26" s="878"/>
      <c r="BC26" s="882"/>
      <c r="BD26" s="882"/>
      <c r="BE26" s="882"/>
      <c r="BF26" s="882"/>
      <c r="BG26" s="882"/>
      <c r="BH26" s="882"/>
      <c r="BI26" s="882"/>
      <c r="BJ26" s="882"/>
      <c r="BK26" s="882"/>
      <c r="BL26" s="882"/>
      <c r="BM26" s="882"/>
      <c r="BN26" s="882"/>
      <c r="BO26" s="882"/>
      <c r="BP26" s="882"/>
      <c r="BQ26" s="882"/>
      <c r="BR26" s="882"/>
      <c r="BS26" s="882"/>
      <c r="BT26" s="882"/>
      <c r="BU26" s="882"/>
      <c r="BV26" s="882"/>
      <c r="BW26" s="882"/>
      <c r="BX26" s="882"/>
      <c r="BY26" s="882"/>
      <c r="BZ26" s="882"/>
      <c r="CA26" s="882"/>
      <c r="CB26" s="882"/>
      <c r="CC26" s="882"/>
      <c r="CD26" s="882"/>
      <c r="CE26" s="882"/>
      <c r="CF26" s="882"/>
      <c r="CG26" s="882"/>
      <c r="CH26" s="882"/>
      <c r="CI26" s="882"/>
      <c r="CJ26" s="882"/>
      <c r="CK26" s="882"/>
      <c r="CL26" s="882"/>
      <c r="CM26" s="882"/>
      <c r="CN26" s="882"/>
      <c r="CO26" s="882"/>
      <c r="CP26" s="882"/>
      <c r="CQ26" s="882"/>
      <c r="CR26" s="882"/>
      <c r="CS26" s="882"/>
      <c r="CT26" s="882"/>
      <c r="CU26" s="882"/>
      <c r="CV26" s="882"/>
      <c r="CW26" s="882"/>
      <c r="CX26" s="882"/>
      <c r="CY26" s="882"/>
      <c r="CZ26" s="882"/>
      <c r="DA26" s="882"/>
      <c r="DB26" s="882"/>
      <c r="DC26" s="882"/>
      <c r="DD26" s="882"/>
      <c r="DE26" s="882"/>
      <c r="DF26" s="882"/>
      <c r="DG26" s="882"/>
      <c r="DH26" s="882"/>
      <c r="DI26" s="882"/>
      <c r="DJ26" s="882"/>
      <c r="DK26" s="882"/>
      <c r="DL26" s="882"/>
      <c r="DM26" s="882"/>
      <c r="DN26" s="882"/>
      <c r="DO26" s="882"/>
      <c r="DP26" s="882"/>
      <c r="DQ26" s="882"/>
      <c r="DR26" s="882"/>
      <c r="DS26" s="882"/>
      <c r="DT26" s="882"/>
      <c r="DU26" s="882"/>
      <c r="DV26" s="882"/>
      <c r="DW26" s="882"/>
      <c r="DX26" s="882"/>
      <c r="DY26" s="882"/>
      <c r="DZ26" s="882"/>
      <c r="EA26" s="882"/>
      <c r="EB26" s="882"/>
      <c r="EC26" s="882"/>
      <c r="ED26" s="882"/>
      <c r="EE26" s="882"/>
      <c r="EF26" s="882"/>
      <c r="EG26" s="882"/>
      <c r="EH26" s="882"/>
      <c r="EI26" s="882"/>
      <c r="EJ26" s="882"/>
      <c r="EK26" s="882"/>
      <c r="EL26" s="882"/>
      <c r="EM26" s="882"/>
      <c r="EN26" s="882"/>
      <c r="EO26" s="882"/>
      <c r="EP26" s="882"/>
      <c r="EQ26" s="882"/>
      <c r="ER26" s="882"/>
      <c r="ES26" s="882"/>
      <c r="ET26" s="882"/>
      <c r="EU26" s="882"/>
      <c r="EV26" s="882"/>
      <c r="EW26" s="882"/>
      <c r="EX26" s="882"/>
      <c r="EY26" s="882"/>
      <c r="EZ26" s="882"/>
      <c r="FA26" s="882"/>
      <c r="FB26" s="882"/>
      <c r="FC26" s="882"/>
      <c r="FD26" s="882"/>
      <c r="FE26" s="882"/>
      <c r="FF26" s="882"/>
      <c r="FG26" s="882"/>
      <c r="FH26" s="882"/>
      <c r="FI26" s="882"/>
      <c r="FJ26" s="882"/>
      <c r="FK26" s="882"/>
      <c r="FL26" s="882"/>
      <c r="FM26" s="882"/>
      <c r="FN26" s="882"/>
      <c r="FO26" s="882"/>
      <c r="FP26" s="882"/>
      <c r="FQ26" s="882"/>
      <c r="FR26" s="882"/>
      <c r="FS26" s="882"/>
      <c r="FT26" s="882"/>
      <c r="FU26" s="882"/>
      <c r="FV26" s="882"/>
      <c r="FW26" s="882"/>
      <c r="FX26" s="882"/>
      <c r="FY26" s="882"/>
      <c r="FZ26" s="882"/>
      <c r="GA26" s="882"/>
      <c r="GB26" s="882"/>
      <c r="GC26" s="882"/>
      <c r="GD26" s="882"/>
      <c r="GE26" s="882"/>
      <c r="GF26" s="882"/>
      <c r="GG26" s="882"/>
      <c r="GH26" s="882"/>
      <c r="GI26" s="882"/>
      <c r="GJ26" s="882"/>
      <c r="GK26" s="882"/>
      <c r="GL26" s="882"/>
      <c r="GM26" s="882"/>
      <c r="GN26" s="882"/>
      <c r="GO26" s="882"/>
      <c r="GP26" s="882"/>
      <c r="GQ26" s="882"/>
      <c r="GR26" s="882"/>
      <c r="GS26" s="882"/>
      <c r="GT26" s="882"/>
      <c r="GU26" s="882"/>
      <c r="GV26" s="882"/>
      <c r="GW26" s="882"/>
      <c r="GX26" s="882"/>
      <c r="GY26" s="882"/>
      <c r="GZ26" s="882"/>
      <c r="HA26" s="882"/>
      <c r="HB26" s="882"/>
      <c r="HC26" s="882"/>
      <c r="HD26" s="882"/>
      <c r="HE26" s="882"/>
      <c r="HF26" s="882"/>
      <c r="HG26" s="882"/>
      <c r="HH26" s="882"/>
      <c r="HI26" s="882"/>
      <c r="HJ26" s="882"/>
      <c r="HK26" s="882"/>
      <c r="HL26" s="882"/>
      <c r="HM26" s="882"/>
      <c r="HN26" s="882"/>
      <c r="HO26" s="882"/>
      <c r="HP26" s="882"/>
      <c r="HQ26" s="882"/>
      <c r="HR26" s="882"/>
      <c r="HS26" s="882"/>
      <c r="HT26" s="882"/>
      <c r="HU26" s="882"/>
      <c r="HV26" s="882"/>
      <c r="HW26" s="882"/>
      <c r="HX26" s="882"/>
      <c r="HY26" s="882"/>
      <c r="HZ26" s="882"/>
      <c r="IA26" s="882"/>
      <c r="IB26" s="882"/>
    </row>
    <row r="27" s="796" customFormat="true" ht="15" hidden="true" customHeight="false" outlineLevel="0" collapsed="false">
      <c r="B27" s="880"/>
      <c r="C27" s="880"/>
      <c r="D27" s="880"/>
      <c r="E27" s="881"/>
      <c r="F27" s="882"/>
      <c r="G27" s="883"/>
      <c r="H27" s="883"/>
      <c r="I27" s="883"/>
      <c r="J27" s="883"/>
      <c r="K27" s="883"/>
      <c r="L27" s="883"/>
      <c r="M27" s="883"/>
      <c r="N27" s="883"/>
      <c r="O27" s="883"/>
      <c r="P27" s="883"/>
      <c r="Q27" s="883"/>
      <c r="R27" s="880"/>
      <c r="S27" s="878"/>
      <c r="T27" s="878"/>
      <c r="U27" s="880"/>
      <c r="V27" s="880"/>
      <c r="W27" s="880"/>
      <c r="X27" s="880"/>
      <c r="Y27" s="880"/>
      <c r="Z27" s="880"/>
      <c r="AA27" s="880"/>
      <c r="AB27" s="880"/>
      <c r="AC27" s="880"/>
      <c r="AD27" s="880"/>
      <c r="AE27" s="880"/>
      <c r="AF27" s="880"/>
      <c r="AG27" s="880"/>
      <c r="AH27" s="880"/>
      <c r="AI27" s="884"/>
      <c r="AJ27" s="880"/>
      <c r="AK27" s="878"/>
      <c r="AL27" s="878"/>
      <c r="AM27" s="878"/>
      <c r="AN27" s="880"/>
      <c r="AO27" s="880"/>
      <c r="AP27" s="880"/>
      <c r="AQ27" s="878"/>
      <c r="AR27" s="878"/>
      <c r="AS27" s="878"/>
      <c r="AT27" s="878"/>
      <c r="AU27" s="878"/>
      <c r="AV27" s="878"/>
      <c r="AW27" s="878"/>
      <c r="AX27" s="878"/>
      <c r="AY27" s="878"/>
      <c r="AZ27" s="878"/>
      <c r="BA27" s="878"/>
      <c r="BB27" s="878"/>
      <c r="BC27" s="882"/>
      <c r="BD27" s="882"/>
      <c r="BE27" s="882"/>
      <c r="BF27" s="882"/>
      <c r="BG27" s="882"/>
      <c r="BH27" s="882"/>
      <c r="BI27" s="882"/>
      <c r="BJ27" s="882"/>
      <c r="BK27" s="882"/>
      <c r="BL27" s="882"/>
      <c r="BM27" s="882"/>
      <c r="BN27" s="882"/>
      <c r="BO27" s="882"/>
      <c r="BP27" s="882"/>
      <c r="BQ27" s="882"/>
      <c r="BR27" s="882"/>
      <c r="BS27" s="882"/>
      <c r="BT27" s="882"/>
      <c r="BU27" s="882"/>
      <c r="BV27" s="882"/>
      <c r="BW27" s="882"/>
      <c r="BX27" s="882"/>
      <c r="BY27" s="882"/>
      <c r="BZ27" s="882"/>
      <c r="CA27" s="882"/>
      <c r="CB27" s="882"/>
      <c r="CC27" s="882"/>
      <c r="CD27" s="882"/>
      <c r="CE27" s="882"/>
      <c r="CF27" s="882"/>
      <c r="CG27" s="882"/>
      <c r="CH27" s="882"/>
      <c r="CI27" s="882"/>
      <c r="CJ27" s="882"/>
      <c r="CK27" s="882"/>
      <c r="CL27" s="882"/>
      <c r="CM27" s="882"/>
      <c r="CN27" s="882"/>
      <c r="CO27" s="882"/>
      <c r="CP27" s="882"/>
      <c r="CQ27" s="882"/>
      <c r="CR27" s="882"/>
      <c r="CS27" s="882"/>
      <c r="CT27" s="882"/>
      <c r="CU27" s="882"/>
      <c r="CV27" s="882"/>
      <c r="CW27" s="882"/>
      <c r="CX27" s="882"/>
      <c r="CY27" s="882"/>
      <c r="CZ27" s="882"/>
      <c r="DA27" s="882"/>
      <c r="DB27" s="882"/>
      <c r="DC27" s="882"/>
      <c r="DD27" s="882"/>
      <c r="DE27" s="882"/>
      <c r="DF27" s="882"/>
      <c r="DG27" s="882"/>
      <c r="DH27" s="882"/>
      <c r="DI27" s="882"/>
      <c r="DJ27" s="882"/>
      <c r="DK27" s="882"/>
      <c r="DL27" s="882"/>
      <c r="DM27" s="882"/>
      <c r="DN27" s="882"/>
      <c r="DO27" s="882"/>
      <c r="DP27" s="882"/>
      <c r="DQ27" s="882"/>
      <c r="DR27" s="882"/>
      <c r="DS27" s="882"/>
      <c r="DT27" s="882"/>
      <c r="DU27" s="882"/>
      <c r="DV27" s="882"/>
      <c r="DW27" s="882"/>
      <c r="DX27" s="882"/>
      <c r="DY27" s="882"/>
      <c r="DZ27" s="882"/>
      <c r="EA27" s="882"/>
      <c r="EB27" s="882"/>
      <c r="EC27" s="882"/>
      <c r="ED27" s="882"/>
      <c r="EE27" s="882"/>
      <c r="EF27" s="882"/>
      <c r="EG27" s="882"/>
      <c r="EH27" s="882"/>
      <c r="EI27" s="882"/>
      <c r="EJ27" s="882"/>
      <c r="EK27" s="882"/>
      <c r="EL27" s="882"/>
      <c r="EM27" s="882"/>
      <c r="EN27" s="882"/>
      <c r="EO27" s="882"/>
      <c r="EP27" s="882"/>
      <c r="EQ27" s="882"/>
      <c r="ER27" s="882"/>
      <c r="ES27" s="882"/>
      <c r="ET27" s="882"/>
      <c r="EU27" s="882"/>
      <c r="EV27" s="882"/>
      <c r="EW27" s="882"/>
      <c r="EX27" s="882"/>
      <c r="EY27" s="882"/>
      <c r="EZ27" s="882"/>
      <c r="FA27" s="882"/>
      <c r="FB27" s="882"/>
      <c r="FC27" s="882"/>
      <c r="FD27" s="882"/>
      <c r="FE27" s="882"/>
      <c r="FF27" s="882"/>
      <c r="FG27" s="882"/>
      <c r="FH27" s="882"/>
      <c r="FI27" s="882"/>
      <c r="FJ27" s="882"/>
      <c r="FK27" s="882"/>
      <c r="FL27" s="882"/>
      <c r="FM27" s="882"/>
      <c r="FN27" s="882"/>
      <c r="FO27" s="882"/>
      <c r="FP27" s="882"/>
      <c r="FQ27" s="882"/>
      <c r="FR27" s="882"/>
      <c r="FS27" s="882"/>
      <c r="FT27" s="882"/>
      <c r="FU27" s="882"/>
      <c r="FV27" s="882"/>
      <c r="FW27" s="882"/>
      <c r="FX27" s="882"/>
      <c r="FY27" s="882"/>
      <c r="FZ27" s="882"/>
      <c r="GA27" s="882"/>
      <c r="GB27" s="882"/>
      <c r="GC27" s="882"/>
      <c r="GD27" s="882"/>
      <c r="GE27" s="882"/>
      <c r="GF27" s="882"/>
      <c r="GG27" s="882"/>
      <c r="GH27" s="882"/>
      <c r="GI27" s="882"/>
      <c r="GJ27" s="882"/>
      <c r="GK27" s="882"/>
      <c r="GL27" s="882"/>
      <c r="GM27" s="882"/>
      <c r="GN27" s="882"/>
      <c r="GO27" s="882"/>
      <c r="GP27" s="882"/>
      <c r="GQ27" s="882"/>
      <c r="GR27" s="882"/>
      <c r="GS27" s="882"/>
      <c r="GT27" s="882"/>
      <c r="GU27" s="882"/>
      <c r="GV27" s="882"/>
      <c r="GW27" s="882"/>
      <c r="GX27" s="882"/>
      <c r="GY27" s="882"/>
      <c r="GZ27" s="882"/>
      <c r="HA27" s="882"/>
      <c r="HB27" s="882"/>
      <c r="HC27" s="882"/>
      <c r="HD27" s="882"/>
      <c r="HE27" s="882"/>
      <c r="HF27" s="882"/>
      <c r="HG27" s="882"/>
      <c r="HH27" s="882"/>
      <c r="HI27" s="882"/>
      <c r="HJ27" s="882"/>
      <c r="HK27" s="882"/>
      <c r="HL27" s="882"/>
      <c r="HM27" s="882"/>
      <c r="HN27" s="882"/>
      <c r="HO27" s="882"/>
      <c r="HP27" s="882"/>
      <c r="HQ27" s="882"/>
      <c r="HR27" s="882"/>
      <c r="HS27" s="882"/>
      <c r="HT27" s="882"/>
      <c r="HU27" s="882"/>
      <c r="HV27" s="882"/>
      <c r="HW27" s="882"/>
      <c r="HX27" s="882"/>
      <c r="HY27" s="882"/>
      <c r="HZ27" s="882"/>
      <c r="IA27" s="882"/>
      <c r="IB27" s="882"/>
    </row>
    <row r="28" customFormat="false" ht="13.8" hidden="false" customHeight="false" outlineLevel="0" collapsed="false">
      <c r="B28" s="799"/>
      <c r="C28" s="799"/>
      <c r="D28" s="799"/>
      <c r="E28" s="799"/>
      <c r="F28" s="800"/>
      <c r="G28" s="799"/>
      <c r="H28" s="799"/>
      <c r="I28" s="799"/>
      <c r="J28" s="799"/>
      <c r="K28" s="799"/>
      <c r="L28" s="799"/>
      <c r="M28" s="799"/>
      <c r="N28" s="799"/>
      <c r="O28" s="799"/>
      <c r="P28" s="799"/>
      <c r="Q28" s="799"/>
      <c r="R28" s="799"/>
      <c r="S28" s="799"/>
      <c r="T28" s="799"/>
      <c r="U28" s="799"/>
      <c r="V28" s="799"/>
      <c r="W28" s="799"/>
      <c r="X28" s="799"/>
      <c r="Y28" s="799"/>
      <c r="Z28" s="799"/>
      <c r="AA28" s="799"/>
      <c r="AB28" s="799"/>
      <c r="AC28" s="799"/>
      <c r="AD28" s="799"/>
      <c r="AE28" s="799"/>
      <c r="AF28" s="799"/>
      <c r="AG28" s="799"/>
      <c r="AH28" s="799"/>
      <c r="AI28" s="801"/>
      <c r="AJ28" s="799"/>
      <c r="AK28" s="799"/>
      <c r="AL28" s="799"/>
      <c r="AM28" s="799"/>
      <c r="AN28" s="799"/>
      <c r="AO28" s="799"/>
      <c r="AP28" s="799"/>
      <c r="AQ28" s="799"/>
      <c r="AR28" s="799"/>
      <c r="AS28" s="800"/>
      <c r="AT28" s="800"/>
      <c r="AU28" s="800"/>
      <c r="AV28" s="800"/>
      <c r="AW28" s="800"/>
      <c r="AX28" s="800"/>
      <c r="AY28" s="800"/>
      <c r="AZ28" s="800"/>
      <c r="BA28" s="800"/>
      <c r="BB28" s="800"/>
      <c r="BC28" s="799"/>
      <c r="BD28" s="799"/>
      <c r="BE28" s="799"/>
      <c r="BF28" s="799"/>
      <c r="BG28" s="799"/>
      <c r="BH28" s="799"/>
      <c r="BI28" s="799"/>
      <c r="BJ28" s="799"/>
      <c r="BK28" s="799"/>
      <c r="BL28" s="799"/>
      <c r="BM28" s="799"/>
      <c r="BN28" s="799"/>
      <c r="BO28" s="799"/>
      <c r="BP28" s="799"/>
      <c r="BQ28" s="799"/>
      <c r="BR28" s="799"/>
      <c r="BS28" s="799"/>
      <c r="BT28" s="799"/>
      <c r="BU28" s="799"/>
      <c r="BV28" s="799"/>
      <c r="BW28" s="799"/>
      <c r="BX28" s="799"/>
      <c r="BY28" s="799"/>
      <c r="BZ28" s="799"/>
      <c r="CA28" s="799"/>
      <c r="CB28" s="799"/>
      <c r="CC28" s="799"/>
      <c r="CD28" s="799"/>
      <c r="CE28" s="799"/>
      <c r="CF28" s="799"/>
      <c r="CG28" s="799"/>
      <c r="CH28" s="799"/>
      <c r="CI28" s="799"/>
      <c r="CJ28" s="799"/>
      <c r="CK28" s="799"/>
      <c r="CL28" s="799"/>
      <c r="CM28" s="799"/>
      <c r="CN28" s="799"/>
      <c r="CO28" s="799"/>
      <c r="CP28" s="799"/>
      <c r="CQ28" s="799"/>
      <c r="CR28" s="799"/>
      <c r="CS28" s="799"/>
      <c r="CT28" s="799"/>
      <c r="CU28" s="799"/>
      <c r="CV28" s="799"/>
      <c r="CW28" s="799"/>
      <c r="CX28" s="799"/>
      <c r="CY28" s="799"/>
      <c r="CZ28" s="799"/>
      <c r="DA28" s="799"/>
      <c r="DB28" s="799"/>
      <c r="DC28" s="799"/>
      <c r="DD28" s="799"/>
      <c r="DE28" s="799"/>
      <c r="DF28" s="799"/>
      <c r="DG28" s="799"/>
      <c r="DH28" s="799"/>
      <c r="DI28" s="799"/>
      <c r="DJ28" s="799"/>
      <c r="DK28" s="799"/>
      <c r="DL28" s="799"/>
      <c r="DM28" s="799"/>
      <c r="DN28" s="799"/>
      <c r="DO28" s="799"/>
      <c r="DP28" s="799"/>
      <c r="DQ28" s="799"/>
      <c r="DR28" s="799"/>
      <c r="DS28" s="799"/>
      <c r="DT28" s="799"/>
      <c r="DU28" s="799"/>
      <c r="DV28" s="799"/>
      <c r="DW28" s="799"/>
      <c r="DX28" s="799"/>
      <c r="DY28" s="799"/>
      <c r="DZ28" s="799"/>
      <c r="EA28" s="799"/>
      <c r="EB28" s="799"/>
      <c r="EC28" s="799"/>
      <c r="ED28" s="799"/>
      <c r="EE28" s="799"/>
      <c r="EF28" s="799"/>
      <c r="EG28" s="799"/>
      <c r="EH28" s="799"/>
      <c r="EI28" s="799"/>
      <c r="EJ28" s="799"/>
      <c r="EK28" s="799"/>
      <c r="EL28" s="799"/>
      <c r="EM28" s="799"/>
      <c r="EN28" s="799"/>
      <c r="EO28" s="799"/>
      <c r="EP28" s="799"/>
      <c r="EQ28" s="799"/>
      <c r="ER28" s="799"/>
      <c r="ES28" s="799"/>
      <c r="ET28" s="799"/>
      <c r="EU28" s="799"/>
      <c r="EV28" s="799"/>
      <c r="EW28" s="799"/>
      <c r="EX28" s="799"/>
      <c r="EY28" s="799"/>
      <c r="EZ28" s="799"/>
      <c r="FA28" s="799"/>
      <c r="FB28" s="799"/>
      <c r="FC28" s="799"/>
      <c r="FD28" s="799"/>
      <c r="FE28" s="799"/>
      <c r="FF28" s="799"/>
      <c r="FG28" s="799"/>
      <c r="FH28" s="799"/>
      <c r="FI28" s="799"/>
      <c r="FJ28" s="799"/>
      <c r="FK28" s="799"/>
      <c r="FL28" s="799"/>
      <c r="FM28" s="799"/>
      <c r="FN28" s="799"/>
      <c r="FO28" s="799"/>
      <c r="FP28" s="799"/>
      <c r="FQ28" s="799"/>
      <c r="FR28" s="799"/>
      <c r="FS28" s="799"/>
      <c r="FT28" s="799"/>
      <c r="FU28" s="799"/>
      <c r="FV28" s="799"/>
      <c r="FW28" s="799"/>
      <c r="FX28" s="799"/>
      <c r="FY28" s="799"/>
      <c r="FZ28" s="799"/>
      <c r="GA28" s="799"/>
      <c r="GB28" s="799"/>
      <c r="GC28" s="799"/>
      <c r="GD28" s="799"/>
      <c r="GE28" s="799"/>
      <c r="GF28" s="799"/>
      <c r="GG28" s="799"/>
      <c r="GH28" s="799"/>
      <c r="GI28" s="799"/>
      <c r="GJ28" s="799"/>
      <c r="GK28" s="799"/>
      <c r="GL28" s="799"/>
      <c r="GM28" s="799"/>
      <c r="GN28" s="799"/>
      <c r="GO28" s="799"/>
      <c r="GP28" s="799"/>
      <c r="GQ28" s="799"/>
      <c r="GR28" s="799"/>
      <c r="GS28" s="799"/>
      <c r="GT28" s="799"/>
      <c r="GU28" s="799"/>
      <c r="GV28" s="799"/>
      <c r="GW28" s="799"/>
      <c r="GX28" s="799"/>
      <c r="GY28" s="799"/>
      <c r="GZ28" s="799"/>
      <c r="HA28" s="799"/>
      <c r="HB28" s="799"/>
      <c r="HC28" s="799"/>
      <c r="HD28" s="799"/>
      <c r="HE28" s="799"/>
      <c r="HF28" s="799"/>
      <c r="HG28" s="799"/>
      <c r="HH28" s="799"/>
      <c r="HI28" s="799"/>
      <c r="HJ28" s="799"/>
      <c r="HK28" s="799"/>
      <c r="HL28" s="799"/>
      <c r="HM28" s="799"/>
      <c r="HN28" s="799"/>
      <c r="HO28" s="799"/>
      <c r="HP28" s="799"/>
      <c r="HQ28" s="799"/>
      <c r="HR28" s="799"/>
      <c r="HS28" s="799"/>
      <c r="HT28" s="799"/>
      <c r="HU28" s="799"/>
      <c r="HV28" s="799"/>
      <c r="HW28" s="799"/>
      <c r="HX28" s="799"/>
      <c r="HY28" s="799"/>
      <c r="HZ28" s="799"/>
      <c r="IA28" s="799"/>
      <c r="IB28" s="799"/>
    </row>
    <row r="29" customFormat="false" ht="17.35" hidden="true" customHeight="false" outlineLevel="0" collapsed="false">
      <c r="B29" s="886" t="s">
        <v>705</v>
      </c>
      <c r="C29" s="886"/>
      <c r="D29" s="799"/>
      <c r="G29" s="887"/>
      <c r="H29" s="887"/>
      <c r="I29" s="887"/>
      <c r="J29" s="887"/>
      <c r="K29" s="887"/>
      <c r="L29" s="887"/>
      <c r="M29" s="799"/>
      <c r="N29" s="799"/>
      <c r="O29" s="799"/>
      <c r="P29" s="799"/>
      <c r="Q29" s="799"/>
      <c r="R29" s="799"/>
      <c r="S29" s="799"/>
      <c r="T29" s="799"/>
      <c r="U29" s="799"/>
      <c r="V29" s="799"/>
      <c r="W29" s="799"/>
      <c r="X29" s="799"/>
      <c r="Y29" s="799"/>
      <c r="Z29" s="799"/>
      <c r="AA29" s="799"/>
      <c r="AB29" s="799"/>
      <c r="AC29" s="799"/>
      <c r="AD29" s="799"/>
      <c r="AE29" s="799"/>
      <c r="AF29" s="799"/>
      <c r="AG29" s="799"/>
      <c r="AH29" s="799"/>
      <c r="AI29" s="801"/>
      <c r="AJ29" s="799"/>
      <c r="AK29" s="799"/>
      <c r="AL29" s="799"/>
      <c r="AM29" s="799"/>
      <c r="AN29" s="799"/>
      <c r="AO29" s="799"/>
      <c r="AP29" s="799"/>
      <c r="AQ29" s="799"/>
      <c r="AR29" s="799"/>
      <c r="AS29" s="800"/>
      <c r="AT29" s="800"/>
      <c r="AU29" s="800"/>
      <c r="AV29" s="800"/>
      <c r="AW29" s="800"/>
      <c r="AX29" s="800"/>
      <c r="AY29" s="800"/>
      <c r="AZ29" s="800"/>
      <c r="BA29" s="800"/>
      <c r="BB29" s="800"/>
      <c r="BC29" s="799"/>
      <c r="BD29" s="799"/>
      <c r="BE29" s="799"/>
      <c r="BF29" s="799"/>
      <c r="BG29" s="799"/>
      <c r="BH29" s="799"/>
      <c r="BI29" s="799"/>
      <c r="BJ29" s="799"/>
      <c r="BK29" s="799"/>
      <c r="BL29" s="799"/>
      <c r="BM29" s="799"/>
      <c r="BN29" s="799"/>
      <c r="BO29" s="799"/>
      <c r="BP29" s="799"/>
      <c r="BQ29" s="799"/>
      <c r="BR29" s="799"/>
      <c r="BS29" s="799"/>
      <c r="BT29" s="799"/>
      <c r="BU29" s="799"/>
      <c r="BV29" s="799"/>
      <c r="BW29" s="799"/>
      <c r="BX29" s="799"/>
      <c r="BY29" s="799"/>
      <c r="BZ29" s="799"/>
      <c r="CA29" s="799"/>
      <c r="CB29" s="799"/>
      <c r="CC29" s="799"/>
      <c r="CD29" s="799"/>
      <c r="CE29" s="799"/>
      <c r="CF29" s="799"/>
      <c r="CG29" s="799"/>
      <c r="CH29" s="799"/>
      <c r="CI29" s="799"/>
      <c r="CJ29" s="799"/>
      <c r="CK29" s="799"/>
      <c r="CL29" s="799"/>
      <c r="CM29" s="799"/>
      <c r="CN29" s="799"/>
      <c r="CO29" s="799"/>
      <c r="CP29" s="799"/>
      <c r="CQ29" s="799"/>
      <c r="CR29" s="799"/>
      <c r="CS29" s="799"/>
      <c r="CT29" s="799"/>
      <c r="CU29" s="799"/>
      <c r="CV29" s="799"/>
      <c r="CW29" s="799"/>
      <c r="CX29" s="799"/>
      <c r="CY29" s="799"/>
      <c r="CZ29" s="799"/>
      <c r="DA29" s="799"/>
      <c r="DB29" s="799"/>
      <c r="DC29" s="799"/>
      <c r="DD29" s="799"/>
      <c r="DE29" s="799"/>
      <c r="DF29" s="799"/>
      <c r="DG29" s="799"/>
      <c r="DH29" s="799"/>
      <c r="DI29" s="799"/>
      <c r="DJ29" s="799"/>
      <c r="DK29" s="799"/>
      <c r="DL29" s="799"/>
      <c r="DM29" s="799"/>
      <c r="DN29" s="799"/>
      <c r="DO29" s="799"/>
      <c r="DP29" s="799"/>
      <c r="DQ29" s="799"/>
      <c r="DR29" s="799"/>
      <c r="DS29" s="799"/>
      <c r="DT29" s="799"/>
      <c r="DU29" s="799"/>
      <c r="DV29" s="799"/>
      <c r="DW29" s="799"/>
      <c r="DX29" s="799"/>
      <c r="DY29" s="799"/>
      <c r="DZ29" s="799"/>
      <c r="EA29" s="799"/>
      <c r="EB29" s="799"/>
      <c r="EC29" s="799"/>
      <c r="ED29" s="799"/>
      <c r="EE29" s="799"/>
      <c r="EF29" s="799"/>
      <c r="EG29" s="799"/>
      <c r="EH29" s="799"/>
      <c r="EI29" s="799"/>
      <c r="EJ29" s="799"/>
      <c r="EK29" s="799"/>
      <c r="EL29" s="799"/>
      <c r="EM29" s="799"/>
      <c r="EN29" s="799"/>
      <c r="EO29" s="799"/>
      <c r="EP29" s="799"/>
      <c r="EQ29" s="799"/>
      <c r="ER29" s="799"/>
      <c r="ES29" s="799"/>
      <c r="ET29" s="799"/>
      <c r="EU29" s="799"/>
      <c r="EV29" s="799"/>
      <c r="EW29" s="799"/>
      <c r="EX29" s="799"/>
      <c r="EY29" s="799"/>
      <c r="EZ29" s="799"/>
      <c r="FA29" s="799"/>
      <c r="FB29" s="799"/>
      <c r="FC29" s="799"/>
      <c r="FD29" s="799"/>
      <c r="FE29" s="799"/>
      <c r="FF29" s="799"/>
      <c r="FG29" s="799"/>
      <c r="FH29" s="799"/>
      <c r="FI29" s="799"/>
      <c r="FJ29" s="799"/>
      <c r="FK29" s="799"/>
      <c r="FL29" s="799"/>
      <c r="FM29" s="799"/>
      <c r="FN29" s="799"/>
      <c r="FO29" s="799"/>
      <c r="FP29" s="799"/>
      <c r="FQ29" s="799"/>
      <c r="FR29" s="799"/>
      <c r="FS29" s="799"/>
      <c r="FT29" s="799"/>
      <c r="FU29" s="799"/>
      <c r="FV29" s="799"/>
      <c r="FW29" s="799"/>
      <c r="FX29" s="799"/>
      <c r="FY29" s="799"/>
      <c r="FZ29" s="799"/>
      <c r="GA29" s="799"/>
      <c r="GB29" s="799"/>
      <c r="GC29" s="799"/>
      <c r="GD29" s="799"/>
      <c r="GE29" s="799"/>
      <c r="GF29" s="799"/>
      <c r="GG29" s="799"/>
      <c r="GH29" s="799"/>
      <c r="GI29" s="799"/>
      <c r="GJ29" s="799"/>
      <c r="GK29" s="799"/>
      <c r="GL29" s="799"/>
      <c r="GM29" s="799"/>
      <c r="GN29" s="799"/>
      <c r="GO29" s="799"/>
      <c r="GP29" s="799"/>
      <c r="GQ29" s="799"/>
      <c r="GR29" s="799"/>
      <c r="GS29" s="799"/>
      <c r="GT29" s="799"/>
      <c r="GU29" s="799"/>
      <c r="GV29" s="799"/>
      <c r="GW29" s="799"/>
      <c r="GX29" s="799"/>
      <c r="GY29" s="799"/>
      <c r="GZ29" s="799"/>
      <c r="HA29" s="799"/>
      <c r="HB29" s="799"/>
      <c r="HC29" s="799"/>
      <c r="HD29" s="799"/>
      <c r="HE29" s="799"/>
      <c r="HF29" s="799"/>
      <c r="HG29" s="799"/>
      <c r="HH29" s="799"/>
      <c r="HI29" s="799"/>
      <c r="HJ29" s="799"/>
      <c r="HK29" s="799"/>
      <c r="HL29" s="799"/>
      <c r="HM29" s="799"/>
      <c r="HN29" s="799"/>
      <c r="HO29" s="799"/>
      <c r="HP29" s="799"/>
      <c r="HQ29" s="799"/>
      <c r="HR29" s="799"/>
      <c r="HS29" s="799"/>
      <c r="HT29" s="799"/>
      <c r="HU29" s="799"/>
      <c r="HV29" s="799"/>
      <c r="HW29" s="799"/>
      <c r="HX29" s="799"/>
      <c r="HY29" s="799"/>
      <c r="HZ29" s="799"/>
      <c r="IA29" s="799"/>
      <c r="IB29" s="799"/>
    </row>
    <row r="30" customFormat="false" ht="13.8" hidden="true" customHeight="false" outlineLevel="0" collapsed="false">
      <c r="B30" s="799"/>
      <c r="C30" s="799"/>
      <c r="D30" s="799"/>
      <c r="E30" s="799"/>
      <c r="F30" s="800"/>
      <c r="G30" s="829"/>
      <c r="H30" s="829"/>
      <c r="I30" s="829"/>
      <c r="J30" s="829"/>
      <c r="K30" s="829"/>
      <c r="L30" s="829"/>
      <c r="M30" s="799"/>
      <c r="N30" s="799"/>
      <c r="O30" s="799"/>
      <c r="P30" s="799"/>
      <c r="Q30" s="799"/>
      <c r="R30" s="799"/>
      <c r="S30" s="799"/>
      <c r="T30" s="799"/>
      <c r="U30" s="799"/>
      <c r="V30" s="799"/>
      <c r="W30" s="799"/>
      <c r="X30" s="799"/>
      <c r="Y30" s="799"/>
      <c r="Z30" s="799"/>
      <c r="AA30" s="799"/>
      <c r="AB30" s="799"/>
      <c r="AC30" s="799"/>
      <c r="AD30" s="799"/>
      <c r="AE30" s="799"/>
      <c r="AF30" s="799"/>
      <c r="AG30" s="799"/>
      <c r="AH30" s="799"/>
      <c r="AI30" s="801"/>
      <c r="AJ30" s="799"/>
      <c r="AK30" s="799"/>
      <c r="AL30" s="799"/>
      <c r="AM30" s="799"/>
      <c r="AN30" s="799"/>
      <c r="AO30" s="799"/>
      <c r="AP30" s="799"/>
      <c r="AQ30" s="799"/>
      <c r="AR30" s="799"/>
      <c r="AS30" s="800"/>
      <c r="AT30" s="800"/>
      <c r="AU30" s="800"/>
      <c r="AV30" s="800"/>
      <c r="AW30" s="800"/>
      <c r="AX30" s="800"/>
      <c r="AY30" s="800"/>
      <c r="AZ30" s="800"/>
      <c r="BA30" s="800"/>
      <c r="BB30" s="800"/>
      <c r="BC30" s="799"/>
      <c r="BD30" s="799"/>
      <c r="BE30" s="799"/>
      <c r="BF30" s="799"/>
      <c r="BG30" s="799"/>
      <c r="BH30" s="799"/>
      <c r="BI30" s="799"/>
      <c r="BJ30" s="799"/>
      <c r="BK30" s="799"/>
      <c r="BL30" s="799"/>
      <c r="BM30" s="799"/>
      <c r="BN30" s="799"/>
      <c r="BO30" s="799"/>
      <c r="BP30" s="799"/>
      <c r="BQ30" s="799"/>
      <c r="BR30" s="799"/>
      <c r="BS30" s="799"/>
      <c r="BT30" s="799"/>
      <c r="BU30" s="799"/>
      <c r="BV30" s="799"/>
      <c r="BW30" s="799"/>
      <c r="BX30" s="799"/>
      <c r="BY30" s="799"/>
      <c r="BZ30" s="799"/>
      <c r="CA30" s="799"/>
      <c r="CB30" s="799"/>
      <c r="CC30" s="799"/>
      <c r="CD30" s="799"/>
      <c r="CE30" s="799"/>
      <c r="CF30" s="799"/>
      <c r="CG30" s="799"/>
      <c r="CH30" s="799"/>
      <c r="CI30" s="799"/>
      <c r="CJ30" s="799"/>
      <c r="CK30" s="799"/>
      <c r="CL30" s="799"/>
      <c r="CM30" s="799"/>
      <c r="CN30" s="799"/>
      <c r="CO30" s="799"/>
      <c r="CP30" s="799"/>
      <c r="CQ30" s="799"/>
      <c r="CR30" s="799"/>
      <c r="CS30" s="799"/>
      <c r="CT30" s="799"/>
      <c r="CU30" s="799"/>
      <c r="CV30" s="799"/>
      <c r="CW30" s="799"/>
      <c r="CX30" s="799"/>
      <c r="CY30" s="799"/>
      <c r="CZ30" s="799"/>
      <c r="DA30" s="799"/>
      <c r="DB30" s="799"/>
      <c r="DC30" s="799"/>
      <c r="DD30" s="799"/>
      <c r="DE30" s="799"/>
      <c r="DF30" s="799"/>
      <c r="DG30" s="799"/>
      <c r="DH30" s="799"/>
      <c r="DI30" s="799"/>
      <c r="DJ30" s="799"/>
      <c r="DK30" s="799"/>
      <c r="DL30" s="799"/>
      <c r="DM30" s="799"/>
      <c r="DN30" s="799"/>
      <c r="DO30" s="799"/>
      <c r="DP30" s="799"/>
      <c r="DQ30" s="799"/>
      <c r="DR30" s="799"/>
      <c r="DS30" s="799"/>
      <c r="DT30" s="799"/>
      <c r="DU30" s="799"/>
      <c r="DV30" s="799"/>
      <c r="DW30" s="799"/>
      <c r="DX30" s="799"/>
      <c r="DY30" s="799"/>
      <c r="DZ30" s="799"/>
      <c r="EA30" s="799"/>
      <c r="EB30" s="799"/>
      <c r="EC30" s="799"/>
      <c r="ED30" s="799"/>
      <c r="EE30" s="799"/>
      <c r="EF30" s="799"/>
      <c r="EG30" s="799"/>
      <c r="EH30" s="799"/>
      <c r="EI30" s="799"/>
      <c r="EJ30" s="799"/>
      <c r="EK30" s="799"/>
      <c r="EL30" s="799"/>
      <c r="EM30" s="799"/>
      <c r="EN30" s="799"/>
      <c r="EO30" s="799"/>
      <c r="EP30" s="799"/>
      <c r="EQ30" s="799"/>
      <c r="ER30" s="799"/>
      <c r="ES30" s="799"/>
      <c r="ET30" s="799"/>
      <c r="EU30" s="799"/>
      <c r="EV30" s="799"/>
      <c r="EW30" s="799"/>
      <c r="EX30" s="799"/>
      <c r="EY30" s="799"/>
      <c r="EZ30" s="799"/>
      <c r="FA30" s="799"/>
      <c r="FB30" s="799"/>
      <c r="FC30" s="799"/>
      <c r="FD30" s="799"/>
      <c r="FE30" s="799"/>
      <c r="FF30" s="799"/>
      <c r="FG30" s="799"/>
      <c r="FH30" s="799"/>
      <c r="FI30" s="799"/>
      <c r="FJ30" s="799"/>
      <c r="FK30" s="799"/>
      <c r="FL30" s="799"/>
      <c r="FM30" s="799"/>
      <c r="FN30" s="799"/>
      <c r="FO30" s="799"/>
      <c r="FP30" s="799"/>
      <c r="FQ30" s="799"/>
      <c r="FR30" s="799"/>
      <c r="FS30" s="799"/>
      <c r="FT30" s="799"/>
      <c r="FU30" s="799"/>
      <c r="FV30" s="799"/>
      <c r="FW30" s="799"/>
      <c r="FX30" s="799"/>
      <c r="FY30" s="799"/>
      <c r="FZ30" s="799"/>
      <c r="GA30" s="799"/>
      <c r="GB30" s="799"/>
      <c r="GC30" s="799"/>
      <c r="GD30" s="799"/>
      <c r="GE30" s="799"/>
      <c r="GF30" s="799"/>
      <c r="GG30" s="799"/>
      <c r="GH30" s="799"/>
      <c r="GI30" s="799"/>
      <c r="GJ30" s="799"/>
      <c r="GK30" s="799"/>
      <c r="GL30" s="799"/>
      <c r="GM30" s="799"/>
      <c r="GN30" s="799"/>
      <c r="GO30" s="799"/>
      <c r="GP30" s="799"/>
      <c r="GQ30" s="799"/>
      <c r="GR30" s="799"/>
      <c r="GS30" s="799"/>
      <c r="GT30" s="799"/>
      <c r="GU30" s="799"/>
      <c r="GV30" s="799"/>
      <c r="GW30" s="799"/>
      <c r="GX30" s="799"/>
      <c r="GY30" s="799"/>
      <c r="GZ30" s="799"/>
      <c r="HA30" s="799"/>
      <c r="HB30" s="799"/>
      <c r="HC30" s="799"/>
      <c r="HD30" s="799"/>
      <c r="HE30" s="799"/>
      <c r="HF30" s="799"/>
      <c r="HG30" s="799"/>
      <c r="HH30" s="799"/>
      <c r="HI30" s="799"/>
      <c r="HJ30" s="799"/>
      <c r="HK30" s="799"/>
      <c r="HL30" s="799"/>
      <c r="HM30" s="799"/>
      <c r="HN30" s="799"/>
      <c r="HO30" s="799"/>
      <c r="HP30" s="799"/>
      <c r="HQ30" s="799"/>
      <c r="HR30" s="799"/>
      <c r="HS30" s="799"/>
      <c r="HT30" s="799"/>
      <c r="HU30" s="799"/>
      <c r="HV30" s="799"/>
      <c r="HW30" s="799"/>
      <c r="HX30" s="799"/>
      <c r="HY30" s="799"/>
      <c r="HZ30" s="799"/>
      <c r="IA30" s="799"/>
      <c r="IB30" s="799"/>
    </row>
    <row r="31" customFormat="false" ht="48" hidden="true" customHeight="true" outlineLevel="0" collapsed="false">
      <c r="B31" s="888" t="s">
        <v>316</v>
      </c>
      <c r="C31" s="889" t="s">
        <v>317</v>
      </c>
      <c r="D31" s="890" t="s">
        <v>349</v>
      </c>
      <c r="E31" s="889" t="s">
        <v>706</v>
      </c>
      <c r="F31" s="800"/>
      <c r="G31" s="891" t="s">
        <v>707</v>
      </c>
      <c r="H31" s="891" t="s">
        <v>708</v>
      </c>
      <c r="I31" s="891" t="s">
        <v>709</v>
      </c>
      <c r="J31" s="839" t="s">
        <v>710</v>
      </c>
      <c r="K31" s="891" t="s">
        <v>711</v>
      </c>
      <c r="L31" s="891" t="s">
        <v>712</v>
      </c>
      <c r="M31" s="891" t="s">
        <v>713</v>
      </c>
      <c r="N31" s="839" t="s">
        <v>714</v>
      </c>
      <c r="O31" s="892" t="s">
        <v>658</v>
      </c>
      <c r="P31" s="891" t="s">
        <v>715</v>
      </c>
      <c r="Q31" s="891" t="s">
        <v>716</v>
      </c>
      <c r="R31" s="893" t="s">
        <v>717</v>
      </c>
      <c r="S31" s="893" t="s">
        <v>718</v>
      </c>
      <c r="T31" s="891" t="s">
        <v>719</v>
      </c>
      <c r="U31" s="891" t="s">
        <v>720</v>
      </c>
      <c r="V31" s="894" t="s">
        <v>721</v>
      </c>
      <c r="W31" s="891" t="s">
        <v>722</v>
      </c>
      <c r="X31" s="891" t="s">
        <v>723</v>
      </c>
      <c r="Y31" s="891" t="s">
        <v>724</v>
      </c>
      <c r="Z31" s="891" t="s">
        <v>725</v>
      </c>
      <c r="AA31" s="891" t="s">
        <v>726</v>
      </c>
      <c r="AB31" s="891" t="s">
        <v>727</v>
      </c>
      <c r="AC31" s="894" t="s">
        <v>728</v>
      </c>
      <c r="AD31" s="892" t="s">
        <v>729</v>
      </c>
      <c r="AE31" s="799"/>
      <c r="AF31" s="799"/>
      <c r="AG31" s="799"/>
      <c r="AH31" s="799"/>
      <c r="AI31" s="801"/>
      <c r="AJ31" s="799"/>
      <c r="AK31" s="799"/>
      <c r="AL31" s="799"/>
      <c r="AM31" s="799"/>
      <c r="AN31" s="799"/>
      <c r="AO31" s="799"/>
      <c r="AP31" s="799"/>
      <c r="AQ31" s="799"/>
      <c r="AR31" s="799"/>
      <c r="AS31" s="800"/>
      <c r="AT31" s="800"/>
      <c r="AU31" s="800"/>
      <c r="AV31" s="800"/>
      <c r="AW31" s="800"/>
      <c r="AX31" s="800"/>
      <c r="AY31" s="800"/>
      <c r="AZ31" s="800"/>
      <c r="BA31" s="800"/>
      <c r="BB31" s="800"/>
      <c r="BC31" s="799"/>
      <c r="BD31" s="799"/>
      <c r="BE31" s="799"/>
      <c r="BF31" s="799"/>
      <c r="BG31" s="799"/>
      <c r="BH31" s="799"/>
      <c r="BI31" s="799"/>
      <c r="BJ31" s="799"/>
      <c r="BK31" s="799"/>
      <c r="BL31" s="799"/>
      <c r="BM31" s="799"/>
      <c r="BN31" s="799"/>
      <c r="BO31" s="799"/>
      <c r="BP31" s="799"/>
      <c r="BQ31" s="799"/>
      <c r="BR31" s="799"/>
      <c r="BS31" s="799"/>
      <c r="BT31" s="799"/>
      <c r="BU31" s="799"/>
      <c r="BV31" s="799"/>
      <c r="BW31" s="799"/>
      <c r="BX31" s="799"/>
      <c r="BY31" s="799"/>
      <c r="BZ31" s="799"/>
      <c r="CA31" s="799"/>
      <c r="CB31" s="799"/>
      <c r="CC31" s="799"/>
      <c r="CD31" s="799"/>
      <c r="CE31" s="799"/>
      <c r="CF31" s="799"/>
      <c r="CG31" s="799"/>
      <c r="CH31" s="799"/>
      <c r="CI31" s="799"/>
      <c r="CJ31" s="799"/>
      <c r="CK31" s="799"/>
      <c r="CL31" s="799"/>
      <c r="CM31" s="799"/>
      <c r="CN31" s="799"/>
      <c r="CO31" s="799"/>
      <c r="CP31" s="799"/>
      <c r="CQ31" s="799"/>
      <c r="CR31" s="799"/>
      <c r="CS31" s="799"/>
      <c r="CT31" s="799"/>
      <c r="CU31" s="799"/>
      <c r="CV31" s="799"/>
      <c r="CW31" s="799"/>
      <c r="CX31" s="799"/>
      <c r="CY31" s="799"/>
      <c r="CZ31" s="799"/>
      <c r="DA31" s="799"/>
      <c r="DB31" s="799"/>
      <c r="DC31" s="799"/>
      <c r="DD31" s="799"/>
      <c r="DE31" s="799"/>
      <c r="DF31" s="799"/>
      <c r="DG31" s="799"/>
      <c r="DH31" s="799"/>
      <c r="DI31" s="799"/>
      <c r="DJ31" s="799"/>
      <c r="DK31" s="799"/>
      <c r="DL31" s="799"/>
      <c r="DM31" s="799"/>
      <c r="DN31" s="799"/>
      <c r="DO31" s="799"/>
      <c r="DP31" s="799"/>
      <c r="DQ31" s="799"/>
      <c r="DR31" s="799"/>
      <c r="DS31" s="799"/>
      <c r="DT31" s="799"/>
      <c r="DU31" s="799"/>
      <c r="DV31" s="799"/>
      <c r="DW31" s="799"/>
      <c r="DX31" s="799"/>
      <c r="DY31" s="799"/>
      <c r="DZ31" s="799"/>
      <c r="EA31" s="799"/>
      <c r="EB31" s="799"/>
      <c r="EC31" s="799"/>
      <c r="ED31" s="799"/>
      <c r="EE31" s="799"/>
      <c r="EF31" s="799"/>
      <c r="EG31" s="799"/>
      <c r="EH31" s="799"/>
      <c r="EI31" s="799"/>
      <c r="EJ31" s="799"/>
      <c r="EK31" s="799"/>
      <c r="EL31" s="799"/>
      <c r="EM31" s="799"/>
      <c r="EN31" s="799"/>
      <c r="EO31" s="799"/>
      <c r="EP31" s="799"/>
      <c r="EQ31" s="799"/>
      <c r="ER31" s="799"/>
      <c r="ES31" s="799"/>
      <c r="ET31" s="799"/>
      <c r="EU31" s="799"/>
      <c r="EV31" s="799"/>
      <c r="EW31" s="799"/>
      <c r="EX31" s="799"/>
      <c r="EY31" s="799"/>
      <c r="EZ31" s="799"/>
      <c r="FA31" s="799"/>
      <c r="FB31" s="799"/>
      <c r="FC31" s="799"/>
      <c r="FD31" s="799"/>
      <c r="FE31" s="799"/>
      <c r="FF31" s="799"/>
      <c r="FG31" s="799"/>
      <c r="FH31" s="799"/>
      <c r="FI31" s="799"/>
      <c r="FJ31" s="799"/>
      <c r="FK31" s="799"/>
      <c r="FL31" s="799"/>
      <c r="FM31" s="799"/>
      <c r="FN31" s="799"/>
      <c r="FO31" s="799"/>
      <c r="FP31" s="799"/>
      <c r="FQ31" s="799"/>
      <c r="FR31" s="799"/>
      <c r="FS31" s="799"/>
      <c r="FT31" s="799"/>
      <c r="FU31" s="799"/>
      <c r="FV31" s="799"/>
      <c r="FW31" s="799"/>
      <c r="FX31" s="799"/>
      <c r="FY31" s="799"/>
      <c r="FZ31" s="799"/>
      <c r="GA31" s="799"/>
      <c r="GB31" s="799"/>
      <c r="GC31" s="799"/>
      <c r="GD31" s="799"/>
      <c r="GE31" s="799"/>
      <c r="GF31" s="799"/>
      <c r="GG31" s="799"/>
      <c r="GH31" s="799"/>
      <c r="GI31" s="799"/>
      <c r="GJ31" s="799"/>
      <c r="GK31" s="799"/>
      <c r="GL31" s="799"/>
      <c r="GM31" s="799"/>
      <c r="GN31" s="799"/>
      <c r="GO31" s="799"/>
      <c r="GP31" s="799"/>
      <c r="GQ31" s="799"/>
      <c r="GR31" s="799"/>
      <c r="GS31" s="799"/>
      <c r="GT31" s="799"/>
      <c r="GU31" s="799"/>
      <c r="GV31" s="799"/>
      <c r="GW31" s="799"/>
      <c r="GX31" s="799"/>
      <c r="GY31" s="799"/>
      <c r="GZ31" s="799"/>
      <c r="HA31" s="799"/>
      <c r="HB31" s="799"/>
      <c r="HC31" s="799"/>
      <c r="HD31" s="799"/>
      <c r="HE31" s="799"/>
      <c r="HF31" s="799"/>
      <c r="HG31" s="799"/>
      <c r="HH31" s="799"/>
      <c r="HI31" s="799"/>
      <c r="HJ31" s="799"/>
      <c r="HK31" s="799"/>
      <c r="HL31" s="799"/>
      <c r="HM31" s="799"/>
      <c r="HN31" s="799"/>
      <c r="HO31" s="799"/>
      <c r="HP31" s="799"/>
      <c r="HQ31" s="799"/>
      <c r="HR31" s="799"/>
      <c r="HS31" s="799"/>
      <c r="HT31" s="799"/>
      <c r="HU31" s="799"/>
      <c r="HV31" s="799"/>
      <c r="HW31" s="799"/>
      <c r="HX31" s="799"/>
      <c r="HY31" s="799"/>
      <c r="HZ31" s="799"/>
      <c r="IA31" s="799"/>
      <c r="IB31" s="799"/>
    </row>
    <row r="32" customFormat="false" ht="60" hidden="true" customHeight="true" outlineLevel="0" collapsed="false">
      <c r="B32" s="888"/>
      <c r="C32" s="889"/>
      <c r="D32" s="890"/>
      <c r="E32" s="889"/>
      <c r="F32" s="800"/>
      <c r="G32" s="891"/>
      <c r="H32" s="891"/>
      <c r="I32" s="891"/>
      <c r="J32" s="839"/>
      <c r="K32" s="891"/>
      <c r="L32" s="891"/>
      <c r="M32" s="891"/>
      <c r="N32" s="839"/>
      <c r="O32" s="892"/>
      <c r="P32" s="891"/>
      <c r="Q32" s="891"/>
      <c r="R32" s="893"/>
      <c r="S32" s="893"/>
      <c r="T32" s="891"/>
      <c r="U32" s="891"/>
      <c r="V32" s="894"/>
      <c r="W32" s="891"/>
      <c r="X32" s="891"/>
      <c r="Y32" s="891"/>
      <c r="Z32" s="891"/>
      <c r="AA32" s="891"/>
      <c r="AB32" s="891"/>
      <c r="AC32" s="894"/>
      <c r="AD32" s="892"/>
      <c r="AE32" s="799"/>
      <c r="AF32" s="799"/>
      <c r="AG32" s="799"/>
      <c r="AH32" s="799"/>
      <c r="AI32" s="801"/>
      <c r="AJ32" s="799"/>
      <c r="AK32" s="799"/>
      <c r="AL32" s="799"/>
      <c r="AM32" s="799"/>
      <c r="AN32" s="799"/>
      <c r="AO32" s="799"/>
      <c r="AP32" s="799"/>
      <c r="AQ32" s="799"/>
      <c r="AR32" s="799"/>
      <c r="AS32" s="800"/>
      <c r="AT32" s="800"/>
      <c r="AU32" s="800"/>
      <c r="AV32" s="800"/>
      <c r="AW32" s="800"/>
      <c r="AX32" s="800"/>
      <c r="AY32" s="800"/>
      <c r="AZ32" s="800"/>
      <c r="BA32" s="800"/>
      <c r="BB32" s="800"/>
      <c r="BC32" s="799"/>
      <c r="BD32" s="799"/>
      <c r="BE32" s="799"/>
      <c r="BF32" s="799"/>
      <c r="BG32" s="799"/>
      <c r="BH32" s="799"/>
      <c r="BI32" s="799"/>
      <c r="BJ32" s="799"/>
      <c r="BK32" s="799"/>
      <c r="BL32" s="799"/>
      <c r="BM32" s="799"/>
      <c r="BN32" s="799"/>
      <c r="BO32" s="799"/>
      <c r="BP32" s="799"/>
      <c r="BQ32" s="799"/>
      <c r="BR32" s="799"/>
      <c r="BS32" s="799"/>
      <c r="BT32" s="799"/>
      <c r="BU32" s="799"/>
      <c r="BV32" s="799"/>
      <c r="BW32" s="799"/>
      <c r="BX32" s="799"/>
      <c r="BY32" s="799"/>
      <c r="BZ32" s="799"/>
      <c r="CA32" s="799"/>
      <c r="CB32" s="799"/>
      <c r="CC32" s="799"/>
      <c r="CD32" s="799"/>
      <c r="CE32" s="799"/>
      <c r="CF32" s="799"/>
      <c r="CG32" s="799"/>
      <c r="CH32" s="799"/>
      <c r="CI32" s="799"/>
      <c r="CJ32" s="799"/>
      <c r="CK32" s="799"/>
      <c r="CL32" s="799"/>
      <c r="CM32" s="799"/>
      <c r="CN32" s="799"/>
      <c r="CO32" s="799"/>
      <c r="CP32" s="799"/>
      <c r="CQ32" s="799"/>
      <c r="CR32" s="799"/>
      <c r="CS32" s="799"/>
      <c r="CT32" s="799"/>
      <c r="CU32" s="799"/>
      <c r="CV32" s="799"/>
      <c r="CW32" s="799"/>
      <c r="CX32" s="799"/>
      <c r="CY32" s="799"/>
      <c r="CZ32" s="799"/>
      <c r="DA32" s="799"/>
      <c r="DB32" s="799"/>
      <c r="DC32" s="799"/>
      <c r="DD32" s="799"/>
      <c r="DE32" s="799"/>
      <c r="DF32" s="799"/>
      <c r="DG32" s="799"/>
      <c r="DH32" s="799"/>
      <c r="DI32" s="799"/>
      <c r="DJ32" s="799"/>
      <c r="DK32" s="799"/>
      <c r="DL32" s="799"/>
      <c r="DM32" s="799"/>
      <c r="DN32" s="799"/>
      <c r="DO32" s="799"/>
      <c r="DP32" s="799"/>
      <c r="DQ32" s="799"/>
      <c r="DR32" s="799"/>
      <c r="DS32" s="799"/>
      <c r="DT32" s="799"/>
      <c r="DU32" s="799"/>
      <c r="DV32" s="799"/>
      <c r="DW32" s="799"/>
      <c r="DX32" s="799"/>
      <c r="DY32" s="799"/>
      <c r="DZ32" s="799"/>
      <c r="EA32" s="799"/>
      <c r="EB32" s="799"/>
      <c r="EC32" s="799"/>
      <c r="ED32" s="799"/>
      <c r="EE32" s="799"/>
      <c r="EF32" s="799"/>
      <c r="EG32" s="799"/>
      <c r="EH32" s="799"/>
      <c r="EI32" s="799"/>
      <c r="EJ32" s="799"/>
      <c r="EK32" s="799"/>
      <c r="EL32" s="799"/>
      <c r="EM32" s="799"/>
      <c r="EN32" s="799"/>
      <c r="EO32" s="799"/>
      <c r="EP32" s="799"/>
      <c r="EQ32" s="799"/>
      <c r="ER32" s="799"/>
      <c r="ES32" s="799"/>
      <c r="ET32" s="799"/>
      <c r="EU32" s="799"/>
      <c r="EV32" s="799"/>
      <c r="EW32" s="799"/>
      <c r="EX32" s="799"/>
      <c r="EY32" s="799"/>
      <c r="EZ32" s="799"/>
      <c r="FA32" s="799"/>
      <c r="FB32" s="799"/>
      <c r="FC32" s="799"/>
      <c r="FD32" s="799"/>
      <c r="FE32" s="799"/>
      <c r="FF32" s="799"/>
      <c r="FG32" s="799"/>
      <c r="FH32" s="799"/>
      <c r="FI32" s="799"/>
      <c r="FJ32" s="799"/>
      <c r="FK32" s="799"/>
      <c r="FL32" s="799"/>
      <c r="FM32" s="799"/>
      <c r="FN32" s="799"/>
      <c r="FO32" s="799"/>
      <c r="FP32" s="799"/>
      <c r="FQ32" s="799"/>
      <c r="FR32" s="799"/>
      <c r="FS32" s="799"/>
      <c r="FT32" s="799"/>
      <c r="FU32" s="799"/>
      <c r="FV32" s="799"/>
      <c r="FW32" s="799"/>
      <c r="FX32" s="799"/>
      <c r="FY32" s="799"/>
      <c r="FZ32" s="799"/>
      <c r="GA32" s="799"/>
      <c r="GB32" s="799"/>
      <c r="GC32" s="799"/>
      <c r="GD32" s="799"/>
      <c r="GE32" s="799"/>
      <c r="GF32" s="799"/>
      <c r="GG32" s="799"/>
      <c r="GH32" s="799"/>
      <c r="GI32" s="799"/>
      <c r="GJ32" s="799"/>
      <c r="GK32" s="799"/>
      <c r="GL32" s="799"/>
      <c r="GM32" s="799"/>
      <c r="GN32" s="799"/>
      <c r="GO32" s="799"/>
      <c r="GP32" s="799"/>
      <c r="GQ32" s="799"/>
      <c r="GR32" s="799"/>
      <c r="GS32" s="799"/>
      <c r="GT32" s="799"/>
      <c r="GU32" s="799"/>
      <c r="GV32" s="799"/>
      <c r="GW32" s="799"/>
      <c r="GX32" s="799"/>
      <c r="GY32" s="799"/>
      <c r="GZ32" s="799"/>
      <c r="HA32" s="799"/>
      <c r="HB32" s="799"/>
      <c r="HC32" s="799"/>
      <c r="HD32" s="799"/>
      <c r="HE32" s="799"/>
      <c r="HF32" s="799"/>
      <c r="HG32" s="799"/>
      <c r="HH32" s="799"/>
      <c r="HI32" s="799"/>
      <c r="HJ32" s="799"/>
      <c r="HK32" s="799"/>
      <c r="HL32" s="799"/>
      <c r="HM32" s="799"/>
      <c r="HN32" s="799"/>
      <c r="HO32" s="799"/>
      <c r="HP32" s="799"/>
      <c r="HQ32" s="799"/>
      <c r="HR32" s="799"/>
      <c r="HS32" s="799"/>
      <c r="HT32" s="799"/>
      <c r="HU32" s="799"/>
      <c r="HV32" s="799"/>
      <c r="HW32" s="799"/>
      <c r="HX32" s="799"/>
      <c r="HY32" s="799"/>
      <c r="HZ32" s="799"/>
      <c r="IA32" s="799"/>
      <c r="IB32" s="799"/>
    </row>
    <row r="33" customFormat="false" ht="13.8" hidden="true" customHeight="false" outlineLevel="0" collapsed="false">
      <c r="B33" s="863" t="s">
        <v>73</v>
      </c>
      <c r="C33" s="863"/>
      <c r="D33" s="895" t="n">
        <v>1</v>
      </c>
      <c r="E33" s="896" t="s">
        <v>587</v>
      </c>
      <c r="F33" s="800"/>
      <c r="G33" s="897" t="n">
        <v>5</v>
      </c>
      <c r="H33" s="898" t="n">
        <v>3</v>
      </c>
      <c r="I33" s="898" t="n">
        <v>2</v>
      </c>
      <c r="J33" s="899" t="n">
        <f aca="false">+SUM(G33:I33)</f>
        <v>10</v>
      </c>
      <c r="K33" s="897" t="n">
        <v>1</v>
      </c>
      <c r="L33" s="898" t="n">
        <v>3</v>
      </c>
      <c r="M33" s="898" t="n">
        <v>5</v>
      </c>
      <c r="N33" s="899" t="n">
        <f aca="false">+SUM(K33:M33)</f>
        <v>9</v>
      </c>
      <c r="O33" s="900" t="n">
        <f aca="false">+N33+J33</f>
        <v>19</v>
      </c>
      <c r="P33" s="898" t="n">
        <v>6</v>
      </c>
      <c r="Q33" s="898" t="n">
        <v>8</v>
      </c>
      <c r="R33" s="898" t="n">
        <v>11</v>
      </c>
      <c r="S33" s="898" t="n">
        <v>14</v>
      </c>
      <c r="T33" s="898" t="n">
        <v>13</v>
      </c>
      <c r="U33" s="897" t="n">
        <v>13</v>
      </c>
      <c r="V33" s="901" t="n">
        <f aca="false">+SUM(P33:U33)</f>
        <v>65</v>
      </c>
      <c r="W33" s="898" t="n">
        <v>5</v>
      </c>
      <c r="X33" s="898" t="n">
        <v>6</v>
      </c>
      <c r="Y33" s="898" t="n">
        <v>8</v>
      </c>
      <c r="Z33" s="898" t="n">
        <v>7</v>
      </c>
      <c r="AA33" s="898" t="n">
        <v>9</v>
      </c>
      <c r="AB33" s="898" t="n">
        <v>12</v>
      </c>
      <c r="AC33" s="901" t="n">
        <f aca="false">+SUM(W33:AB33)</f>
        <v>47</v>
      </c>
      <c r="AD33" s="900" t="n">
        <f aca="false">+AC33+Y33</f>
        <v>55</v>
      </c>
      <c r="AE33" s="902"/>
      <c r="AF33" s="799"/>
      <c r="AG33" s="799"/>
      <c r="AH33" s="799"/>
      <c r="AI33" s="801"/>
      <c r="AJ33" s="799"/>
      <c r="AK33" s="799"/>
      <c r="AL33" s="799"/>
      <c r="AM33" s="799"/>
      <c r="AN33" s="799"/>
      <c r="AO33" s="799"/>
      <c r="AP33" s="799"/>
      <c r="AQ33" s="799"/>
      <c r="AR33" s="799"/>
      <c r="AS33" s="800"/>
      <c r="AT33" s="800"/>
      <c r="AU33" s="800"/>
      <c r="AV33" s="800"/>
      <c r="AW33" s="800"/>
      <c r="AX33" s="800"/>
      <c r="AY33" s="800"/>
      <c r="AZ33" s="800"/>
      <c r="BA33" s="800"/>
      <c r="BB33" s="800"/>
      <c r="BC33" s="799"/>
      <c r="BD33" s="799"/>
      <c r="BE33" s="799"/>
      <c r="BF33" s="799"/>
      <c r="BG33" s="799"/>
      <c r="BH33" s="799"/>
      <c r="BI33" s="799"/>
      <c r="BJ33" s="799"/>
      <c r="BK33" s="799"/>
      <c r="BL33" s="799"/>
      <c r="BM33" s="799"/>
      <c r="BN33" s="799"/>
      <c r="BO33" s="799"/>
      <c r="BP33" s="799"/>
      <c r="BQ33" s="799"/>
      <c r="BR33" s="799"/>
      <c r="BS33" s="799"/>
      <c r="BT33" s="799"/>
      <c r="BU33" s="799"/>
      <c r="BV33" s="799"/>
      <c r="BW33" s="799"/>
      <c r="BX33" s="799"/>
      <c r="BY33" s="799"/>
      <c r="BZ33" s="799"/>
      <c r="CA33" s="799"/>
      <c r="CB33" s="799"/>
      <c r="CC33" s="799"/>
      <c r="CD33" s="799"/>
      <c r="CE33" s="799"/>
      <c r="CF33" s="799"/>
      <c r="CG33" s="799"/>
      <c r="CH33" s="799"/>
      <c r="CI33" s="799"/>
      <c r="CJ33" s="799"/>
      <c r="CK33" s="799"/>
      <c r="CL33" s="799"/>
      <c r="CM33" s="799"/>
      <c r="CN33" s="799"/>
      <c r="CO33" s="799"/>
      <c r="CP33" s="799"/>
      <c r="CQ33" s="799"/>
      <c r="CR33" s="799"/>
      <c r="CS33" s="799"/>
      <c r="CT33" s="799"/>
      <c r="CU33" s="799"/>
      <c r="CV33" s="799"/>
      <c r="CW33" s="799"/>
      <c r="CX33" s="799"/>
      <c r="CY33" s="799"/>
      <c r="CZ33" s="799"/>
      <c r="DA33" s="799"/>
      <c r="DB33" s="799"/>
      <c r="DC33" s="799"/>
      <c r="DD33" s="799"/>
      <c r="DE33" s="799"/>
      <c r="DF33" s="799"/>
      <c r="DG33" s="799"/>
      <c r="DH33" s="799"/>
      <c r="DI33" s="799"/>
      <c r="DJ33" s="799"/>
      <c r="DK33" s="799"/>
      <c r="DL33" s="799"/>
      <c r="DM33" s="799"/>
      <c r="DN33" s="799"/>
      <c r="DO33" s="799"/>
      <c r="DP33" s="799"/>
      <c r="DQ33" s="799"/>
      <c r="DR33" s="799"/>
      <c r="DS33" s="799"/>
      <c r="DT33" s="799"/>
      <c r="DU33" s="799"/>
      <c r="DV33" s="799"/>
      <c r="DW33" s="799"/>
      <c r="DX33" s="799"/>
      <c r="DY33" s="799"/>
      <c r="DZ33" s="799"/>
      <c r="EA33" s="799"/>
      <c r="EB33" s="799"/>
      <c r="EC33" s="799"/>
      <c r="ED33" s="799"/>
      <c r="EE33" s="799"/>
      <c r="EF33" s="799"/>
      <c r="EG33" s="799"/>
      <c r="EH33" s="799"/>
      <c r="EI33" s="799"/>
      <c r="EJ33" s="799"/>
      <c r="EK33" s="799"/>
      <c r="EL33" s="799"/>
      <c r="EM33" s="799"/>
      <c r="EN33" s="799"/>
      <c r="EO33" s="799"/>
      <c r="EP33" s="799"/>
      <c r="EQ33" s="799"/>
      <c r="ER33" s="799"/>
      <c r="ES33" s="799"/>
      <c r="ET33" s="799"/>
      <c r="EU33" s="799"/>
      <c r="EV33" s="799"/>
      <c r="EW33" s="799"/>
      <c r="EX33" s="799"/>
      <c r="EY33" s="799"/>
      <c r="EZ33" s="799"/>
      <c r="FA33" s="799"/>
      <c r="FB33" s="799"/>
      <c r="FC33" s="799"/>
      <c r="FD33" s="799"/>
      <c r="FE33" s="799"/>
      <c r="FF33" s="799"/>
      <c r="FG33" s="799"/>
      <c r="FH33" s="799"/>
      <c r="FI33" s="799"/>
      <c r="FJ33" s="799"/>
      <c r="FK33" s="799"/>
      <c r="FL33" s="799"/>
      <c r="FM33" s="799"/>
      <c r="FN33" s="799"/>
      <c r="FO33" s="799"/>
      <c r="FP33" s="799"/>
      <c r="FQ33" s="799"/>
      <c r="FR33" s="799"/>
      <c r="FS33" s="799"/>
      <c r="FT33" s="799"/>
      <c r="FU33" s="799"/>
      <c r="FV33" s="799"/>
      <c r="FW33" s="799"/>
      <c r="FX33" s="799"/>
      <c r="FY33" s="799"/>
      <c r="FZ33" s="799"/>
      <c r="GA33" s="799"/>
      <c r="GB33" s="799"/>
      <c r="GC33" s="799"/>
      <c r="GD33" s="799"/>
      <c r="GE33" s="799"/>
      <c r="GF33" s="799"/>
      <c r="GG33" s="799"/>
      <c r="GH33" s="799"/>
      <c r="GI33" s="799"/>
      <c r="GJ33" s="799"/>
      <c r="GK33" s="799"/>
      <c r="GL33" s="799"/>
      <c r="GM33" s="799"/>
      <c r="GN33" s="799"/>
      <c r="GO33" s="799"/>
      <c r="GP33" s="799"/>
      <c r="GQ33" s="799"/>
      <c r="GR33" s="799"/>
      <c r="GS33" s="799"/>
      <c r="GT33" s="799"/>
      <c r="GU33" s="799"/>
      <c r="GV33" s="799"/>
      <c r="GW33" s="799"/>
      <c r="GX33" s="799"/>
      <c r="GY33" s="799"/>
      <c r="GZ33" s="799"/>
      <c r="HA33" s="799"/>
      <c r="HB33" s="799"/>
      <c r="HC33" s="799"/>
      <c r="HD33" s="799"/>
      <c r="HE33" s="799"/>
      <c r="HF33" s="799"/>
      <c r="HG33" s="799"/>
      <c r="HH33" s="799"/>
      <c r="HI33" s="799"/>
      <c r="HJ33" s="799"/>
      <c r="HK33" s="799"/>
      <c r="HL33" s="799"/>
      <c r="HM33" s="799"/>
      <c r="HN33" s="799"/>
      <c r="HO33" s="799"/>
      <c r="HP33" s="799"/>
      <c r="HQ33" s="799"/>
      <c r="HR33" s="799"/>
      <c r="HS33" s="799"/>
      <c r="HT33" s="799"/>
      <c r="HU33" s="799"/>
      <c r="HV33" s="799"/>
      <c r="HW33" s="799"/>
      <c r="HX33" s="799"/>
      <c r="HY33" s="799"/>
      <c r="HZ33" s="799"/>
      <c r="IA33" s="799"/>
      <c r="IB33" s="799"/>
    </row>
    <row r="34" customFormat="false" ht="13.8" hidden="true" customHeight="false" outlineLevel="0" collapsed="false">
      <c r="B34" s="863" t="s">
        <v>73</v>
      </c>
      <c r="C34" s="863"/>
      <c r="D34" s="889" t="n">
        <f aca="false">+D33+1</f>
        <v>2</v>
      </c>
      <c r="E34" s="863" t="s">
        <v>586</v>
      </c>
      <c r="F34" s="800"/>
      <c r="G34" s="897"/>
      <c r="H34" s="898"/>
      <c r="I34" s="898"/>
      <c r="J34" s="899" t="n">
        <f aca="false">+SUM(G34:I34)</f>
        <v>0</v>
      </c>
      <c r="K34" s="897"/>
      <c r="L34" s="898"/>
      <c r="M34" s="898"/>
      <c r="N34" s="899" t="n">
        <f aca="false">+SUM(K34:M34)</f>
        <v>0</v>
      </c>
      <c r="O34" s="900" t="n">
        <f aca="false">+N34+J34</f>
        <v>0</v>
      </c>
      <c r="P34" s="898"/>
      <c r="Q34" s="898"/>
      <c r="R34" s="898"/>
      <c r="S34" s="898"/>
      <c r="T34" s="898"/>
      <c r="U34" s="897"/>
      <c r="V34" s="901" t="n">
        <f aca="false">+SUM(P34:U34)</f>
        <v>0</v>
      </c>
      <c r="W34" s="898"/>
      <c r="X34" s="898"/>
      <c r="Y34" s="898"/>
      <c r="Z34" s="898"/>
      <c r="AA34" s="898"/>
      <c r="AB34" s="898"/>
      <c r="AC34" s="901" t="n">
        <f aca="false">+SUM(W34:AB34)</f>
        <v>0</v>
      </c>
      <c r="AD34" s="900" t="n">
        <f aca="false">+AC34+Y34</f>
        <v>0</v>
      </c>
      <c r="AE34" s="902"/>
      <c r="AF34" s="799"/>
      <c r="AG34" s="799"/>
      <c r="AH34" s="799"/>
      <c r="AI34" s="801"/>
      <c r="AJ34" s="799"/>
      <c r="AK34" s="799"/>
      <c r="AL34" s="799"/>
      <c r="AM34" s="799"/>
      <c r="AN34" s="799"/>
      <c r="AO34" s="799"/>
      <c r="AP34" s="799"/>
      <c r="AQ34" s="799"/>
      <c r="AR34" s="799"/>
      <c r="AS34" s="800"/>
      <c r="AT34" s="800"/>
      <c r="AU34" s="800"/>
      <c r="AV34" s="800"/>
      <c r="AW34" s="800"/>
      <c r="AX34" s="800"/>
      <c r="AY34" s="800"/>
      <c r="AZ34" s="800"/>
      <c r="BA34" s="800"/>
      <c r="BB34" s="800"/>
      <c r="BC34" s="799"/>
      <c r="BD34" s="799"/>
      <c r="BE34" s="799"/>
      <c r="BF34" s="799"/>
      <c r="BG34" s="799"/>
      <c r="BH34" s="799"/>
      <c r="BI34" s="799"/>
      <c r="BJ34" s="799"/>
      <c r="BK34" s="799"/>
      <c r="BL34" s="799"/>
      <c r="BM34" s="799"/>
      <c r="BN34" s="799"/>
      <c r="BO34" s="799"/>
      <c r="BP34" s="799"/>
      <c r="BQ34" s="799"/>
      <c r="BR34" s="799"/>
      <c r="BS34" s="799"/>
      <c r="BT34" s="799"/>
      <c r="BU34" s="799"/>
      <c r="BV34" s="799"/>
      <c r="BW34" s="799"/>
      <c r="BX34" s="799"/>
      <c r="BY34" s="799"/>
      <c r="BZ34" s="799"/>
      <c r="CA34" s="799"/>
      <c r="CB34" s="799"/>
      <c r="CC34" s="799"/>
      <c r="CD34" s="799"/>
      <c r="CE34" s="799"/>
      <c r="CF34" s="799"/>
      <c r="CG34" s="799"/>
      <c r="CH34" s="799"/>
      <c r="CI34" s="799"/>
      <c r="CJ34" s="799"/>
      <c r="CK34" s="799"/>
      <c r="CL34" s="799"/>
      <c r="CM34" s="799"/>
      <c r="CN34" s="799"/>
      <c r="CO34" s="799"/>
      <c r="CP34" s="799"/>
      <c r="CQ34" s="799"/>
      <c r="CR34" s="799"/>
      <c r="CS34" s="799"/>
      <c r="CT34" s="799"/>
      <c r="CU34" s="799"/>
      <c r="CV34" s="799"/>
      <c r="CW34" s="799"/>
      <c r="CX34" s="799"/>
      <c r="CY34" s="799"/>
      <c r="CZ34" s="799"/>
      <c r="DA34" s="799"/>
      <c r="DB34" s="799"/>
      <c r="DC34" s="799"/>
      <c r="DD34" s="799"/>
      <c r="DE34" s="799"/>
      <c r="DF34" s="799"/>
      <c r="DG34" s="799"/>
      <c r="DH34" s="799"/>
      <c r="DI34" s="799"/>
      <c r="DJ34" s="799"/>
      <c r="DK34" s="799"/>
      <c r="DL34" s="799"/>
      <c r="DM34" s="799"/>
      <c r="DN34" s="799"/>
      <c r="DO34" s="799"/>
      <c r="DP34" s="799"/>
      <c r="DQ34" s="799"/>
      <c r="DR34" s="799"/>
      <c r="DS34" s="799"/>
      <c r="DT34" s="799"/>
      <c r="DU34" s="799"/>
      <c r="DV34" s="799"/>
      <c r="DW34" s="799"/>
      <c r="DX34" s="799"/>
      <c r="DY34" s="799"/>
      <c r="DZ34" s="799"/>
      <c r="EA34" s="799"/>
      <c r="EB34" s="799"/>
      <c r="EC34" s="799"/>
      <c r="ED34" s="799"/>
      <c r="EE34" s="799"/>
      <c r="EF34" s="799"/>
      <c r="EG34" s="799"/>
      <c r="EH34" s="799"/>
      <c r="EI34" s="799"/>
      <c r="EJ34" s="799"/>
      <c r="EK34" s="799"/>
      <c r="EL34" s="799"/>
      <c r="EM34" s="799"/>
      <c r="EN34" s="799"/>
      <c r="EO34" s="799"/>
      <c r="EP34" s="799"/>
      <c r="EQ34" s="799"/>
      <c r="ER34" s="799"/>
      <c r="ES34" s="799"/>
      <c r="ET34" s="799"/>
      <c r="EU34" s="799"/>
      <c r="EV34" s="799"/>
      <c r="EW34" s="799"/>
      <c r="EX34" s="799"/>
      <c r="EY34" s="799"/>
      <c r="EZ34" s="799"/>
      <c r="FA34" s="799"/>
      <c r="FB34" s="799"/>
      <c r="FC34" s="799"/>
      <c r="FD34" s="799"/>
      <c r="FE34" s="799"/>
      <c r="FF34" s="799"/>
      <c r="FG34" s="799"/>
      <c r="FH34" s="799"/>
      <c r="FI34" s="799"/>
      <c r="FJ34" s="799"/>
      <c r="FK34" s="799"/>
      <c r="FL34" s="799"/>
      <c r="FM34" s="799"/>
      <c r="FN34" s="799"/>
      <c r="FO34" s="799"/>
      <c r="FP34" s="799"/>
      <c r="FQ34" s="799"/>
      <c r="FR34" s="799"/>
      <c r="FS34" s="799"/>
      <c r="FT34" s="799"/>
      <c r="FU34" s="799"/>
      <c r="FV34" s="799"/>
      <c r="FW34" s="799"/>
      <c r="FX34" s="799"/>
      <c r="FY34" s="799"/>
      <c r="FZ34" s="799"/>
      <c r="GA34" s="799"/>
      <c r="GB34" s="799"/>
      <c r="GC34" s="799"/>
      <c r="GD34" s="799"/>
      <c r="GE34" s="799"/>
      <c r="GF34" s="799"/>
      <c r="GG34" s="799"/>
      <c r="GH34" s="799"/>
      <c r="GI34" s="799"/>
      <c r="GJ34" s="799"/>
      <c r="GK34" s="799"/>
      <c r="GL34" s="799"/>
      <c r="GM34" s="799"/>
      <c r="GN34" s="799"/>
      <c r="GO34" s="799"/>
      <c r="GP34" s="799"/>
      <c r="GQ34" s="799"/>
      <c r="GR34" s="799"/>
      <c r="GS34" s="799"/>
      <c r="GT34" s="799"/>
      <c r="GU34" s="799"/>
      <c r="GV34" s="799"/>
      <c r="GW34" s="799"/>
      <c r="GX34" s="799"/>
      <c r="GY34" s="799"/>
      <c r="GZ34" s="799"/>
      <c r="HA34" s="799"/>
      <c r="HB34" s="799"/>
      <c r="HC34" s="799"/>
      <c r="HD34" s="799"/>
      <c r="HE34" s="799"/>
      <c r="HF34" s="799"/>
      <c r="HG34" s="799"/>
      <c r="HH34" s="799"/>
      <c r="HI34" s="799"/>
      <c r="HJ34" s="799"/>
      <c r="HK34" s="799"/>
      <c r="HL34" s="799"/>
      <c r="HM34" s="799"/>
      <c r="HN34" s="799"/>
      <c r="HO34" s="799"/>
      <c r="HP34" s="799"/>
      <c r="HQ34" s="799"/>
      <c r="HR34" s="799"/>
      <c r="HS34" s="799"/>
      <c r="HT34" s="799"/>
      <c r="HU34" s="799"/>
      <c r="HV34" s="799"/>
      <c r="HW34" s="799"/>
      <c r="HX34" s="799"/>
      <c r="HY34" s="799"/>
      <c r="HZ34" s="799"/>
      <c r="IA34" s="799"/>
      <c r="IB34" s="799"/>
    </row>
    <row r="35" customFormat="false" ht="13.8" hidden="true" customHeight="false" outlineLevel="0" collapsed="false">
      <c r="B35" s="863" t="s">
        <v>73</v>
      </c>
      <c r="C35" s="863"/>
      <c r="D35" s="889" t="n">
        <f aca="false">+D34+1</f>
        <v>3</v>
      </c>
      <c r="E35" s="863" t="s">
        <v>730</v>
      </c>
      <c r="F35" s="800"/>
      <c r="G35" s="897"/>
      <c r="H35" s="898"/>
      <c r="I35" s="898"/>
      <c r="J35" s="899" t="n">
        <f aca="false">+SUM(G35:I35)</f>
        <v>0</v>
      </c>
      <c r="K35" s="897"/>
      <c r="L35" s="898"/>
      <c r="M35" s="898"/>
      <c r="N35" s="899" t="n">
        <f aca="false">+SUM(K35:M35)</f>
        <v>0</v>
      </c>
      <c r="O35" s="900" t="n">
        <f aca="false">+N35+J35</f>
        <v>0</v>
      </c>
      <c r="P35" s="898"/>
      <c r="Q35" s="898"/>
      <c r="R35" s="898"/>
      <c r="S35" s="898"/>
      <c r="T35" s="898"/>
      <c r="U35" s="897"/>
      <c r="V35" s="901" t="n">
        <f aca="false">+SUM(P35:U35)</f>
        <v>0</v>
      </c>
      <c r="W35" s="898"/>
      <c r="X35" s="898"/>
      <c r="Y35" s="898"/>
      <c r="Z35" s="898"/>
      <c r="AA35" s="898"/>
      <c r="AB35" s="898"/>
      <c r="AC35" s="901" t="n">
        <f aca="false">+SUM(W35:AB35)</f>
        <v>0</v>
      </c>
      <c r="AD35" s="900" t="n">
        <f aca="false">+AC35+Y35</f>
        <v>0</v>
      </c>
      <c r="AE35" s="902"/>
      <c r="AF35" s="799"/>
      <c r="AG35" s="799"/>
      <c r="AH35" s="799"/>
      <c r="AI35" s="801"/>
      <c r="AJ35" s="799"/>
      <c r="AK35" s="799"/>
      <c r="AL35" s="799"/>
      <c r="AM35" s="799"/>
      <c r="AN35" s="799"/>
      <c r="AO35" s="799"/>
      <c r="AP35" s="799"/>
      <c r="AQ35" s="799"/>
      <c r="AR35" s="799"/>
      <c r="AS35" s="800"/>
      <c r="AT35" s="800"/>
      <c r="AU35" s="800"/>
      <c r="AV35" s="800"/>
      <c r="AW35" s="800"/>
      <c r="AX35" s="800"/>
      <c r="AY35" s="800"/>
      <c r="AZ35" s="800"/>
      <c r="BA35" s="800"/>
      <c r="BB35" s="800"/>
      <c r="BC35" s="799"/>
      <c r="BD35" s="799"/>
      <c r="BE35" s="799"/>
      <c r="BF35" s="799"/>
      <c r="BG35" s="799"/>
      <c r="BH35" s="799"/>
      <c r="BI35" s="799"/>
      <c r="BJ35" s="799"/>
      <c r="BK35" s="799"/>
      <c r="BL35" s="799"/>
      <c r="BM35" s="799"/>
      <c r="BN35" s="799"/>
      <c r="BO35" s="799"/>
      <c r="BP35" s="799"/>
      <c r="BQ35" s="799"/>
      <c r="BR35" s="799"/>
      <c r="BS35" s="799"/>
      <c r="BT35" s="799"/>
      <c r="BU35" s="799"/>
      <c r="BV35" s="799"/>
      <c r="BW35" s="799"/>
      <c r="BX35" s="799"/>
      <c r="BY35" s="799"/>
      <c r="BZ35" s="799"/>
      <c r="CA35" s="799"/>
      <c r="CB35" s="799"/>
      <c r="CC35" s="799"/>
      <c r="CD35" s="799"/>
      <c r="CE35" s="799"/>
      <c r="CF35" s="799"/>
      <c r="CG35" s="799"/>
      <c r="CH35" s="799"/>
      <c r="CI35" s="799"/>
      <c r="CJ35" s="799"/>
      <c r="CK35" s="799"/>
      <c r="CL35" s="799"/>
      <c r="CM35" s="799"/>
      <c r="CN35" s="799"/>
      <c r="CO35" s="799"/>
      <c r="CP35" s="799"/>
      <c r="CQ35" s="799"/>
      <c r="CR35" s="799"/>
      <c r="CS35" s="799"/>
      <c r="CT35" s="799"/>
      <c r="CU35" s="799"/>
      <c r="CV35" s="799"/>
      <c r="CW35" s="799"/>
      <c r="CX35" s="799"/>
      <c r="CY35" s="799"/>
      <c r="CZ35" s="799"/>
      <c r="DA35" s="799"/>
      <c r="DB35" s="799"/>
      <c r="DC35" s="799"/>
      <c r="DD35" s="799"/>
      <c r="DE35" s="799"/>
      <c r="DF35" s="799"/>
      <c r="DG35" s="799"/>
      <c r="DH35" s="799"/>
      <c r="DI35" s="799"/>
      <c r="DJ35" s="799"/>
      <c r="DK35" s="799"/>
      <c r="DL35" s="799"/>
      <c r="DM35" s="799"/>
      <c r="DN35" s="799"/>
      <c r="DO35" s="799"/>
      <c r="DP35" s="799"/>
      <c r="DQ35" s="799"/>
      <c r="DR35" s="799"/>
      <c r="DS35" s="799"/>
      <c r="DT35" s="799"/>
      <c r="DU35" s="799"/>
      <c r="DV35" s="799"/>
      <c r="DW35" s="799"/>
      <c r="DX35" s="799"/>
      <c r="DY35" s="799"/>
      <c r="DZ35" s="799"/>
      <c r="EA35" s="799"/>
      <c r="EB35" s="799"/>
      <c r="EC35" s="799"/>
      <c r="ED35" s="799"/>
      <c r="EE35" s="799"/>
      <c r="EF35" s="799"/>
      <c r="EG35" s="799"/>
      <c r="EH35" s="799"/>
      <c r="EI35" s="799"/>
      <c r="EJ35" s="799"/>
      <c r="EK35" s="799"/>
      <c r="EL35" s="799"/>
      <c r="EM35" s="799"/>
      <c r="EN35" s="799"/>
      <c r="EO35" s="799"/>
      <c r="EP35" s="799"/>
      <c r="EQ35" s="799"/>
      <c r="ER35" s="799"/>
      <c r="ES35" s="799"/>
      <c r="ET35" s="799"/>
      <c r="EU35" s="799"/>
      <c r="EV35" s="799"/>
      <c r="EW35" s="799"/>
      <c r="EX35" s="799"/>
      <c r="EY35" s="799"/>
      <c r="EZ35" s="799"/>
      <c r="FA35" s="799"/>
      <c r="FB35" s="799"/>
      <c r="FC35" s="799"/>
      <c r="FD35" s="799"/>
      <c r="FE35" s="799"/>
      <c r="FF35" s="799"/>
      <c r="FG35" s="799"/>
      <c r="FH35" s="799"/>
      <c r="FI35" s="799"/>
      <c r="FJ35" s="799"/>
      <c r="FK35" s="799"/>
      <c r="FL35" s="799"/>
      <c r="FM35" s="799"/>
      <c r="FN35" s="799"/>
      <c r="FO35" s="799"/>
      <c r="FP35" s="799"/>
      <c r="FQ35" s="799"/>
      <c r="FR35" s="799"/>
      <c r="FS35" s="799"/>
      <c r="FT35" s="799"/>
      <c r="FU35" s="799"/>
      <c r="FV35" s="799"/>
      <c r="FW35" s="799"/>
      <c r="FX35" s="799"/>
      <c r="FY35" s="799"/>
      <c r="FZ35" s="799"/>
      <c r="GA35" s="799"/>
      <c r="GB35" s="799"/>
      <c r="GC35" s="799"/>
      <c r="GD35" s="799"/>
      <c r="GE35" s="799"/>
      <c r="GF35" s="799"/>
      <c r="GG35" s="799"/>
      <c r="GH35" s="799"/>
      <c r="GI35" s="799"/>
      <c r="GJ35" s="799"/>
      <c r="GK35" s="799"/>
      <c r="GL35" s="799"/>
      <c r="GM35" s="799"/>
      <c r="GN35" s="799"/>
      <c r="GO35" s="799"/>
      <c r="GP35" s="799"/>
      <c r="GQ35" s="799"/>
      <c r="GR35" s="799"/>
      <c r="GS35" s="799"/>
      <c r="GT35" s="799"/>
      <c r="GU35" s="799"/>
      <c r="GV35" s="799"/>
      <c r="GW35" s="799"/>
      <c r="GX35" s="799"/>
      <c r="GY35" s="799"/>
      <c r="GZ35" s="799"/>
      <c r="HA35" s="799"/>
      <c r="HB35" s="799"/>
      <c r="HC35" s="799"/>
      <c r="HD35" s="799"/>
      <c r="HE35" s="799"/>
      <c r="HF35" s="799"/>
      <c r="HG35" s="799"/>
      <c r="HH35" s="799"/>
      <c r="HI35" s="799"/>
      <c r="HJ35" s="799"/>
      <c r="HK35" s="799"/>
      <c r="HL35" s="799"/>
      <c r="HM35" s="799"/>
      <c r="HN35" s="799"/>
      <c r="HO35" s="799"/>
      <c r="HP35" s="799"/>
      <c r="HQ35" s="799"/>
      <c r="HR35" s="799"/>
      <c r="HS35" s="799"/>
      <c r="HT35" s="799"/>
      <c r="HU35" s="799"/>
      <c r="HV35" s="799"/>
      <c r="HW35" s="799"/>
      <c r="HX35" s="799"/>
      <c r="HY35" s="799"/>
      <c r="HZ35" s="799"/>
      <c r="IA35" s="799"/>
      <c r="IB35" s="799"/>
    </row>
    <row r="36" customFormat="false" ht="13.8" hidden="true" customHeight="false" outlineLevel="0" collapsed="false">
      <c r="B36" s="863"/>
      <c r="C36" s="863"/>
      <c r="D36" s="889" t="n">
        <f aca="false">+D35+1</f>
        <v>4</v>
      </c>
      <c r="E36" s="863" t="s">
        <v>731</v>
      </c>
      <c r="F36" s="800"/>
      <c r="G36" s="897"/>
      <c r="H36" s="898"/>
      <c r="I36" s="898"/>
      <c r="J36" s="899" t="n">
        <f aca="false">+SUM(G36:I36)</f>
        <v>0</v>
      </c>
      <c r="K36" s="897"/>
      <c r="L36" s="898"/>
      <c r="M36" s="898"/>
      <c r="N36" s="899" t="n">
        <f aca="false">+SUM(K36:M36)</f>
        <v>0</v>
      </c>
      <c r="O36" s="900" t="n">
        <f aca="false">+N36+J36</f>
        <v>0</v>
      </c>
      <c r="P36" s="898"/>
      <c r="Q36" s="898"/>
      <c r="R36" s="898"/>
      <c r="S36" s="898"/>
      <c r="T36" s="898"/>
      <c r="U36" s="897"/>
      <c r="V36" s="901" t="n">
        <f aca="false">+SUM(P36:U36)</f>
        <v>0</v>
      </c>
      <c r="W36" s="898"/>
      <c r="X36" s="898"/>
      <c r="Y36" s="898"/>
      <c r="Z36" s="898"/>
      <c r="AA36" s="898"/>
      <c r="AB36" s="898"/>
      <c r="AC36" s="901" t="n">
        <f aca="false">+SUM(W36:AB36)</f>
        <v>0</v>
      </c>
      <c r="AD36" s="900" t="n">
        <f aca="false">+AC36+Y36</f>
        <v>0</v>
      </c>
      <c r="AE36" s="902"/>
      <c r="AF36" s="799"/>
      <c r="AG36" s="799"/>
      <c r="AH36" s="799"/>
      <c r="AI36" s="801"/>
      <c r="AJ36" s="799"/>
      <c r="AK36" s="799"/>
      <c r="AL36" s="799"/>
      <c r="AM36" s="799"/>
      <c r="AN36" s="799"/>
      <c r="AO36" s="799"/>
      <c r="AP36" s="799"/>
      <c r="AQ36" s="799"/>
      <c r="AR36" s="799"/>
      <c r="AS36" s="800"/>
      <c r="AT36" s="800"/>
      <c r="AU36" s="800"/>
      <c r="AV36" s="800"/>
      <c r="AW36" s="800"/>
      <c r="AX36" s="800"/>
      <c r="AY36" s="800"/>
      <c r="AZ36" s="800"/>
      <c r="BA36" s="800"/>
      <c r="BB36" s="800"/>
      <c r="BC36" s="799"/>
      <c r="BD36" s="799"/>
      <c r="BE36" s="799"/>
      <c r="BF36" s="799"/>
      <c r="BG36" s="799"/>
      <c r="BH36" s="799"/>
      <c r="BI36" s="799"/>
      <c r="BJ36" s="799"/>
      <c r="BK36" s="799"/>
      <c r="BL36" s="799"/>
      <c r="BM36" s="799"/>
      <c r="BN36" s="799"/>
      <c r="BO36" s="799"/>
      <c r="BP36" s="799"/>
      <c r="BQ36" s="799"/>
      <c r="BR36" s="799"/>
      <c r="BS36" s="799"/>
      <c r="BT36" s="799"/>
      <c r="BU36" s="799"/>
      <c r="BV36" s="799"/>
      <c r="BW36" s="799"/>
      <c r="BX36" s="799"/>
      <c r="BY36" s="799"/>
      <c r="BZ36" s="799"/>
      <c r="CA36" s="799"/>
      <c r="CB36" s="799"/>
      <c r="CC36" s="799"/>
      <c r="CD36" s="799"/>
      <c r="CE36" s="799"/>
      <c r="CF36" s="799"/>
      <c r="CG36" s="799"/>
      <c r="CH36" s="799"/>
      <c r="CI36" s="799"/>
      <c r="CJ36" s="799"/>
      <c r="CK36" s="799"/>
      <c r="CL36" s="799"/>
      <c r="CM36" s="799"/>
      <c r="CN36" s="799"/>
      <c r="CO36" s="799"/>
      <c r="CP36" s="799"/>
      <c r="CQ36" s="799"/>
      <c r="CR36" s="799"/>
      <c r="CS36" s="799"/>
      <c r="CT36" s="799"/>
      <c r="CU36" s="799"/>
      <c r="CV36" s="799"/>
      <c r="CW36" s="799"/>
      <c r="CX36" s="799"/>
      <c r="CY36" s="799"/>
      <c r="CZ36" s="799"/>
      <c r="DA36" s="799"/>
      <c r="DB36" s="799"/>
      <c r="DC36" s="799"/>
      <c r="DD36" s="799"/>
      <c r="DE36" s="799"/>
      <c r="DF36" s="799"/>
      <c r="DG36" s="799"/>
      <c r="DH36" s="799"/>
      <c r="DI36" s="799"/>
      <c r="DJ36" s="799"/>
      <c r="DK36" s="799"/>
      <c r="DL36" s="799"/>
      <c r="DM36" s="799"/>
      <c r="DN36" s="799"/>
      <c r="DO36" s="799"/>
      <c r="DP36" s="799"/>
      <c r="DQ36" s="799"/>
      <c r="DR36" s="799"/>
      <c r="DS36" s="799"/>
      <c r="DT36" s="799"/>
      <c r="DU36" s="799"/>
      <c r="DV36" s="799"/>
      <c r="DW36" s="799"/>
      <c r="DX36" s="799"/>
      <c r="DY36" s="799"/>
      <c r="DZ36" s="799"/>
      <c r="EA36" s="799"/>
      <c r="EB36" s="799"/>
      <c r="EC36" s="799"/>
      <c r="ED36" s="799"/>
      <c r="EE36" s="799"/>
      <c r="EF36" s="799"/>
      <c r="EG36" s="799"/>
      <c r="EH36" s="799"/>
      <c r="EI36" s="799"/>
      <c r="EJ36" s="799"/>
      <c r="EK36" s="799"/>
      <c r="EL36" s="799"/>
      <c r="EM36" s="799"/>
      <c r="EN36" s="799"/>
      <c r="EO36" s="799"/>
      <c r="EP36" s="799"/>
      <c r="EQ36" s="799"/>
      <c r="ER36" s="799"/>
      <c r="ES36" s="799"/>
      <c r="ET36" s="799"/>
      <c r="EU36" s="799"/>
      <c r="EV36" s="799"/>
      <c r="EW36" s="799"/>
      <c r="EX36" s="799"/>
      <c r="EY36" s="799"/>
      <c r="EZ36" s="799"/>
      <c r="FA36" s="799"/>
      <c r="FB36" s="799"/>
      <c r="FC36" s="799"/>
      <c r="FD36" s="799"/>
      <c r="FE36" s="799"/>
      <c r="FF36" s="799"/>
      <c r="FG36" s="799"/>
      <c r="FH36" s="799"/>
      <c r="FI36" s="799"/>
      <c r="FJ36" s="799"/>
      <c r="FK36" s="799"/>
      <c r="FL36" s="799"/>
      <c r="FM36" s="799"/>
      <c r="FN36" s="799"/>
      <c r="FO36" s="799"/>
      <c r="FP36" s="799"/>
      <c r="FQ36" s="799"/>
      <c r="FR36" s="799"/>
      <c r="FS36" s="799"/>
      <c r="FT36" s="799"/>
      <c r="FU36" s="799"/>
      <c r="FV36" s="799"/>
      <c r="FW36" s="799"/>
      <c r="FX36" s="799"/>
      <c r="FY36" s="799"/>
      <c r="FZ36" s="799"/>
      <c r="GA36" s="799"/>
      <c r="GB36" s="799"/>
      <c r="GC36" s="799"/>
      <c r="GD36" s="799"/>
      <c r="GE36" s="799"/>
      <c r="GF36" s="799"/>
      <c r="GG36" s="799"/>
      <c r="GH36" s="799"/>
      <c r="GI36" s="799"/>
      <c r="GJ36" s="799"/>
      <c r="GK36" s="799"/>
      <c r="GL36" s="799"/>
      <c r="GM36" s="799"/>
      <c r="GN36" s="799"/>
      <c r="GO36" s="799"/>
      <c r="GP36" s="799"/>
      <c r="GQ36" s="799"/>
      <c r="GR36" s="799"/>
      <c r="GS36" s="799"/>
      <c r="GT36" s="799"/>
      <c r="GU36" s="799"/>
      <c r="GV36" s="799"/>
      <c r="GW36" s="799"/>
      <c r="GX36" s="799"/>
      <c r="GY36" s="799"/>
      <c r="GZ36" s="799"/>
      <c r="HA36" s="799"/>
      <c r="HB36" s="799"/>
      <c r="HC36" s="799"/>
      <c r="HD36" s="799"/>
      <c r="HE36" s="799"/>
      <c r="HF36" s="799"/>
      <c r="HG36" s="799"/>
      <c r="HH36" s="799"/>
      <c r="HI36" s="799"/>
      <c r="HJ36" s="799"/>
      <c r="HK36" s="799"/>
      <c r="HL36" s="799"/>
      <c r="HM36" s="799"/>
      <c r="HN36" s="799"/>
      <c r="HO36" s="799"/>
      <c r="HP36" s="799"/>
      <c r="HQ36" s="799"/>
      <c r="HR36" s="799"/>
      <c r="HS36" s="799"/>
      <c r="HT36" s="799"/>
      <c r="HU36" s="799"/>
      <c r="HV36" s="799"/>
      <c r="HW36" s="799"/>
      <c r="HX36" s="799"/>
      <c r="HY36" s="799"/>
      <c r="HZ36" s="799"/>
      <c r="IA36" s="799"/>
      <c r="IB36" s="799"/>
    </row>
    <row r="37" customFormat="false" ht="13.8" hidden="true" customHeight="false" outlineLevel="0" collapsed="false">
      <c r="B37" s="863"/>
      <c r="C37" s="863"/>
      <c r="D37" s="889" t="n">
        <f aca="false">+D36+1</f>
        <v>5</v>
      </c>
      <c r="E37" s="863" t="s">
        <v>732</v>
      </c>
      <c r="F37" s="800"/>
      <c r="G37" s="897"/>
      <c r="H37" s="898"/>
      <c r="I37" s="898"/>
      <c r="J37" s="899" t="n">
        <f aca="false">+SUM(G37:I37)</f>
        <v>0</v>
      </c>
      <c r="K37" s="897"/>
      <c r="L37" s="898"/>
      <c r="M37" s="898"/>
      <c r="N37" s="899" t="n">
        <f aca="false">+SUM(K37:M37)</f>
        <v>0</v>
      </c>
      <c r="O37" s="900" t="n">
        <f aca="false">+N37+J37</f>
        <v>0</v>
      </c>
      <c r="P37" s="898"/>
      <c r="Q37" s="898"/>
      <c r="R37" s="898"/>
      <c r="S37" s="898"/>
      <c r="T37" s="898"/>
      <c r="U37" s="897"/>
      <c r="V37" s="901" t="n">
        <f aca="false">+SUM(P37:U37)</f>
        <v>0</v>
      </c>
      <c r="W37" s="898"/>
      <c r="X37" s="898"/>
      <c r="Y37" s="898"/>
      <c r="Z37" s="898"/>
      <c r="AA37" s="898"/>
      <c r="AB37" s="898"/>
      <c r="AC37" s="901" t="n">
        <f aca="false">+SUM(W37:AB37)</f>
        <v>0</v>
      </c>
      <c r="AD37" s="900" t="n">
        <f aca="false">+AC37+Y37</f>
        <v>0</v>
      </c>
      <c r="AE37" s="902"/>
      <c r="AF37" s="799"/>
      <c r="AG37" s="799"/>
      <c r="AH37" s="799"/>
      <c r="AI37" s="801"/>
      <c r="AJ37" s="799"/>
      <c r="AK37" s="799"/>
      <c r="AL37" s="799"/>
      <c r="AM37" s="799"/>
      <c r="AN37" s="799"/>
      <c r="AO37" s="799"/>
      <c r="AP37" s="799"/>
      <c r="AQ37" s="799"/>
      <c r="AR37" s="799"/>
      <c r="AS37" s="800"/>
      <c r="AT37" s="800"/>
      <c r="AU37" s="800"/>
      <c r="AV37" s="800"/>
      <c r="AW37" s="800"/>
      <c r="AX37" s="800"/>
      <c r="AY37" s="800"/>
      <c r="AZ37" s="800"/>
      <c r="BA37" s="800"/>
      <c r="BB37" s="800"/>
      <c r="BC37" s="799"/>
      <c r="BD37" s="799"/>
      <c r="BE37" s="799"/>
      <c r="BF37" s="799"/>
      <c r="BG37" s="799"/>
      <c r="BH37" s="799"/>
      <c r="BI37" s="799"/>
      <c r="BJ37" s="799"/>
      <c r="BK37" s="799"/>
      <c r="BL37" s="799"/>
      <c r="BM37" s="799"/>
      <c r="BN37" s="799"/>
      <c r="BO37" s="799"/>
      <c r="BP37" s="799"/>
      <c r="BQ37" s="799"/>
      <c r="BR37" s="799"/>
      <c r="BS37" s="799"/>
      <c r="BT37" s="799"/>
      <c r="BU37" s="799"/>
      <c r="BV37" s="799"/>
      <c r="BW37" s="799"/>
      <c r="BX37" s="799"/>
      <c r="BY37" s="799"/>
      <c r="BZ37" s="799"/>
      <c r="CA37" s="799"/>
      <c r="CB37" s="799"/>
      <c r="CC37" s="799"/>
      <c r="CD37" s="799"/>
      <c r="CE37" s="799"/>
      <c r="CF37" s="799"/>
      <c r="CG37" s="799"/>
      <c r="CH37" s="799"/>
      <c r="CI37" s="799"/>
      <c r="CJ37" s="799"/>
      <c r="CK37" s="799"/>
      <c r="CL37" s="799"/>
      <c r="CM37" s="799"/>
      <c r="CN37" s="799"/>
      <c r="CO37" s="799"/>
      <c r="CP37" s="799"/>
      <c r="CQ37" s="799"/>
      <c r="CR37" s="799"/>
      <c r="CS37" s="799"/>
      <c r="CT37" s="799"/>
      <c r="CU37" s="799"/>
      <c r="CV37" s="799"/>
      <c r="CW37" s="799"/>
      <c r="CX37" s="799"/>
      <c r="CY37" s="799"/>
      <c r="CZ37" s="799"/>
      <c r="DA37" s="799"/>
      <c r="DB37" s="799"/>
      <c r="DC37" s="799"/>
      <c r="DD37" s="799"/>
      <c r="DE37" s="799"/>
      <c r="DF37" s="799"/>
      <c r="DG37" s="799"/>
      <c r="DH37" s="799"/>
      <c r="DI37" s="799"/>
      <c r="DJ37" s="799"/>
      <c r="DK37" s="799"/>
      <c r="DL37" s="799"/>
      <c r="DM37" s="799"/>
      <c r="DN37" s="799"/>
      <c r="DO37" s="799"/>
      <c r="DP37" s="799"/>
      <c r="DQ37" s="799"/>
      <c r="DR37" s="799"/>
      <c r="DS37" s="799"/>
      <c r="DT37" s="799"/>
      <c r="DU37" s="799"/>
      <c r="DV37" s="799"/>
      <c r="DW37" s="799"/>
      <c r="DX37" s="799"/>
      <c r="DY37" s="799"/>
      <c r="DZ37" s="799"/>
      <c r="EA37" s="799"/>
      <c r="EB37" s="799"/>
      <c r="EC37" s="799"/>
      <c r="ED37" s="799"/>
      <c r="EE37" s="799"/>
      <c r="EF37" s="799"/>
      <c r="EG37" s="799"/>
      <c r="EH37" s="799"/>
      <c r="EI37" s="799"/>
      <c r="EJ37" s="799"/>
      <c r="EK37" s="799"/>
      <c r="EL37" s="799"/>
      <c r="EM37" s="799"/>
      <c r="EN37" s="799"/>
      <c r="EO37" s="799"/>
      <c r="EP37" s="799"/>
      <c r="EQ37" s="799"/>
      <c r="ER37" s="799"/>
      <c r="ES37" s="799"/>
      <c r="ET37" s="799"/>
      <c r="EU37" s="799"/>
      <c r="EV37" s="799"/>
      <c r="EW37" s="799"/>
      <c r="EX37" s="799"/>
      <c r="EY37" s="799"/>
      <c r="EZ37" s="799"/>
      <c r="FA37" s="799"/>
      <c r="FB37" s="799"/>
      <c r="FC37" s="799"/>
      <c r="FD37" s="799"/>
      <c r="FE37" s="799"/>
      <c r="FF37" s="799"/>
      <c r="FG37" s="799"/>
      <c r="FH37" s="799"/>
      <c r="FI37" s="799"/>
      <c r="FJ37" s="799"/>
      <c r="FK37" s="799"/>
      <c r="FL37" s="799"/>
      <c r="FM37" s="799"/>
      <c r="FN37" s="799"/>
      <c r="FO37" s="799"/>
      <c r="FP37" s="799"/>
      <c r="FQ37" s="799"/>
      <c r="FR37" s="799"/>
      <c r="FS37" s="799"/>
      <c r="FT37" s="799"/>
      <c r="FU37" s="799"/>
      <c r="FV37" s="799"/>
      <c r="FW37" s="799"/>
      <c r="FX37" s="799"/>
      <c r="FY37" s="799"/>
      <c r="FZ37" s="799"/>
      <c r="GA37" s="799"/>
      <c r="GB37" s="799"/>
      <c r="GC37" s="799"/>
      <c r="GD37" s="799"/>
      <c r="GE37" s="799"/>
      <c r="GF37" s="799"/>
      <c r="GG37" s="799"/>
      <c r="GH37" s="799"/>
      <c r="GI37" s="799"/>
      <c r="GJ37" s="799"/>
      <c r="GK37" s="799"/>
      <c r="GL37" s="799"/>
      <c r="GM37" s="799"/>
      <c r="GN37" s="799"/>
      <c r="GO37" s="799"/>
      <c r="GP37" s="799"/>
      <c r="GQ37" s="799"/>
      <c r="GR37" s="799"/>
      <c r="GS37" s="799"/>
      <c r="GT37" s="799"/>
      <c r="GU37" s="799"/>
      <c r="GV37" s="799"/>
      <c r="GW37" s="799"/>
      <c r="GX37" s="799"/>
      <c r="GY37" s="799"/>
      <c r="GZ37" s="799"/>
      <c r="HA37" s="799"/>
      <c r="HB37" s="799"/>
      <c r="HC37" s="799"/>
      <c r="HD37" s="799"/>
      <c r="HE37" s="799"/>
      <c r="HF37" s="799"/>
      <c r="HG37" s="799"/>
      <c r="HH37" s="799"/>
      <c r="HI37" s="799"/>
      <c r="HJ37" s="799"/>
      <c r="HK37" s="799"/>
      <c r="HL37" s="799"/>
      <c r="HM37" s="799"/>
      <c r="HN37" s="799"/>
      <c r="HO37" s="799"/>
      <c r="HP37" s="799"/>
      <c r="HQ37" s="799"/>
      <c r="HR37" s="799"/>
      <c r="HS37" s="799"/>
      <c r="HT37" s="799"/>
      <c r="HU37" s="799"/>
      <c r="HV37" s="799"/>
      <c r="HW37" s="799"/>
      <c r="HX37" s="799"/>
      <c r="HY37" s="799"/>
      <c r="HZ37" s="799"/>
      <c r="IA37" s="799"/>
      <c r="IB37" s="799"/>
    </row>
    <row r="38" customFormat="false" ht="13.8" hidden="true" customHeight="false" outlineLevel="0" collapsed="false">
      <c r="B38" s="863"/>
      <c r="C38" s="863"/>
      <c r="D38" s="889" t="n">
        <f aca="false">+D37+1</f>
        <v>6</v>
      </c>
      <c r="E38" s="863" t="s">
        <v>733</v>
      </c>
      <c r="F38" s="800"/>
      <c r="G38" s="897"/>
      <c r="H38" s="898"/>
      <c r="I38" s="898"/>
      <c r="J38" s="899" t="n">
        <f aca="false">+SUM(G38:I38)</f>
        <v>0</v>
      </c>
      <c r="K38" s="897"/>
      <c r="L38" s="898"/>
      <c r="M38" s="898"/>
      <c r="N38" s="899" t="n">
        <f aca="false">+SUM(K38:M38)</f>
        <v>0</v>
      </c>
      <c r="O38" s="900" t="n">
        <f aca="false">+N38+J38</f>
        <v>0</v>
      </c>
      <c r="P38" s="898"/>
      <c r="Q38" s="898"/>
      <c r="R38" s="898"/>
      <c r="S38" s="898"/>
      <c r="T38" s="898"/>
      <c r="U38" s="897"/>
      <c r="V38" s="901" t="n">
        <f aca="false">+SUM(P38:U38)</f>
        <v>0</v>
      </c>
      <c r="W38" s="898"/>
      <c r="X38" s="898"/>
      <c r="Y38" s="898"/>
      <c r="Z38" s="898"/>
      <c r="AA38" s="898"/>
      <c r="AB38" s="898"/>
      <c r="AC38" s="901" t="n">
        <f aca="false">+SUM(W38:AB38)</f>
        <v>0</v>
      </c>
      <c r="AD38" s="900" t="n">
        <f aca="false">+AC38+Y38</f>
        <v>0</v>
      </c>
      <c r="AE38" s="902"/>
      <c r="AF38" s="799"/>
      <c r="AG38" s="799"/>
      <c r="AH38" s="799"/>
      <c r="AI38" s="801"/>
      <c r="AJ38" s="799"/>
      <c r="AK38" s="799"/>
      <c r="AL38" s="799"/>
      <c r="AM38" s="799"/>
      <c r="AN38" s="799"/>
      <c r="AO38" s="799"/>
      <c r="AP38" s="799"/>
      <c r="AQ38" s="799"/>
      <c r="AR38" s="799"/>
      <c r="AS38" s="800"/>
      <c r="AT38" s="800"/>
      <c r="AU38" s="800"/>
      <c r="AV38" s="800"/>
      <c r="AW38" s="800"/>
      <c r="AX38" s="800"/>
      <c r="AY38" s="800"/>
      <c r="AZ38" s="800"/>
      <c r="BA38" s="800"/>
      <c r="BB38" s="800"/>
      <c r="BC38" s="799"/>
      <c r="BD38" s="799"/>
      <c r="BE38" s="799"/>
      <c r="BF38" s="799"/>
      <c r="BG38" s="799"/>
      <c r="BH38" s="799"/>
      <c r="BI38" s="799"/>
      <c r="BJ38" s="799"/>
      <c r="BK38" s="799"/>
      <c r="BL38" s="799"/>
      <c r="BM38" s="799"/>
      <c r="BN38" s="799"/>
      <c r="BO38" s="799"/>
      <c r="BP38" s="799"/>
      <c r="BQ38" s="799"/>
      <c r="BR38" s="799"/>
      <c r="BS38" s="799"/>
      <c r="BT38" s="799"/>
      <c r="BU38" s="799"/>
      <c r="BV38" s="799"/>
      <c r="BW38" s="799"/>
      <c r="BX38" s="799"/>
      <c r="BY38" s="799"/>
      <c r="BZ38" s="799"/>
      <c r="CA38" s="799"/>
      <c r="CB38" s="799"/>
      <c r="CC38" s="799"/>
      <c r="CD38" s="799"/>
      <c r="CE38" s="799"/>
      <c r="CF38" s="799"/>
      <c r="CG38" s="799"/>
      <c r="CH38" s="799"/>
      <c r="CI38" s="799"/>
      <c r="CJ38" s="799"/>
      <c r="CK38" s="799"/>
      <c r="CL38" s="799"/>
      <c r="CM38" s="799"/>
      <c r="CN38" s="799"/>
      <c r="CO38" s="799"/>
      <c r="CP38" s="799"/>
      <c r="CQ38" s="799"/>
      <c r="CR38" s="799"/>
      <c r="CS38" s="799"/>
      <c r="CT38" s="799"/>
      <c r="CU38" s="799"/>
      <c r="CV38" s="799"/>
      <c r="CW38" s="799"/>
      <c r="CX38" s="799"/>
      <c r="CY38" s="799"/>
      <c r="CZ38" s="799"/>
      <c r="DA38" s="799"/>
      <c r="DB38" s="799"/>
      <c r="DC38" s="799"/>
      <c r="DD38" s="799"/>
      <c r="DE38" s="799"/>
      <c r="DF38" s="799"/>
      <c r="DG38" s="799"/>
      <c r="DH38" s="799"/>
      <c r="DI38" s="799"/>
      <c r="DJ38" s="799"/>
      <c r="DK38" s="799"/>
      <c r="DL38" s="799"/>
      <c r="DM38" s="799"/>
      <c r="DN38" s="799"/>
      <c r="DO38" s="799"/>
      <c r="DP38" s="799"/>
      <c r="DQ38" s="799"/>
      <c r="DR38" s="799"/>
      <c r="DS38" s="799"/>
      <c r="DT38" s="799"/>
      <c r="DU38" s="799"/>
      <c r="DV38" s="799"/>
      <c r="DW38" s="799"/>
      <c r="DX38" s="799"/>
      <c r="DY38" s="799"/>
      <c r="DZ38" s="799"/>
      <c r="EA38" s="799"/>
      <c r="EB38" s="799"/>
      <c r="EC38" s="799"/>
      <c r="ED38" s="799"/>
      <c r="EE38" s="799"/>
      <c r="EF38" s="799"/>
      <c r="EG38" s="799"/>
      <c r="EH38" s="799"/>
      <c r="EI38" s="799"/>
      <c r="EJ38" s="799"/>
      <c r="EK38" s="799"/>
      <c r="EL38" s="799"/>
      <c r="EM38" s="799"/>
      <c r="EN38" s="799"/>
      <c r="EO38" s="799"/>
      <c r="EP38" s="799"/>
      <c r="EQ38" s="799"/>
      <c r="ER38" s="799"/>
      <c r="ES38" s="799"/>
      <c r="ET38" s="799"/>
      <c r="EU38" s="799"/>
      <c r="EV38" s="799"/>
      <c r="EW38" s="799"/>
      <c r="EX38" s="799"/>
      <c r="EY38" s="799"/>
      <c r="EZ38" s="799"/>
      <c r="FA38" s="799"/>
      <c r="FB38" s="799"/>
      <c r="FC38" s="799"/>
      <c r="FD38" s="799"/>
      <c r="FE38" s="799"/>
      <c r="FF38" s="799"/>
      <c r="FG38" s="799"/>
      <c r="FH38" s="799"/>
      <c r="FI38" s="799"/>
      <c r="FJ38" s="799"/>
      <c r="FK38" s="799"/>
      <c r="FL38" s="799"/>
      <c r="FM38" s="799"/>
      <c r="FN38" s="799"/>
      <c r="FO38" s="799"/>
      <c r="FP38" s="799"/>
      <c r="FQ38" s="799"/>
      <c r="FR38" s="799"/>
      <c r="FS38" s="799"/>
      <c r="FT38" s="799"/>
      <c r="FU38" s="799"/>
      <c r="FV38" s="799"/>
      <c r="FW38" s="799"/>
      <c r="FX38" s="799"/>
      <c r="FY38" s="799"/>
      <c r="FZ38" s="799"/>
      <c r="GA38" s="799"/>
      <c r="GB38" s="799"/>
      <c r="GC38" s="799"/>
      <c r="GD38" s="799"/>
      <c r="GE38" s="799"/>
      <c r="GF38" s="799"/>
      <c r="GG38" s="799"/>
      <c r="GH38" s="799"/>
      <c r="GI38" s="799"/>
      <c r="GJ38" s="799"/>
      <c r="GK38" s="799"/>
      <c r="GL38" s="799"/>
      <c r="GM38" s="799"/>
      <c r="GN38" s="799"/>
      <c r="GO38" s="799"/>
      <c r="GP38" s="799"/>
      <c r="GQ38" s="799"/>
      <c r="GR38" s="799"/>
      <c r="GS38" s="799"/>
      <c r="GT38" s="799"/>
      <c r="GU38" s="799"/>
      <c r="GV38" s="799"/>
      <c r="GW38" s="799"/>
      <c r="GX38" s="799"/>
      <c r="GY38" s="799"/>
      <c r="GZ38" s="799"/>
      <c r="HA38" s="799"/>
      <c r="HB38" s="799"/>
      <c r="HC38" s="799"/>
      <c r="HD38" s="799"/>
      <c r="HE38" s="799"/>
      <c r="HF38" s="799"/>
      <c r="HG38" s="799"/>
      <c r="HH38" s="799"/>
      <c r="HI38" s="799"/>
      <c r="HJ38" s="799"/>
      <c r="HK38" s="799"/>
      <c r="HL38" s="799"/>
      <c r="HM38" s="799"/>
      <c r="HN38" s="799"/>
      <c r="HO38" s="799"/>
      <c r="HP38" s="799"/>
      <c r="HQ38" s="799"/>
      <c r="HR38" s="799"/>
      <c r="HS38" s="799"/>
      <c r="HT38" s="799"/>
      <c r="HU38" s="799"/>
      <c r="HV38" s="799"/>
      <c r="HW38" s="799"/>
      <c r="HX38" s="799"/>
      <c r="HY38" s="799"/>
      <c r="HZ38" s="799"/>
      <c r="IA38" s="799"/>
      <c r="IB38" s="799"/>
    </row>
    <row r="39" customFormat="false" ht="13.8" hidden="true" customHeight="false" outlineLevel="0" collapsed="false">
      <c r="B39" s="863"/>
      <c r="C39" s="863"/>
      <c r="D39" s="889" t="n">
        <f aca="false">+D38+1</f>
        <v>7</v>
      </c>
      <c r="E39" s="863" t="s">
        <v>595</v>
      </c>
      <c r="F39" s="800"/>
      <c r="G39" s="897"/>
      <c r="H39" s="898"/>
      <c r="I39" s="898"/>
      <c r="J39" s="899" t="n">
        <f aca="false">+SUM(G39:I39)</f>
        <v>0</v>
      </c>
      <c r="K39" s="897"/>
      <c r="L39" s="898"/>
      <c r="M39" s="898"/>
      <c r="N39" s="899" t="n">
        <f aca="false">+SUM(K39:M39)</f>
        <v>0</v>
      </c>
      <c r="O39" s="900" t="n">
        <f aca="false">+N39+J39</f>
        <v>0</v>
      </c>
      <c r="P39" s="898"/>
      <c r="Q39" s="898"/>
      <c r="R39" s="898"/>
      <c r="S39" s="898"/>
      <c r="T39" s="898"/>
      <c r="U39" s="897"/>
      <c r="V39" s="901" t="n">
        <f aca="false">+SUM(P39:U39)</f>
        <v>0</v>
      </c>
      <c r="W39" s="898"/>
      <c r="X39" s="898"/>
      <c r="Y39" s="898"/>
      <c r="Z39" s="898"/>
      <c r="AA39" s="898"/>
      <c r="AB39" s="898"/>
      <c r="AC39" s="901" t="n">
        <f aca="false">+SUM(W39:AB39)</f>
        <v>0</v>
      </c>
      <c r="AD39" s="900" t="n">
        <f aca="false">+AC39+Y39</f>
        <v>0</v>
      </c>
      <c r="AE39" s="902"/>
      <c r="AF39" s="799"/>
      <c r="AG39" s="799"/>
      <c r="AH39" s="799"/>
      <c r="AI39" s="801"/>
      <c r="AJ39" s="799"/>
      <c r="AK39" s="799"/>
      <c r="AL39" s="799"/>
      <c r="AM39" s="799"/>
      <c r="AN39" s="799"/>
      <c r="AO39" s="799"/>
      <c r="AP39" s="799"/>
      <c r="AQ39" s="799"/>
      <c r="AR39" s="799"/>
      <c r="AS39" s="800"/>
      <c r="AT39" s="800"/>
      <c r="AU39" s="800"/>
      <c r="AV39" s="800"/>
      <c r="AW39" s="800"/>
      <c r="AX39" s="800"/>
      <c r="AY39" s="800"/>
      <c r="AZ39" s="800"/>
      <c r="BA39" s="800"/>
      <c r="BB39" s="800"/>
      <c r="BC39" s="799"/>
      <c r="BD39" s="799"/>
      <c r="BE39" s="799"/>
      <c r="BF39" s="799"/>
      <c r="BG39" s="799"/>
      <c r="BH39" s="799"/>
      <c r="BI39" s="799"/>
      <c r="BJ39" s="799"/>
      <c r="BK39" s="799"/>
      <c r="BL39" s="799"/>
      <c r="BM39" s="799"/>
      <c r="BN39" s="799"/>
      <c r="BO39" s="799"/>
      <c r="BP39" s="799"/>
      <c r="BQ39" s="799"/>
      <c r="BR39" s="799"/>
      <c r="BS39" s="799"/>
      <c r="BT39" s="799"/>
      <c r="BU39" s="799"/>
      <c r="BV39" s="799"/>
      <c r="BW39" s="799"/>
      <c r="BX39" s="799"/>
      <c r="BY39" s="799"/>
      <c r="BZ39" s="799"/>
      <c r="CA39" s="799"/>
      <c r="CB39" s="799"/>
      <c r="CC39" s="799"/>
      <c r="CD39" s="799"/>
      <c r="CE39" s="799"/>
      <c r="CF39" s="799"/>
      <c r="CG39" s="799"/>
      <c r="CH39" s="799"/>
      <c r="CI39" s="799"/>
      <c r="CJ39" s="799"/>
      <c r="CK39" s="799"/>
      <c r="CL39" s="799"/>
      <c r="CM39" s="799"/>
      <c r="CN39" s="799"/>
      <c r="CO39" s="799"/>
      <c r="CP39" s="799"/>
      <c r="CQ39" s="799"/>
      <c r="CR39" s="799"/>
      <c r="CS39" s="799"/>
      <c r="CT39" s="799"/>
      <c r="CU39" s="799"/>
      <c r="CV39" s="799"/>
      <c r="CW39" s="799"/>
      <c r="CX39" s="799"/>
      <c r="CY39" s="799"/>
      <c r="CZ39" s="799"/>
      <c r="DA39" s="799"/>
      <c r="DB39" s="799"/>
      <c r="DC39" s="799"/>
      <c r="DD39" s="799"/>
      <c r="DE39" s="799"/>
      <c r="DF39" s="799"/>
      <c r="DG39" s="799"/>
      <c r="DH39" s="799"/>
      <c r="DI39" s="799"/>
      <c r="DJ39" s="799"/>
      <c r="DK39" s="799"/>
      <c r="DL39" s="799"/>
      <c r="DM39" s="799"/>
      <c r="DN39" s="799"/>
      <c r="DO39" s="799"/>
      <c r="DP39" s="799"/>
      <c r="DQ39" s="799"/>
      <c r="DR39" s="799"/>
      <c r="DS39" s="799"/>
      <c r="DT39" s="799"/>
      <c r="DU39" s="799"/>
      <c r="DV39" s="799"/>
      <c r="DW39" s="799"/>
      <c r="DX39" s="799"/>
      <c r="DY39" s="799"/>
      <c r="DZ39" s="799"/>
      <c r="EA39" s="799"/>
      <c r="EB39" s="799"/>
      <c r="EC39" s="799"/>
      <c r="ED39" s="799"/>
      <c r="EE39" s="799"/>
      <c r="EF39" s="799"/>
      <c r="EG39" s="799"/>
      <c r="EH39" s="799"/>
      <c r="EI39" s="799"/>
      <c r="EJ39" s="799"/>
      <c r="EK39" s="799"/>
      <c r="EL39" s="799"/>
      <c r="EM39" s="799"/>
      <c r="EN39" s="799"/>
      <c r="EO39" s="799"/>
      <c r="EP39" s="799"/>
      <c r="EQ39" s="799"/>
      <c r="ER39" s="799"/>
      <c r="ES39" s="799"/>
      <c r="ET39" s="799"/>
      <c r="EU39" s="799"/>
      <c r="EV39" s="799"/>
      <c r="EW39" s="799"/>
      <c r="EX39" s="799"/>
      <c r="EY39" s="799"/>
      <c r="EZ39" s="799"/>
      <c r="FA39" s="799"/>
      <c r="FB39" s="799"/>
      <c r="FC39" s="799"/>
      <c r="FD39" s="799"/>
      <c r="FE39" s="799"/>
      <c r="FF39" s="799"/>
      <c r="FG39" s="799"/>
      <c r="FH39" s="799"/>
      <c r="FI39" s="799"/>
      <c r="FJ39" s="799"/>
      <c r="FK39" s="799"/>
      <c r="FL39" s="799"/>
      <c r="FM39" s="799"/>
      <c r="FN39" s="799"/>
      <c r="FO39" s="799"/>
      <c r="FP39" s="799"/>
      <c r="FQ39" s="799"/>
      <c r="FR39" s="799"/>
      <c r="FS39" s="799"/>
      <c r="FT39" s="799"/>
      <c r="FU39" s="799"/>
      <c r="FV39" s="799"/>
      <c r="FW39" s="799"/>
      <c r="FX39" s="799"/>
      <c r="FY39" s="799"/>
      <c r="FZ39" s="799"/>
      <c r="GA39" s="799"/>
      <c r="GB39" s="799"/>
      <c r="GC39" s="799"/>
      <c r="GD39" s="799"/>
      <c r="GE39" s="799"/>
      <c r="GF39" s="799"/>
      <c r="GG39" s="799"/>
      <c r="GH39" s="799"/>
      <c r="GI39" s="799"/>
      <c r="GJ39" s="799"/>
      <c r="GK39" s="799"/>
      <c r="GL39" s="799"/>
      <c r="GM39" s="799"/>
      <c r="GN39" s="799"/>
      <c r="GO39" s="799"/>
      <c r="GP39" s="799"/>
      <c r="GQ39" s="799"/>
      <c r="GR39" s="799"/>
      <c r="GS39" s="799"/>
      <c r="GT39" s="799"/>
      <c r="GU39" s="799"/>
      <c r="GV39" s="799"/>
      <c r="GW39" s="799"/>
      <c r="GX39" s="799"/>
      <c r="GY39" s="799"/>
      <c r="GZ39" s="799"/>
      <c r="HA39" s="799"/>
      <c r="HB39" s="799"/>
      <c r="HC39" s="799"/>
      <c r="HD39" s="799"/>
      <c r="HE39" s="799"/>
      <c r="HF39" s="799"/>
      <c r="HG39" s="799"/>
      <c r="HH39" s="799"/>
      <c r="HI39" s="799"/>
      <c r="HJ39" s="799"/>
      <c r="HK39" s="799"/>
      <c r="HL39" s="799"/>
      <c r="HM39" s="799"/>
      <c r="HN39" s="799"/>
      <c r="HO39" s="799"/>
      <c r="HP39" s="799"/>
      <c r="HQ39" s="799"/>
      <c r="HR39" s="799"/>
      <c r="HS39" s="799"/>
      <c r="HT39" s="799"/>
      <c r="HU39" s="799"/>
      <c r="HV39" s="799"/>
      <c r="HW39" s="799"/>
      <c r="HX39" s="799"/>
      <c r="HY39" s="799"/>
      <c r="HZ39" s="799"/>
      <c r="IA39" s="799"/>
      <c r="IB39" s="799"/>
    </row>
    <row r="40" customFormat="false" ht="13.8" hidden="true" customHeight="false" outlineLevel="0" collapsed="false">
      <c r="B40" s="863"/>
      <c r="C40" s="863"/>
      <c r="D40" s="889" t="n">
        <f aca="false">+D39+1</f>
        <v>8</v>
      </c>
      <c r="E40" s="863" t="s">
        <v>734</v>
      </c>
      <c r="F40" s="800"/>
      <c r="G40" s="897"/>
      <c r="H40" s="898"/>
      <c r="I40" s="898"/>
      <c r="J40" s="899" t="n">
        <f aca="false">+SUM(G40:I40)</f>
        <v>0</v>
      </c>
      <c r="K40" s="897"/>
      <c r="L40" s="898"/>
      <c r="M40" s="898"/>
      <c r="N40" s="899" t="n">
        <f aca="false">+SUM(K40:M40)</f>
        <v>0</v>
      </c>
      <c r="O40" s="900" t="n">
        <f aca="false">+N40+J40</f>
        <v>0</v>
      </c>
      <c r="P40" s="898"/>
      <c r="Q40" s="898"/>
      <c r="R40" s="898"/>
      <c r="S40" s="898"/>
      <c r="T40" s="898"/>
      <c r="U40" s="897"/>
      <c r="V40" s="901" t="n">
        <f aca="false">+SUM(P40:U40)</f>
        <v>0</v>
      </c>
      <c r="W40" s="898"/>
      <c r="X40" s="898"/>
      <c r="Y40" s="898"/>
      <c r="Z40" s="898"/>
      <c r="AA40" s="898"/>
      <c r="AB40" s="898"/>
      <c r="AC40" s="901" t="n">
        <f aca="false">+SUM(W40:AB40)</f>
        <v>0</v>
      </c>
      <c r="AD40" s="900" t="n">
        <f aca="false">+AC40+Y40</f>
        <v>0</v>
      </c>
      <c r="AE40" s="902"/>
      <c r="AF40" s="799"/>
      <c r="AG40" s="799"/>
      <c r="AH40" s="799"/>
      <c r="AI40" s="801"/>
      <c r="AJ40" s="799"/>
      <c r="AK40" s="799"/>
      <c r="AL40" s="799"/>
      <c r="AM40" s="799"/>
      <c r="AN40" s="799"/>
      <c r="AO40" s="799"/>
      <c r="AP40" s="799"/>
      <c r="AQ40" s="799"/>
      <c r="AR40" s="799"/>
      <c r="AS40" s="800"/>
      <c r="AT40" s="800"/>
      <c r="AU40" s="800"/>
      <c r="AV40" s="800"/>
      <c r="AW40" s="800"/>
      <c r="AX40" s="800"/>
      <c r="AY40" s="800"/>
      <c r="AZ40" s="800"/>
      <c r="BA40" s="800"/>
      <c r="BB40" s="800"/>
      <c r="BC40" s="799"/>
      <c r="BD40" s="799"/>
      <c r="BE40" s="799"/>
      <c r="BF40" s="799"/>
      <c r="BG40" s="799"/>
      <c r="BH40" s="799"/>
      <c r="BI40" s="799"/>
      <c r="BJ40" s="799"/>
      <c r="BK40" s="799"/>
      <c r="BL40" s="799"/>
      <c r="BM40" s="799"/>
      <c r="BN40" s="799"/>
      <c r="BO40" s="799"/>
      <c r="BP40" s="799"/>
      <c r="BQ40" s="799"/>
      <c r="BR40" s="799"/>
      <c r="BS40" s="799"/>
      <c r="BT40" s="799"/>
      <c r="BU40" s="799"/>
      <c r="BV40" s="799"/>
      <c r="BW40" s="799"/>
      <c r="BX40" s="799"/>
      <c r="BY40" s="799"/>
      <c r="BZ40" s="799"/>
      <c r="CA40" s="799"/>
      <c r="CB40" s="799"/>
      <c r="CC40" s="799"/>
      <c r="CD40" s="799"/>
      <c r="CE40" s="799"/>
      <c r="CF40" s="799"/>
      <c r="CG40" s="799"/>
      <c r="CH40" s="799"/>
      <c r="CI40" s="799"/>
      <c r="CJ40" s="799"/>
      <c r="CK40" s="799"/>
      <c r="CL40" s="799"/>
      <c r="CM40" s="799"/>
      <c r="CN40" s="799"/>
      <c r="CO40" s="799"/>
      <c r="CP40" s="799"/>
      <c r="CQ40" s="799"/>
      <c r="CR40" s="799"/>
      <c r="CS40" s="799"/>
      <c r="CT40" s="799"/>
      <c r="CU40" s="799"/>
      <c r="CV40" s="799"/>
      <c r="CW40" s="799"/>
      <c r="CX40" s="799"/>
      <c r="CY40" s="799"/>
      <c r="CZ40" s="799"/>
      <c r="DA40" s="799"/>
      <c r="DB40" s="799"/>
      <c r="DC40" s="799"/>
      <c r="DD40" s="799"/>
      <c r="DE40" s="799"/>
      <c r="DF40" s="799"/>
      <c r="DG40" s="799"/>
      <c r="DH40" s="799"/>
      <c r="DI40" s="799"/>
      <c r="DJ40" s="799"/>
      <c r="DK40" s="799"/>
      <c r="DL40" s="799"/>
      <c r="DM40" s="799"/>
      <c r="DN40" s="799"/>
      <c r="DO40" s="799"/>
      <c r="DP40" s="799"/>
      <c r="DQ40" s="799"/>
      <c r="DR40" s="799"/>
      <c r="DS40" s="799"/>
      <c r="DT40" s="799"/>
      <c r="DU40" s="799"/>
      <c r="DV40" s="799"/>
      <c r="DW40" s="799"/>
      <c r="DX40" s="799"/>
      <c r="DY40" s="799"/>
      <c r="DZ40" s="799"/>
      <c r="EA40" s="799"/>
      <c r="EB40" s="799"/>
      <c r="EC40" s="799"/>
      <c r="ED40" s="799"/>
      <c r="EE40" s="799"/>
      <c r="EF40" s="799"/>
      <c r="EG40" s="799"/>
      <c r="EH40" s="799"/>
      <c r="EI40" s="799"/>
      <c r="EJ40" s="799"/>
      <c r="EK40" s="799"/>
      <c r="EL40" s="799"/>
      <c r="EM40" s="799"/>
      <c r="EN40" s="799"/>
      <c r="EO40" s="799"/>
      <c r="EP40" s="799"/>
      <c r="EQ40" s="799"/>
      <c r="ER40" s="799"/>
      <c r="ES40" s="799"/>
      <c r="ET40" s="799"/>
      <c r="EU40" s="799"/>
      <c r="EV40" s="799"/>
      <c r="EW40" s="799"/>
      <c r="EX40" s="799"/>
      <c r="EY40" s="799"/>
      <c r="EZ40" s="799"/>
      <c r="FA40" s="799"/>
      <c r="FB40" s="799"/>
      <c r="FC40" s="799"/>
      <c r="FD40" s="799"/>
      <c r="FE40" s="799"/>
      <c r="FF40" s="799"/>
      <c r="FG40" s="799"/>
      <c r="FH40" s="799"/>
      <c r="FI40" s="799"/>
      <c r="FJ40" s="799"/>
      <c r="FK40" s="799"/>
      <c r="FL40" s="799"/>
      <c r="FM40" s="799"/>
      <c r="FN40" s="799"/>
      <c r="FO40" s="799"/>
      <c r="FP40" s="799"/>
      <c r="FQ40" s="799"/>
      <c r="FR40" s="799"/>
      <c r="FS40" s="799"/>
      <c r="FT40" s="799"/>
      <c r="FU40" s="799"/>
      <c r="FV40" s="799"/>
      <c r="FW40" s="799"/>
      <c r="FX40" s="799"/>
      <c r="FY40" s="799"/>
      <c r="FZ40" s="799"/>
      <c r="GA40" s="799"/>
      <c r="GB40" s="799"/>
      <c r="GC40" s="799"/>
      <c r="GD40" s="799"/>
      <c r="GE40" s="799"/>
      <c r="GF40" s="799"/>
      <c r="GG40" s="799"/>
      <c r="GH40" s="799"/>
      <c r="GI40" s="799"/>
      <c r="GJ40" s="799"/>
      <c r="GK40" s="799"/>
      <c r="GL40" s="799"/>
      <c r="GM40" s="799"/>
      <c r="GN40" s="799"/>
      <c r="GO40" s="799"/>
      <c r="GP40" s="799"/>
      <c r="GQ40" s="799"/>
      <c r="GR40" s="799"/>
      <c r="GS40" s="799"/>
      <c r="GT40" s="799"/>
      <c r="GU40" s="799"/>
      <c r="GV40" s="799"/>
      <c r="GW40" s="799"/>
      <c r="GX40" s="799"/>
      <c r="GY40" s="799"/>
      <c r="GZ40" s="799"/>
      <c r="HA40" s="799"/>
      <c r="HB40" s="799"/>
      <c r="HC40" s="799"/>
      <c r="HD40" s="799"/>
      <c r="HE40" s="799"/>
      <c r="HF40" s="799"/>
      <c r="HG40" s="799"/>
      <c r="HH40" s="799"/>
      <c r="HI40" s="799"/>
      <c r="HJ40" s="799"/>
      <c r="HK40" s="799"/>
      <c r="HL40" s="799"/>
      <c r="HM40" s="799"/>
      <c r="HN40" s="799"/>
      <c r="HO40" s="799"/>
      <c r="HP40" s="799"/>
      <c r="HQ40" s="799"/>
      <c r="HR40" s="799"/>
      <c r="HS40" s="799"/>
      <c r="HT40" s="799"/>
      <c r="HU40" s="799"/>
      <c r="HV40" s="799"/>
      <c r="HW40" s="799"/>
      <c r="HX40" s="799"/>
      <c r="HY40" s="799"/>
      <c r="HZ40" s="799"/>
      <c r="IA40" s="799"/>
      <c r="IB40" s="799"/>
    </row>
    <row r="41" customFormat="false" ht="13.8" hidden="true" customHeight="false" outlineLevel="0" collapsed="false">
      <c r="B41" s="863" t="s">
        <v>99</v>
      </c>
      <c r="C41" s="863"/>
      <c r="D41" s="889" t="n">
        <f aca="false">+D40+1</f>
        <v>9</v>
      </c>
      <c r="E41" s="863" t="s">
        <v>588</v>
      </c>
      <c r="F41" s="800"/>
      <c r="G41" s="897"/>
      <c r="H41" s="898"/>
      <c r="I41" s="898"/>
      <c r="J41" s="899" t="n">
        <f aca="false">+SUM(G41:I41)</f>
        <v>0</v>
      </c>
      <c r="K41" s="897"/>
      <c r="L41" s="898"/>
      <c r="M41" s="898"/>
      <c r="N41" s="899" t="n">
        <f aca="false">+SUM(K41:M41)</f>
        <v>0</v>
      </c>
      <c r="O41" s="900" t="n">
        <f aca="false">+N41+J41</f>
        <v>0</v>
      </c>
      <c r="P41" s="898"/>
      <c r="Q41" s="898"/>
      <c r="R41" s="898"/>
      <c r="S41" s="898"/>
      <c r="T41" s="898"/>
      <c r="U41" s="897"/>
      <c r="V41" s="901" t="n">
        <f aca="false">+SUM(P41:U41)</f>
        <v>0</v>
      </c>
      <c r="W41" s="898"/>
      <c r="X41" s="898"/>
      <c r="Y41" s="898"/>
      <c r="Z41" s="898"/>
      <c r="AA41" s="898"/>
      <c r="AB41" s="898"/>
      <c r="AC41" s="901" t="n">
        <f aca="false">+SUM(W41:AB41)</f>
        <v>0</v>
      </c>
      <c r="AD41" s="900" t="n">
        <f aca="false">+AC41+Y41</f>
        <v>0</v>
      </c>
      <c r="AE41" s="902"/>
      <c r="AF41" s="799"/>
      <c r="AG41" s="799"/>
      <c r="AH41" s="799"/>
      <c r="AI41" s="801"/>
      <c r="AJ41" s="799"/>
      <c r="AK41" s="799"/>
      <c r="AL41" s="799"/>
      <c r="AM41" s="799"/>
      <c r="AN41" s="799"/>
      <c r="AO41" s="799"/>
      <c r="AP41" s="799"/>
      <c r="AQ41" s="799"/>
      <c r="AR41" s="799"/>
      <c r="AS41" s="800"/>
      <c r="AT41" s="800"/>
      <c r="AU41" s="800"/>
      <c r="AV41" s="800"/>
      <c r="AW41" s="800"/>
      <c r="AX41" s="800"/>
      <c r="AY41" s="800"/>
      <c r="AZ41" s="800"/>
      <c r="BA41" s="800"/>
      <c r="BB41" s="800"/>
      <c r="BC41" s="799"/>
      <c r="BD41" s="799"/>
      <c r="BE41" s="799"/>
      <c r="BF41" s="799"/>
      <c r="BG41" s="799"/>
      <c r="BH41" s="799"/>
      <c r="BI41" s="799"/>
      <c r="BJ41" s="799"/>
      <c r="BK41" s="799"/>
      <c r="BL41" s="799"/>
      <c r="BM41" s="799"/>
      <c r="BN41" s="799"/>
      <c r="BO41" s="799"/>
      <c r="BP41" s="799"/>
      <c r="BQ41" s="799"/>
      <c r="BR41" s="799"/>
      <c r="BS41" s="799"/>
      <c r="BT41" s="799"/>
      <c r="BU41" s="799"/>
      <c r="BV41" s="799"/>
      <c r="BW41" s="799"/>
      <c r="BX41" s="799"/>
      <c r="BY41" s="799"/>
      <c r="BZ41" s="799"/>
      <c r="CA41" s="799"/>
      <c r="CB41" s="799"/>
      <c r="CC41" s="799"/>
      <c r="CD41" s="799"/>
      <c r="CE41" s="799"/>
      <c r="CF41" s="799"/>
      <c r="CG41" s="799"/>
      <c r="CH41" s="799"/>
      <c r="CI41" s="799"/>
      <c r="CJ41" s="799"/>
      <c r="CK41" s="799"/>
      <c r="CL41" s="799"/>
      <c r="CM41" s="799"/>
      <c r="CN41" s="799"/>
      <c r="CO41" s="799"/>
      <c r="CP41" s="799"/>
      <c r="CQ41" s="799"/>
      <c r="CR41" s="799"/>
      <c r="CS41" s="799"/>
      <c r="CT41" s="799"/>
      <c r="CU41" s="799"/>
      <c r="CV41" s="799"/>
      <c r="CW41" s="799"/>
      <c r="CX41" s="799"/>
      <c r="CY41" s="799"/>
      <c r="CZ41" s="799"/>
      <c r="DA41" s="799"/>
      <c r="DB41" s="799"/>
      <c r="DC41" s="799"/>
      <c r="DD41" s="799"/>
      <c r="DE41" s="799"/>
      <c r="DF41" s="799"/>
      <c r="DG41" s="799"/>
      <c r="DH41" s="799"/>
      <c r="DI41" s="799"/>
      <c r="DJ41" s="799"/>
      <c r="DK41" s="799"/>
      <c r="DL41" s="799"/>
      <c r="DM41" s="799"/>
      <c r="DN41" s="799"/>
      <c r="DO41" s="799"/>
      <c r="DP41" s="799"/>
      <c r="DQ41" s="799"/>
      <c r="DR41" s="799"/>
      <c r="DS41" s="799"/>
      <c r="DT41" s="799"/>
      <c r="DU41" s="799"/>
      <c r="DV41" s="799"/>
      <c r="DW41" s="799"/>
      <c r="DX41" s="799"/>
      <c r="DY41" s="799"/>
      <c r="DZ41" s="799"/>
      <c r="EA41" s="799"/>
      <c r="EB41" s="799"/>
      <c r="EC41" s="799"/>
      <c r="ED41" s="799"/>
      <c r="EE41" s="799"/>
      <c r="EF41" s="799"/>
      <c r="EG41" s="799"/>
      <c r="EH41" s="799"/>
      <c r="EI41" s="799"/>
      <c r="EJ41" s="799"/>
      <c r="EK41" s="799"/>
      <c r="EL41" s="799"/>
      <c r="EM41" s="799"/>
      <c r="EN41" s="799"/>
      <c r="EO41" s="799"/>
      <c r="EP41" s="799"/>
      <c r="EQ41" s="799"/>
      <c r="ER41" s="799"/>
      <c r="ES41" s="799"/>
      <c r="ET41" s="799"/>
      <c r="EU41" s="799"/>
      <c r="EV41" s="799"/>
      <c r="EW41" s="799"/>
      <c r="EX41" s="799"/>
      <c r="EY41" s="799"/>
      <c r="EZ41" s="799"/>
      <c r="FA41" s="799"/>
      <c r="FB41" s="799"/>
      <c r="FC41" s="799"/>
      <c r="FD41" s="799"/>
      <c r="FE41" s="799"/>
      <c r="FF41" s="799"/>
      <c r="FG41" s="799"/>
      <c r="FH41" s="799"/>
      <c r="FI41" s="799"/>
      <c r="FJ41" s="799"/>
      <c r="FK41" s="799"/>
      <c r="FL41" s="799"/>
      <c r="FM41" s="799"/>
      <c r="FN41" s="799"/>
      <c r="FO41" s="799"/>
      <c r="FP41" s="799"/>
      <c r="FQ41" s="799"/>
      <c r="FR41" s="799"/>
      <c r="FS41" s="799"/>
      <c r="FT41" s="799"/>
      <c r="FU41" s="799"/>
      <c r="FV41" s="799"/>
      <c r="FW41" s="799"/>
      <c r="FX41" s="799"/>
      <c r="FY41" s="799"/>
      <c r="FZ41" s="799"/>
      <c r="GA41" s="799"/>
      <c r="GB41" s="799"/>
      <c r="GC41" s="799"/>
      <c r="GD41" s="799"/>
      <c r="GE41" s="799"/>
      <c r="GF41" s="799"/>
      <c r="GG41" s="799"/>
      <c r="GH41" s="799"/>
      <c r="GI41" s="799"/>
      <c r="GJ41" s="799"/>
      <c r="GK41" s="799"/>
      <c r="GL41" s="799"/>
      <c r="GM41" s="799"/>
      <c r="GN41" s="799"/>
      <c r="GO41" s="799"/>
      <c r="GP41" s="799"/>
      <c r="GQ41" s="799"/>
      <c r="GR41" s="799"/>
      <c r="GS41" s="799"/>
      <c r="GT41" s="799"/>
      <c r="GU41" s="799"/>
      <c r="GV41" s="799"/>
      <c r="GW41" s="799"/>
      <c r="GX41" s="799"/>
      <c r="GY41" s="799"/>
      <c r="GZ41" s="799"/>
      <c r="HA41" s="799"/>
      <c r="HB41" s="799"/>
      <c r="HC41" s="799"/>
      <c r="HD41" s="799"/>
      <c r="HE41" s="799"/>
      <c r="HF41" s="799"/>
      <c r="HG41" s="799"/>
      <c r="HH41" s="799"/>
      <c r="HI41" s="799"/>
      <c r="HJ41" s="799"/>
      <c r="HK41" s="799"/>
      <c r="HL41" s="799"/>
      <c r="HM41" s="799"/>
      <c r="HN41" s="799"/>
      <c r="HO41" s="799"/>
      <c r="HP41" s="799"/>
      <c r="HQ41" s="799"/>
      <c r="HR41" s="799"/>
      <c r="HS41" s="799"/>
      <c r="HT41" s="799"/>
      <c r="HU41" s="799"/>
      <c r="HV41" s="799"/>
      <c r="HW41" s="799"/>
      <c r="HX41" s="799"/>
      <c r="HY41" s="799"/>
      <c r="HZ41" s="799"/>
      <c r="IA41" s="799"/>
      <c r="IB41" s="799"/>
    </row>
    <row r="42" customFormat="false" ht="13.8" hidden="true" customHeight="false" outlineLevel="0" collapsed="false">
      <c r="B42" s="863"/>
      <c r="C42" s="863"/>
      <c r="D42" s="889" t="n">
        <f aca="false">+D41+1</f>
        <v>10</v>
      </c>
      <c r="E42" s="863" t="s">
        <v>601</v>
      </c>
      <c r="F42" s="800"/>
      <c r="G42" s="897"/>
      <c r="H42" s="898"/>
      <c r="I42" s="898"/>
      <c r="J42" s="899" t="n">
        <f aca="false">+SUM(G42:I42)</f>
        <v>0</v>
      </c>
      <c r="K42" s="897"/>
      <c r="L42" s="898"/>
      <c r="M42" s="898"/>
      <c r="N42" s="899" t="n">
        <f aca="false">+SUM(K42:M42)</f>
        <v>0</v>
      </c>
      <c r="O42" s="900" t="n">
        <f aca="false">+N42+J42</f>
        <v>0</v>
      </c>
      <c r="P42" s="898"/>
      <c r="Q42" s="898"/>
      <c r="R42" s="898"/>
      <c r="S42" s="898"/>
      <c r="T42" s="898"/>
      <c r="U42" s="897"/>
      <c r="V42" s="901" t="n">
        <f aca="false">+SUM(P42:U42)</f>
        <v>0</v>
      </c>
      <c r="W42" s="898"/>
      <c r="X42" s="898"/>
      <c r="Y42" s="898"/>
      <c r="Z42" s="898"/>
      <c r="AA42" s="898"/>
      <c r="AB42" s="898"/>
      <c r="AC42" s="901" t="n">
        <f aca="false">+SUM(W42:AB42)</f>
        <v>0</v>
      </c>
      <c r="AD42" s="900" t="n">
        <f aca="false">+AC42+Y42</f>
        <v>0</v>
      </c>
      <c r="AE42" s="902"/>
      <c r="AF42" s="799"/>
      <c r="AG42" s="799"/>
      <c r="AH42" s="799"/>
      <c r="AI42" s="801"/>
      <c r="AJ42" s="799"/>
      <c r="AK42" s="799"/>
      <c r="AL42" s="799"/>
      <c r="AM42" s="799"/>
      <c r="AN42" s="799"/>
      <c r="AO42" s="799"/>
      <c r="AP42" s="799"/>
      <c r="AQ42" s="799"/>
      <c r="AR42" s="799"/>
      <c r="AS42" s="800"/>
      <c r="AT42" s="800"/>
      <c r="AU42" s="800"/>
      <c r="AV42" s="800"/>
      <c r="AW42" s="800"/>
      <c r="AX42" s="800"/>
      <c r="AY42" s="800"/>
      <c r="AZ42" s="800"/>
      <c r="BA42" s="800"/>
      <c r="BB42" s="800"/>
      <c r="BC42" s="799"/>
      <c r="BD42" s="799"/>
      <c r="BE42" s="799"/>
      <c r="BF42" s="799"/>
      <c r="BG42" s="799"/>
      <c r="BH42" s="799"/>
      <c r="BI42" s="799"/>
      <c r="BJ42" s="799"/>
      <c r="BK42" s="799"/>
      <c r="BL42" s="799"/>
      <c r="BM42" s="799"/>
      <c r="BN42" s="799"/>
      <c r="BO42" s="799"/>
      <c r="BP42" s="799"/>
      <c r="BQ42" s="799"/>
      <c r="BR42" s="799"/>
      <c r="BS42" s="799"/>
      <c r="BT42" s="799"/>
      <c r="BU42" s="799"/>
      <c r="BV42" s="799"/>
      <c r="BW42" s="799"/>
      <c r="BX42" s="799"/>
      <c r="BY42" s="799"/>
      <c r="BZ42" s="799"/>
      <c r="CA42" s="799"/>
      <c r="CB42" s="799"/>
      <c r="CC42" s="799"/>
      <c r="CD42" s="799"/>
      <c r="CE42" s="799"/>
      <c r="CF42" s="799"/>
      <c r="CG42" s="799"/>
      <c r="CH42" s="799"/>
      <c r="CI42" s="799"/>
      <c r="CJ42" s="799"/>
      <c r="CK42" s="799"/>
      <c r="CL42" s="799"/>
      <c r="CM42" s="799"/>
      <c r="CN42" s="799"/>
      <c r="CO42" s="799"/>
      <c r="CP42" s="799"/>
      <c r="CQ42" s="799"/>
      <c r="CR42" s="799"/>
      <c r="CS42" s="799"/>
      <c r="CT42" s="799"/>
      <c r="CU42" s="799"/>
      <c r="CV42" s="799"/>
      <c r="CW42" s="799"/>
      <c r="CX42" s="799"/>
      <c r="CY42" s="799"/>
      <c r="CZ42" s="799"/>
      <c r="DA42" s="799"/>
      <c r="DB42" s="799"/>
      <c r="DC42" s="799"/>
      <c r="DD42" s="799"/>
      <c r="DE42" s="799"/>
      <c r="DF42" s="799"/>
      <c r="DG42" s="799"/>
      <c r="DH42" s="799"/>
      <c r="DI42" s="799"/>
      <c r="DJ42" s="799"/>
      <c r="DK42" s="799"/>
      <c r="DL42" s="799"/>
      <c r="DM42" s="799"/>
      <c r="DN42" s="799"/>
      <c r="DO42" s="799"/>
      <c r="DP42" s="799"/>
      <c r="DQ42" s="799"/>
      <c r="DR42" s="799"/>
      <c r="DS42" s="799"/>
      <c r="DT42" s="799"/>
      <c r="DU42" s="799"/>
      <c r="DV42" s="799"/>
      <c r="DW42" s="799"/>
      <c r="DX42" s="799"/>
      <c r="DY42" s="799"/>
      <c r="DZ42" s="799"/>
      <c r="EA42" s="799"/>
      <c r="EB42" s="799"/>
      <c r="EC42" s="799"/>
      <c r="ED42" s="799"/>
      <c r="EE42" s="799"/>
      <c r="EF42" s="799"/>
      <c r="EG42" s="799"/>
      <c r="EH42" s="799"/>
      <c r="EI42" s="799"/>
      <c r="EJ42" s="799"/>
      <c r="EK42" s="799"/>
      <c r="EL42" s="799"/>
      <c r="EM42" s="799"/>
      <c r="EN42" s="799"/>
      <c r="EO42" s="799"/>
      <c r="EP42" s="799"/>
      <c r="EQ42" s="799"/>
      <c r="ER42" s="799"/>
      <c r="ES42" s="799"/>
      <c r="ET42" s="799"/>
      <c r="EU42" s="799"/>
      <c r="EV42" s="799"/>
      <c r="EW42" s="799"/>
      <c r="EX42" s="799"/>
      <c r="EY42" s="799"/>
      <c r="EZ42" s="799"/>
      <c r="FA42" s="799"/>
      <c r="FB42" s="799"/>
      <c r="FC42" s="799"/>
      <c r="FD42" s="799"/>
      <c r="FE42" s="799"/>
      <c r="FF42" s="799"/>
      <c r="FG42" s="799"/>
      <c r="FH42" s="799"/>
      <c r="FI42" s="799"/>
      <c r="FJ42" s="799"/>
      <c r="FK42" s="799"/>
      <c r="FL42" s="799"/>
      <c r="FM42" s="799"/>
      <c r="FN42" s="799"/>
      <c r="FO42" s="799"/>
      <c r="FP42" s="799"/>
      <c r="FQ42" s="799"/>
      <c r="FR42" s="799"/>
      <c r="FS42" s="799"/>
      <c r="FT42" s="799"/>
      <c r="FU42" s="799"/>
      <c r="FV42" s="799"/>
      <c r="FW42" s="799"/>
      <c r="FX42" s="799"/>
      <c r="FY42" s="799"/>
      <c r="FZ42" s="799"/>
      <c r="GA42" s="799"/>
      <c r="GB42" s="799"/>
      <c r="GC42" s="799"/>
      <c r="GD42" s="799"/>
      <c r="GE42" s="799"/>
      <c r="GF42" s="799"/>
      <c r="GG42" s="799"/>
      <c r="GH42" s="799"/>
      <c r="GI42" s="799"/>
      <c r="GJ42" s="799"/>
      <c r="GK42" s="799"/>
      <c r="GL42" s="799"/>
      <c r="GM42" s="799"/>
      <c r="GN42" s="799"/>
      <c r="GO42" s="799"/>
      <c r="GP42" s="799"/>
      <c r="GQ42" s="799"/>
      <c r="GR42" s="799"/>
      <c r="GS42" s="799"/>
      <c r="GT42" s="799"/>
      <c r="GU42" s="799"/>
      <c r="GV42" s="799"/>
      <c r="GW42" s="799"/>
      <c r="GX42" s="799"/>
      <c r="GY42" s="799"/>
      <c r="GZ42" s="799"/>
      <c r="HA42" s="799"/>
      <c r="HB42" s="799"/>
      <c r="HC42" s="799"/>
      <c r="HD42" s="799"/>
      <c r="HE42" s="799"/>
      <c r="HF42" s="799"/>
      <c r="HG42" s="799"/>
      <c r="HH42" s="799"/>
      <c r="HI42" s="799"/>
      <c r="HJ42" s="799"/>
      <c r="HK42" s="799"/>
      <c r="HL42" s="799"/>
      <c r="HM42" s="799"/>
      <c r="HN42" s="799"/>
      <c r="HO42" s="799"/>
      <c r="HP42" s="799"/>
      <c r="HQ42" s="799"/>
      <c r="HR42" s="799"/>
      <c r="HS42" s="799"/>
      <c r="HT42" s="799"/>
      <c r="HU42" s="799"/>
      <c r="HV42" s="799"/>
      <c r="HW42" s="799"/>
      <c r="HX42" s="799"/>
      <c r="HY42" s="799"/>
      <c r="HZ42" s="799"/>
      <c r="IA42" s="799"/>
      <c r="IB42" s="799"/>
    </row>
    <row r="43" customFormat="false" ht="13.8" hidden="true" customHeight="false" outlineLevel="0" collapsed="false">
      <c r="B43" s="863"/>
      <c r="C43" s="863"/>
      <c r="D43" s="889" t="n">
        <f aca="false">+D42+1</f>
        <v>11</v>
      </c>
      <c r="E43" s="863" t="s">
        <v>590</v>
      </c>
      <c r="F43" s="800"/>
      <c r="G43" s="897"/>
      <c r="H43" s="898"/>
      <c r="I43" s="898"/>
      <c r="J43" s="899" t="n">
        <f aca="false">+SUM(G43:I43)</f>
        <v>0</v>
      </c>
      <c r="K43" s="897"/>
      <c r="L43" s="898"/>
      <c r="M43" s="898"/>
      <c r="N43" s="899" t="n">
        <f aca="false">+SUM(K43:M43)</f>
        <v>0</v>
      </c>
      <c r="O43" s="900" t="n">
        <f aca="false">+N43+J43</f>
        <v>0</v>
      </c>
      <c r="P43" s="898"/>
      <c r="Q43" s="898"/>
      <c r="R43" s="898"/>
      <c r="S43" s="898"/>
      <c r="T43" s="898"/>
      <c r="U43" s="897"/>
      <c r="V43" s="901" t="n">
        <f aca="false">+SUM(P43:U43)</f>
        <v>0</v>
      </c>
      <c r="W43" s="898"/>
      <c r="X43" s="898"/>
      <c r="Y43" s="898"/>
      <c r="Z43" s="898"/>
      <c r="AA43" s="898"/>
      <c r="AB43" s="898"/>
      <c r="AC43" s="901" t="n">
        <f aca="false">+SUM(W43:AB43)</f>
        <v>0</v>
      </c>
      <c r="AD43" s="900" t="n">
        <f aca="false">+AC43+Y43</f>
        <v>0</v>
      </c>
      <c r="AE43" s="902"/>
      <c r="AF43" s="799"/>
      <c r="AG43" s="799"/>
      <c r="AH43" s="799"/>
      <c r="AI43" s="801"/>
      <c r="AJ43" s="799"/>
      <c r="AK43" s="799"/>
      <c r="AL43" s="799"/>
      <c r="AM43" s="799"/>
      <c r="AN43" s="799"/>
      <c r="AO43" s="799"/>
      <c r="AP43" s="799"/>
      <c r="AQ43" s="799"/>
      <c r="AR43" s="799"/>
      <c r="AS43" s="800"/>
      <c r="AT43" s="800"/>
      <c r="AU43" s="800"/>
      <c r="AV43" s="800"/>
      <c r="AW43" s="800"/>
      <c r="AX43" s="800"/>
      <c r="AY43" s="800"/>
      <c r="AZ43" s="800"/>
      <c r="BA43" s="800"/>
      <c r="BB43" s="800"/>
      <c r="BC43" s="799"/>
      <c r="BD43" s="799"/>
      <c r="BE43" s="799"/>
      <c r="BF43" s="799"/>
      <c r="BG43" s="799"/>
      <c r="BH43" s="799"/>
      <c r="BI43" s="799"/>
      <c r="BJ43" s="799"/>
      <c r="BK43" s="799"/>
      <c r="BL43" s="799"/>
      <c r="BM43" s="799"/>
      <c r="BN43" s="799"/>
      <c r="BO43" s="799"/>
      <c r="BP43" s="799"/>
      <c r="BQ43" s="799"/>
      <c r="BR43" s="799"/>
      <c r="BS43" s="799"/>
      <c r="BT43" s="799"/>
      <c r="BU43" s="799"/>
      <c r="BV43" s="799"/>
      <c r="BW43" s="799"/>
      <c r="BX43" s="799"/>
      <c r="BY43" s="799"/>
      <c r="BZ43" s="799"/>
      <c r="CA43" s="799"/>
      <c r="CB43" s="799"/>
      <c r="CC43" s="799"/>
      <c r="CD43" s="799"/>
      <c r="CE43" s="799"/>
      <c r="CF43" s="799"/>
      <c r="CG43" s="799"/>
      <c r="CH43" s="799"/>
      <c r="CI43" s="799"/>
      <c r="CJ43" s="799"/>
      <c r="CK43" s="799"/>
      <c r="CL43" s="799"/>
      <c r="CM43" s="799"/>
      <c r="CN43" s="799"/>
      <c r="CO43" s="799"/>
      <c r="CP43" s="799"/>
      <c r="CQ43" s="799"/>
      <c r="CR43" s="799"/>
      <c r="CS43" s="799"/>
      <c r="CT43" s="799"/>
      <c r="CU43" s="799"/>
      <c r="CV43" s="799"/>
      <c r="CW43" s="799"/>
      <c r="CX43" s="799"/>
      <c r="CY43" s="799"/>
      <c r="CZ43" s="799"/>
      <c r="DA43" s="799"/>
      <c r="DB43" s="799"/>
      <c r="DC43" s="799"/>
      <c r="DD43" s="799"/>
      <c r="DE43" s="799"/>
      <c r="DF43" s="799"/>
      <c r="DG43" s="799"/>
      <c r="DH43" s="799"/>
      <c r="DI43" s="799"/>
      <c r="DJ43" s="799"/>
      <c r="DK43" s="799"/>
      <c r="DL43" s="799"/>
      <c r="DM43" s="799"/>
      <c r="DN43" s="799"/>
      <c r="DO43" s="799"/>
      <c r="DP43" s="799"/>
      <c r="DQ43" s="799"/>
      <c r="DR43" s="799"/>
      <c r="DS43" s="799"/>
      <c r="DT43" s="799"/>
      <c r="DU43" s="799"/>
      <c r="DV43" s="799"/>
      <c r="DW43" s="799"/>
      <c r="DX43" s="799"/>
      <c r="DY43" s="799"/>
      <c r="DZ43" s="799"/>
      <c r="EA43" s="799"/>
      <c r="EB43" s="799"/>
      <c r="EC43" s="799"/>
      <c r="ED43" s="799"/>
      <c r="EE43" s="799"/>
      <c r="EF43" s="799"/>
      <c r="EG43" s="799"/>
      <c r="EH43" s="799"/>
      <c r="EI43" s="799"/>
      <c r="EJ43" s="799"/>
      <c r="EK43" s="799"/>
      <c r="EL43" s="799"/>
      <c r="EM43" s="799"/>
      <c r="EN43" s="799"/>
      <c r="EO43" s="799"/>
      <c r="EP43" s="799"/>
      <c r="EQ43" s="799"/>
      <c r="ER43" s="799"/>
      <c r="ES43" s="799"/>
      <c r="ET43" s="799"/>
      <c r="EU43" s="799"/>
      <c r="EV43" s="799"/>
      <c r="EW43" s="799"/>
      <c r="EX43" s="799"/>
      <c r="EY43" s="799"/>
      <c r="EZ43" s="799"/>
      <c r="FA43" s="799"/>
      <c r="FB43" s="799"/>
      <c r="FC43" s="799"/>
      <c r="FD43" s="799"/>
      <c r="FE43" s="799"/>
      <c r="FF43" s="799"/>
      <c r="FG43" s="799"/>
      <c r="FH43" s="799"/>
      <c r="FI43" s="799"/>
      <c r="FJ43" s="799"/>
      <c r="FK43" s="799"/>
      <c r="FL43" s="799"/>
      <c r="FM43" s="799"/>
      <c r="FN43" s="799"/>
      <c r="FO43" s="799"/>
      <c r="FP43" s="799"/>
      <c r="FQ43" s="799"/>
      <c r="FR43" s="799"/>
      <c r="FS43" s="799"/>
      <c r="FT43" s="799"/>
      <c r="FU43" s="799"/>
      <c r="FV43" s="799"/>
      <c r="FW43" s="799"/>
      <c r="FX43" s="799"/>
      <c r="FY43" s="799"/>
      <c r="FZ43" s="799"/>
      <c r="GA43" s="799"/>
      <c r="GB43" s="799"/>
      <c r="GC43" s="799"/>
      <c r="GD43" s="799"/>
      <c r="GE43" s="799"/>
      <c r="GF43" s="799"/>
      <c r="GG43" s="799"/>
      <c r="GH43" s="799"/>
      <c r="GI43" s="799"/>
      <c r="GJ43" s="799"/>
      <c r="GK43" s="799"/>
      <c r="GL43" s="799"/>
      <c r="GM43" s="799"/>
      <c r="GN43" s="799"/>
      <c r="GO43" s="799"/>
      <c r="GP43" s="799"/>
      <c r="GQ43" s="799"/>
      <c r="GR43" s="799"/>
      <c r="GS43" s="799"/>
      <c r="GT43" s="799"/>
      <c r="GU43" s="799"/>
      <c r="GV43" s="799"/>
      <c r="GW43" s="799"/>
      <c r="GX43" s="799"/>
      <c r="GY43" s="799"/>
      <c r="GZ43" s="799"/>
      <c r="HA43" s="799"/>
      <c r="HB43" s="799"/>
      <c r="HC43" s="799"/>
      <c r="HD43" s="799"/>
      <c r="HE43" s="799"/>
      <c r="HF43" s="799"/>
      <c r="HG43" s="799"/>
      <c r="HH43" s="799"/>
      <c r="HI43" s="799"/>
      <c r="HJ43" s="799"/>
      <c r="HK43" s="799"/>
      <c r="HL43" s="799"/>
      <c r="HM43" s="799"/>
      <c r="HN43" s="799"/>
      <c r="HO43" s="799"/>
      <c r="HP43" s="799"/>
      <c r="HQ43" s="799"/>
      <c r="HR43" s="799"/>
      <c r="HS43" s="799"/>
      <c r="HT43" s="799"/>
      <c r="HU43" s="799"/>
      <c r="HV43" s="799"/>
      <c r="HW43" s="799"/>
      <c r="HX43" s="799"/>
      <c r="HY43" s="799"/>
      <c r="HZ43" s="799"/>
      <c r="IA43" s="799"/>
      <c r="IB43" s="799"/>
    </row>
    <row r="44" customFormat="false" ht="13.8" hidden="true" customHeight="false" outlineLevel="0" collapsed="false">
      <c r="B44" s="863"/>
      <c r="C44" s="863"/>
      <c r="D44" s="889" t="n">
        <f aca="false">+D43+1</f>
        <v>12</v>
      </c>
      <c r="E44" s="863" t="s">
        <v>735</v>
      </c>
      <c r="F44" s="800"/>
      <c r="G44" s="897"/>
      <c r="H44" s="898"/>
      <c r="I44" s="898"/>
      <c r="J44" s="899" t="n">
        <f aca="false">+SUM(G44:I44)</f>
        <v>0</v>
      </c>
      <c r="K44" s="897"/>
      <c r="L44" s="898"/>
      <c r="M44" s="898"/>
      <c r="N44" s="899" t="n">
        <f aca="false">+SUM(K44:M44)</f>
        <v>0</v>
      </c>
      <c r="O44" s="900" t="n">
        <f aca="false">+N44+J44</f>
        <v>0</v>
      </c>
      <c r="P44" s="898"/>
      <c r="Q44" s="898"/>
      <c r="R44" s="898"/>
      <c r="S44" s="898"/>
      <c r="T44" s="898"/>
      <c r="U44" s="897"/>
      <c r="V44" s="901" t="n">
        <f aca="false">+SUM(P44:U44)</f>
        <v>0</v>
      </c>
      <c r="W44" s="898"/>
      <c r="X44" s="898"/>
      <c r="Y44" s="898"/>
      <c r="Z44" s="898"/>
      <c r="AA44" s="898"/>
      <c r="AB44" s="898"/>
      <c r="AC44" s="901" t="n">
        <f aca="false">+SUM(W44:AB44)</f>
        <v>0</v>
      </c>
      <c r="AD44" s="900" t="n">
        <f aca="false">+AC44+Y44</f>
        <v>0</v>
      </c>
      <c r="AE44" s="902"/>
      <c r="AF44" s="799"/>
      <c r="AG44" s="799"/>
      <c r="AH44" s="799"/>
      <c r="AI44" s="801"/>
      <c r="AJ44" s="799"/>
      <c r="AK44" s="799"/>
      <c r="AL44" s="799"/>
      <c r="AM44" s="799"/>
      <c r="AN44" s="799"/>
      <c r="AO44" s="799"/>
      <c r="AP44" s="799"/>
      <c r="AQ44" s="799"/>
      <c r="AR44" s="799"/>
      <c r="AS44" s="800"/>
      <c r="AT44" s="800"/>
      <c r="AU44" s="800"/>
      <c r="AV44" s="800"/>
      <c r="AW44" s="800"/>
      <c r="AX44" s="800"/>
      <c r="AY44" s="800"/>
      <c r="AZ44" s="800"/>
      <c r="BA44" s="800"/>
      <c r="BB44" s="800"/>
      <c r="BC44" s="799"/>
      <c r="BD44" s="799"/>
      <c r="BE44" s="799"/>
      <c r="BF44" s="799"/>
      <c r="BG44" s="799"/>
      <c r="BH44" s="799"/>
      <c r="BI44" s="799"/>
      <c r="BJ44" s="799"/>
      <c r="BK44" s="799"/>
      <c r="BL44" s="799"/>
      <c r="BM44" s="799"/>
      <c r="BN44" s="799"/>
      <c r="BO44" s="799"/>
      <c r="BP44" s="799"/>
      <c r="BQ44" s="799"/>
      <c r="BR44" s="799"/>
      <c r="BS44" s="799"/>
      <c r="BT44" s="799"/>
      <c r="BU44" s="799"/>
      <c r="BV44" s="799"/>
      <c r="BW44" s="799"/>
      <c r="BX44" s="799"/>
      <c r="BY44" s="799"/>
      <c r="BZ44" s="799"/>
      <c r="CA44" s="799"/>
      <c r="CB44" s="799"/>
      <c r="CC44" s="799"/>
      <c r="CD44" s="799"/>
      <c r="CE44" s="799"/>
      <c r="CF44" s="799"/>
      <c r="CG44" s="799"/>
      <c r="CH44" s="799"/>
      <c r="CI44" s="799"/>
      <c r="CJ44" s="799"/>
      <c r="CK44" s="799"/>
      <c r="CL44" s="799"/>
      <c r="CM44" s="799"/>
      <c r="CN44" s="799"/>
      <c r="CO44" s="799"/>
      <c r="CP44" s="799"/>
      <c r="CQ44" s="799"/>
      <c r="CR44" s="799"/>
      <c r="CS44" s="799"/>
      <c r="CT44" s="799"/>
      <c r="CU44" s="799"/>
      <c r="CV44" s="799"/>
      <c r="CW44" s="799"/>
      <c r="CX44" s="799"/>
      <c r="CY44" s="799"/>
      <c r="CZ44" s="799"/>
      <c r="DA44" s="799"/>
      <c r="DB44" s="799"/>
      <c r="DC44" s="799"/>
      <c r="DD44" s="799"/>
      <c r="DE44" s="799"/>
      <c r="DF44" s="799"/>
      <c r="DG44" s="799"/>
      <c r="DH44" s="799"/>
      <c r="DI44" s="799"/>
      <c r="DJ44" s="799"/>
      <c r="DK44" s="799"/>
      <c r="DL44" s="799"/>
      <c r="DM44" s="799"/>
      <c r="DN44" s="799"/>
      <c r="DO44" s="799"/>
      <c r="DP44" s="799"/>
      <c r="DQ44" s="799"/>
      <c r="DR44" s="799"/>
      <c r="DS44" s="799"/>
      <c r="DT44" s="799"/>
      <c r="DU44" s="799"/>
      <c r="DV44" s="799"/>
      <c r="DW44" s="799"/>
      <c r="DX44" s="799"/>
      <c r="DY44" s="799"/>
      <c r="DZ44" s="799"/>
      <c r="EA44" s="799"/>
      <c r="EB44" s="799"/>
      <c r="EC44" s="799"/>
      <c r="ED44" s="799"/>
      <c r="EE44" s="799"/>
      <c r="EF44" s="799"/>
      <c r="EG44" s="799"/>
      <c r="EH44" s="799"/>
      <c r="EI44" s="799"/>
      <c r="EJ44" s="799"/>
      <c r="EK44" s="799"/>
      <c r="EL44" s="799"/>
      <c r="EM44" s="799"/>
      <c r="EN44" s="799"/>
      <c r="EO44" s="799"/>
      <c r="EP44" s="799"/>
      <c r="EQ44" s="799"/>
      <c r="ER44" s="799"/>
      <c r="ES44" s="799"/>
      <c r="ET44" s="799"/>
      <c r="EU44" s="799"/>
      <c r="EV44" s="799"/>
      <c r="EW44" s="799"/>
      <c r="EX44" s="799"/>
      <c r="EY44" s="799"/>
      <c r="EZ44" s="799"/>
      <c r="FA44" s="799"/>
      <c r="FB44" s="799"/>
      <c r="FC44" s="799"/>
      <c r="FD44" s="799"/>
      <c r="FE44" s="799"/>
      <c r="FF44" s="799"/>
      <c r="FG44" s="799"/>
      <c r="FH44" s="799"/>
      <c r="FI44" s="799"/>
      <c r="FJ44" s="799"/>
      <c r="FK44" s="799"/>
      <c r="FL44" s="799"/>
      <c r="FM44" s="799"/>
      <c r="FN44" s="799"/>
      <c r="FO44" s="799"/>
      <c r="FP44" s="799"/>
      <c r="FQ44" s="799"/>
      <c r="FR44" s="799"/>
      <c r="FS44" s="799"/>
      <c r="FT44" s="799"/>
      <c r="FU44" s="799"/>
      <c r="FV44" s="799"/>
      <c r="FW44" s="799"/>
      <c r="FX44" s="799"/>
      <c r="FY44" s="799"/>
      <c r="FZ44" s="799"/>
      <c r="GA44" s="799"/>
      <c r="GB44" s="799"/>
      <c r="GC44" s="799"/>
      <c r="GD44" s="799"/>
      <c r="GE44" s="799"/>
      <c r="GF44" s="799"/>
      <c r="GG44" s="799"/>
      <c r="GH44" s="799"/>
      <c r="GI44" s="799"/>
      <c r="GJ44" s="799"/>
      <c r="GK44" s="799"/>
      <c r="GL44" s="799"/>
      <c r="GM44" s="799"/>
      <c r="GN44" s="799"/>
      <c r="GO44" s="799"/>
      <c r="GP44" s="799"/>
      <c r="GQ44" s="799"/>
      <c r="GR44" s="799"/>
      <c r="GS44" s="799"/>
      <c r="GT44" s="799"/>
      <c r="GU44" s="799"/>
      <c r="GV44" s="799"/>
      <c r="GW44" s="799"/>
      <c r="GX44" s="799"/>
      <c r="GY44" s="799"/>
      <c r="GZ44" s="799"/>
      <c r="HA44" s="799"/>
      <c r="HB44" s="799"/>
      <c r="HC44" s="799"/>
      <c r="HD44" s="799"/>
      <c r="HE44" s="799"/>
      <c r="HF44" s="799"/>
      <c r="HG44" s="799"/>
      <c r="HH44" s="799"/>
      <c r="HI44" s="799"/>
      <c r="HJ44" s="799"/>
      <c r="HK44" s="799"/>
      <c r="HL44" s="799"/>
      <c r="HM44" s="799"/>
      <c r="HN44" s="799"/>
      <c r="HO44" s="799"/>
      <c r="HP44" s="799"/>
      <c r="HQ44" s="799"/>
      <c r="HR44" s="799"/>
      <c r="HS44" s="799"/>
      <c r="HT44" s="799"/>
      <c r="HU44" s="799"/>
      <c r="HV44" s="799"/>
      <c r="HW44" s="799"/>
      <c r="HX44" s="799"/>
      <c r="HY44" s="799"/>
      <c r="HZ44" s="799"/>
      <c r="IA44" s="799"/>
      <c r="IB44" s="799"/>
    </row>
    <row r="45" customFormat="false" ht="13.8" hidden="true" customHeight="false" outlineLevel="0" collapsed="false">
      <c r="B45" s="871"/>
      <c r="C45" s="871"/>
      <c r="D45" s="903"/>
      <c r="E45" s="871"/>
      <c r="F45" s="800"/>
      <c r="G45" s="904"/>
      <c r="H45" s="905"/>
      <c r="I45" s="905"/>
      <c r="J45" s="906" t="n">
        <f aca="false">+SUM(G45:I45)</f>
        <v>0</v>
      </c>
      <c r="K45" s="904"/>
      <c r="L45" s="905"/>
      <c r="M45" s="905"/>
      <c r="N45" s="906" t="n">
        <f aca="false">+SUM(K45:M45)</f>
        <v>0</v>
      </c>
      <c r="O45" s="907" t="n">
        <f aca="false">+N45+J45</f>
        <v>0</v>
      </c>
      <c r="P45" s="905"/>
      <c r="Q45" s="905"/>
      <c r="R45" s="905"/>
      <c r="S45" s="905"/>
      <c r="T45" s="905"/>
      <c r="U45" s="904"/>
      <c r="V45" s="908" t="n">
        <f aca="false">+SUM(P45:U45)</f>
        <v>0</v>
      </c>
      <c r="W45" s="905"/>
      <c r="X45" s="905"/>
      <c r="Y45" s="905"/>
      <c r="Z45" s="905"/>
      <c r="AA45" s="905"/>
      <c r="AB45" s="905"/>
      <c r="AC45" s="908" t="n">
        <f aca="false">+SUM(W45:AB45)</f>
        <v>0</v>
      </c>
      <c r="AD45" s="907" t="n">
        <f aca="false">+AC45+Y45</f>
        <v>0</v>
      </c>
      <c r="AE45" s="902"/>
      <c r="AF45" s="799"/>
      <c r="AG45" s="799"/>
      <c r="AH45" s="799"/>
      <c r="AI45" s="801"/>
      <c r="AJ45" s="799"/>
      <c r="AK45" s="799"/>
      <c r="AL45" s="799"/>
      <c r="AM45" s="799"/>
      <c r="AN45" s="799"/>
      <c r="AO45" s="799"/>
      <c r="AP45" s="799"/>
      <c r="AQ45" s="799"/>
      <c r="AR45" s="799"/>
      <c r="AS45" s="800"/>
      <c r="AT45" s="800"/>
      <c r="AU45" s="800"/>
      <c r="AV45" s="800"/>
      <c r="AW45" s="800"/>
      <c r="AX45" s="800"/>
      <c r="AY45" s="800"/>
      <c r="AZ45" s="800"/>
      <c r="BA45" s="800"/>
      <c r="BB45" s="800"/>
      <c r="BC45" s="799"/>
      <c r="BD45" s="799"/>
      <c r="BE45" s="799"/>
      <c r="BF45" s="799"/>
      <c r="BG45" s="799"/>
      <c r="BH45" s="799"/>
      <c r="BI45" s="799"/>
      <c r="BJ45" s="799"/>
      <c r="BK45" s="799"/>
      <c r="BL45" s="799"/>
      <c r="BM45" s="799"/>
      <c r="BN45" s="799"/>
      <c r="BO45" s="799"/>
      <c r="BP45" s="799"/>
      <c r="BQ45" s="799"/>
      <c r="BR45" s="799"/>
      <c r="BS45" s="799"/>
      <c r="BT45" s="799"/>
      <c r="BU45" s="799"/>
      <c r="BV45" s="799"/>
      <c r="BW45" s="799"/>
      <c r="BX45" s="799"/>
      <c r="BY45" s="799"/>
      <c r="BZ45" s="799"/>
      <c r="CA45" s="799"/>
      <c r="CB45" s="799"/>
      <c r="CC45" s="799"/>
      <c r="CD45" s="799"/>
      <c r="CE45" s="799"/>
      <c r="CF45" s="799"/>
      <c r="CG45" s="799"/>
      <c r="CH45" s="799"/>
      <c r="CI45" s="799"/>
      <c r="CJ45" s="799"/>
      <c r="CK45" s="799"/>
      <c r="CL45" s="799"/>
      <c r="CM45" s="799"/>
      <c r="CN45" s="799"/>
      <c r="CO45" s="799"/>
      <c r="CP45" s="799"/>
      <c r="CQ45" s="799"/>
      <c r="CR45" s="799"/>
      <c r="CS45" s="799"/>
      <c r="CT45" s="799"/>
      <c r="CU45" s="799"/>
      <c r="CV45" s="799"/>
      <c r="CW45" s="799"/>
      <c r="CX45" s="799"/>
      <c r="CY45" s="799"/>
      <c r="CZ45" s="799"/>
      <c r="DA45" s="799"/>
      <c r="DB45" s="799"/>
      <c r="DC45" s="799"/>
      <c r="DD45" s="799"/>
      <c r="DE45" s="799"/>
      <c r="DF45" s="799"/>
      <c r="DG45" s="799"/>
      <c r="DH45" s="799"/>
      <c r="DI45" s="799"/>
      <c r="DJ45" s="799"/>
      <c r="DK45" s="799"/>
      <c r="DL45" s="799"/>
      <c r="DM45" s="799"/>
      <c r="DN45" s="799"/>
      <c r="DO45" s="799"/>
      <c r="DP45" s="799"/>
      <c r="DQ45" s="799"/>
      <c r="DR45" s="799"/>
      <c r="DS45" s="799"/>
      <c r="DT45" s="799"/>
      <c r="DU45" s="799"/>
      <c r="DV45" s="799"/>
      <c r="DW45" s="799"/>
      <c r="DX45" s="799"/>
      <c r="DY45" s="799"/>
      <c r="DZ45" s="799"/>
      <c r="EA45" s="799"/>
      <c r="EB45" s="799"/>
      <c r="EC45" s="799"/>
      <c r="ED45" s="799"/>
      <c r="EE45" s="799"/>
      <c r="EF45" s="799"/>
      <c r="EG45" s="799"/>
      <c r="EH45" s="799"/>
      <c r="EI45" s="799"/>
      <c r="EJ45" s="799"/>
      <c r="EK45" s="799"/>
      <c r="EL45" s="799"/>
      <c r="EM45" s="799"/>
      <c r="EN45" s="799"/>
      <c r="EO45" s="799"/>
      <c r="EP45" s="799"/>
      <c r="EQ45" s="799"/>
      <c r="ER45" s="799"/>
      <c r="ES45" s="799"/>
      <c r="ET45" s="799"/>
      <c r="EU45" s="799"/>
      <c r="EV45" s="799"/>
      <c r="EW45" s="799"/>
      <c r="EX45" s="799"/>
      <c r="EY45" s="799"/>
      <c r="EZ45" s="799"/>
      <c r="FA45" s="799"/>
      <c r="FB45" s="799"/>
      <c r="FC45" s="799"/>
      <c r="FD45" s="799"/>
      <c r="FE45" s="799"/>
      <c r="FF45" s="799"/>
      <c r="FG45" s="799"/>
      <c r="FH45" s="799"/>
      <c r="FI45" s="799"/>
      <c r="FJ45" s="799"/>
      <c r="FK45" s="799"/>
      <c r="FL45" s="799"/>
      <c r="FM45" s="799"/>
      <c r="FN45" s="799"/>
      <c r="FO45" s="799"/>
      <c r="FP45" s="799"/>
      <c r="FQ45" s="799"/>
      <c r="FR45" s="799"/>
      <c r="FS45" s="799"/>
      <c r="FT45" s="799"/>
      <c r="FU45" s="799"/>
      <c r="FV45" s="799"/>
      <c r="FW45" s="799"/>
      <c r="FX45" s="799"/>
      <c r="FY45" s="799"/>
      <c r="FZ45" s="799"/>
      <c r="GA45" s="799"/>
      <c r="GB45" s="799"/>
      <c r="GC45" s="799"/>
      <c r="GD45" s="799"/>
      <c r="GE45" s="799"/>
      <c r="GF45" s="799"/>
      <c r="GG45" s="799"/>
      <c r="GH45" s="799"/>
      <c r="GI45" s="799"/>
      <c r="GJ45" s="799"/>
      <c r="GK45" s="799"/>
      <c r="GL45" s="799"/>
      <c r="GM45" s="799"/>
      <c r="GN45" s="799"/>
      <c r="GO45" s="799"/>
      <c r="GP45" s="799"/>
      <c r="GQ45" s="799"/>
      <c r="GR45" s="799"/>
      <c r="GS45" s="799"/>
      <c r="GT45" s="799"/>
      <c r="GU45" s="799"/>
      <c r="GV45" s="799"/>
      <c r="GW45" s="799"/>
      <c r="GX45" s="799"/>
      <c r="GY45" s="799"/>
      <c r="GZ45" s="799"/>
      <c r="HA45" s="799"/>
      <c r="HB45" s="799"/>
      <c r="HC45" s="799"/>
      <c r="HD45" s="799"/>
      <c r="HE45" s="799"/>
      <c r="HF45" s="799"/>
      <c r="HG45" s="799"/>
      <c r="HH45" s="799"/>
      <c r="HI45" s="799"/>
      <c r="HJ45" s="799"/>
      <c r="HK45" s="799"/>
      <c r="HL45" s="799"/>
      <c r="HM45" s="799"/>
      <c r="HN45" s="799"/>
      <c r="HO45" s="799"/>
      <c r="HP45" s="799"/>
      <c r="HQ45" s="799"/>
      <c r="HR45" s="799"/>
      <c r="HS45" s="799"/>
      <c r="HT45" s="799"/>
      <c r="HU45" s="799"/>
      <c r="HV45" s="799"/>
      <c r="HW45" s="799"/>
      <c r="HX45" s="799"/>
      <c r="HY45" s="799"/>
      <c r="HZ45" s="799"/>
      <c r="IA45" s="799"/>
      <c r="IB45" s="799"/>
    </row>
    <row r="46" customFormat="false" ht="15" hidden="true" customHeight="false" outlineLevel="0" collapsed="false">
      <c r="B46" s="909"/>
      <c r="C46" s="909"/>
      <c r="D46" s="909"/>
      <c r="E46" s="909" t="s">
        <v>736</v>
      </c>
      <c r="F46" s="910"/>
      <c r="G46" s="909" t="n">
        <f aca="false">+SUM(G33:G45)</f>
        <v>5</v>
      </c>
      <c r="H46" s="909" t="n">
        <f aca="false">+SUM(H33:H45)</f>
        <v>3</v>
      </c>
      <c r="I46" s="909" t="n">
        <f aca="false">+SUM(I33:I45)</f>
        <v>2</v>
      </c>
      <c r="J46" s="909" t="n">
        <f aca="false">+SUM(J33:J45)</f>
        <v>10</v>
      </c>
      <c r="K46" s="909" t="n">
        <f aca="false">+SUM(K33:K45)</f>
        <v>1</v>
      </c>
      <c r="L46" s="909" t="n">
        <f aca="false">+SUM(L33:L45)</f>
        <v>3</v>
      </c>
      <c r="M46" s="909" t="n">
        <f aca="false">+SUM(M33:M45)</f>
        <v>5</v>
      </c>
      <c r="N46" s="909" t="n">
        <f aca="false">+SUM(N33:N45)</f>
        <v>9</v>
      </c>
      <c r="O46" s="909" t="n">
        <f aca="false">+N46+J46</f>
        <v>19</v>
      </c>
      <c r="P46" s="909" t="n">
        <f aca="false">+SUM(P33:P45)</f>
        <v>6</v>
      </c>
      <c r="Q46" s="909" t="n">
        <f aca="false">+SUM(Q33:Q45)</f>
        <v>8</v>
      </c>
      <c r="R46" s="909" t="n">
        <f aca="false">+SUM(R33:R45)</f>
        <v>11</v>
      </c>
      <c r="S46" s="909" t="n">
        <f aca="false">+SUM(S33:S45)</f>
        <v>14</v>
      </c>
      <c r="T46" s="909" t="n">
        <f aca="false">+SUM(T33:T45)</f>
        <v>13</v>
      </c>
      <c r="U46" s="909" t="n">
        <f aca="false">+SUM(U33:U45)</f>
        <v>13</v>
      </c>
      <c r="V46" s="909" t="n">
        <f aca="false">+SUM(V33:V45)</f>
        <v>65</v>
      </c>
      <c r="W46" s="909" t="n">
        <f aca="false">+SUM(W33:W45)</f>
        <v>5</v>
      </c>
      <c r="X46" s="909" t="n">
        <f aca="false">+SUM(X33:X45)</f>
        <v>6</v>
      </c>
      <c r="Y46" s="909" t="n">
        <f aca="false">+SUM(Y33:Y45)</f>
        <v>8</v>
      </c>
      <c r="Z46" s="909" t="n">
        <f aca="false">+SUM(Z33:Z45)</f>
        <v>7</v>
      </c>
      <c r="AA46" s="909" t="n">
        <f aca="false">+SUM(AA33:AA45)</f>
        <v>9</v>
      </c>
      <c r="AB46" s="909" t="n">
        <f aca="false">+SUM(AB33:AB45)</f>
        <v>12</v>
      </c>
      <c r="AC46" s="909" t="n">
        <f aca="false">+SUM(AC33:AC45)</f>
        <v>47</v>
      </c>
      <c r="AD46" s="909" t="n">
        <f aca="false">+AC46+V46</f>
        <v>112</v>
      </c>
      <c r="AE46" s="911"/>
      <c r="AF46" s="912"/>
      <c r="AG46" s="912"/>
      <c r="AH46" s="912"/>
      <c r="AI46" s="913"/>
      <c r="AJ46" s="912"/>
      <c r="AK46" s="912"/>
      <c r="AL46" s="912"/>
      <c r="AM46" s="912"/>
      <c r="AN46" s="912"/>
      <c r="AO46" s="912"/>
      <c r="AP46" s="912"/>
      <c r="AQ46" s="912"/>
      <c r="AR46" s="912"/>
      <c r="AS46" s="914"/>
      <c r="AT46" s="914"/>
      <c r="AU46" s="914"/>
      <c r="AV46" s="914"/>
      <c r="AW46" s="914"/>
      <c r="AX46" s="914"/>
      <c r="AY46" s="914"/>
      <c r="AZ46" s="914"/>
      <c r="BA46" s="914"/>
      <c r="BB46" s="914"/>
      <c r="BC46" s="912"/>
      <c r="BD46" s="912"/>
      <c r="BE46" s="912"/>
      <c r="BF46" s="912"/>
      <c r="BG46" s="912"/>
      <c r="BH46" s="912"/>
      <c r="BI46" s="912"/>
      <c r="BJ46" s="912"/>
      <c r="BK46" s="912"/>
      <c r="BL46" s="912"/>
      <c r="BM46" s="912"/>
      <c r="BN46" s="912"/>
      <c r="BO46" s="912"/>
      <c r="BP46" s="912"/>
      <c r="BQ46" s="912"/>
      <c r="BR46" s="912"/>
      <c r="BS46" s="912"/>
      <c r="BT46" s="912"/>
      <c r="BU46" s="912"/>
      <c r="BV46" s="912"/>
      <c r="BW46" s="912"/>
      <c r="BX46" s="912"/>
      <c r="BY46" s="912"/>
      <c r="BZ46" s="912"/>
      <c r="CA46" s="912"/>
      <c r="CB46" s="912"/>
      <c r="CC46" s="912"/>
      <c r="CD46" s="912"/>
      <c r="CE46" s="912"/>
      <c r="CF46" s="912"/>
      <c r="CG46" s="912"/>
      <c r="CH46" s="912"/>
      <c r="CI46" s="912"/>
      <c r="CJ46" s="912"/>
      <c r="CK46" s="912"/>
      <c r="CL46" s="912"/>
      <c r="CM46" s="912"/>
      <c r="CN46" s="912"/>
      <c r="CO46" s="912"/>
      <c r="CP46" s="912"/>
      <c r="CQ46" s="912"/>
      <c r="CR46" s="912"/>
      <c r="CS46" s="912"/>
      <c r="CT46" s="912"/>
      <c r="CU46" s="912"/>
      <c r="CV46" s="912"/>
      <c r="CW46" s="912"/>
      <c r="CX46" s="912"/>
      <c r="CY46" s="912"/>
      <c r="CZ46" s="912"/>
      <c r="DA46" s="912"/>
      <c r="DB46" s="912"/>
      <c r="DC46" s="912"/>
      <c r="DD46" s="912"/>
      <c r="DE46" s="912"/>
      <c r="DF46" s="912"/>
      <c r="DG46" s="912"/>
      <c r="DH46" s="912"/>
      <c r="DI46" s="912"/>
      <c r="DJ46" s="912"/>
      <c r="DK46" s="912"/>
      <c r="DL46" s="912"/>
      <c r="DM46" s="912"/>
      <c r="DN46" s="912"/>
      <c r="DO46" s="912"/>
      <c r="DP46" s="912"/>
      <c r="DQ46" s="912"/>
      <c r="DR46" s="912"/>
      <c r="DS46" s="912"/>
      <c r="DT46" s="912"/>
      <c r="DU46" s="912"/>
      <c r="DV46" s="912"/>
      <c r="DW46" s="912"/>
      <c r="DX46" s="912"/>
      <c r="DY46" s="912"/>
      <c r="DZ46" s="912"/>
      <c r="EA46" s="912"/>
      <c r="EB46" s="912"/>
      <c r="EC46" s="912"/>
      <c r="ED46" s="912"/>
      <c r="EE46" s="912"/>
      <c r="EF46" s="912"/>
      <c r="EG46" s="912"/>
      <c r="EH46" s="912"/>
      <c r="EI46" s="912"/>
      <c r="EJ46" s="912"/>
      <c r="EK46" s="912"/>
      <c r="EL46" s="912"/>
      <c r="EM46" s="912"/>
      <c r="EN46" s="912"/>
      <c r="EO46" s="912"/>
      <c r="EP46" s="912"/>
      <c r="EQ46" s="912"/>
      <c r="ER46" s="912"/>
      <c r="ES46" s="912"/>
      <c r="ET46" s="912"/>
      <c r="EU46" s="912"/>
      <c r="EV46" s="912"/>
      <c r="EW46" s="912"/>
      <c r="EX46" s="912"/>
      <c r="EY46" s="912"/>
      <c r="EZ46" s="912"/>
      <c r="FA46" s="912"/>
      <c r="FB46" s="912"/>
      <c r="FC46" s="912"/>
      <c r="FD46" s="912"/>
      <c r="FE46" s="912"/>
      <c r="FF46" s="912"/>
      <c r="FG46" s="912"/>
      <c r="FH46" s="912"/>
      <c r="FI46" s="912"/>
      <c r="FJ46" s="912"/>
      <c r="FK46" s="912"/>
      <c r="FL46" s="912"/>
      <c r="FM46" s="912"/>
      <c r="FN46" s="912"/>
      <c r="FO46" s="912"/>
      <c r="FP46" s="912"/>
      <c r="FQ46" s="912"/>
      <c r="FR46" s="912"/>
      <c r="FS46" s="912"/>
      <c r="FT46" s="912"/>
      <c r="FU46" s="912"/>
      <c r="FV46" s="912"/>
      <c r="FW46" s="912"/>
      <c r="FX46" s="912"/>
      <c r="FY46" s="912"/>
      <c r="FZ46" s="912"/>
      <c r="GA46" s="912"/>
      <c r="GB46" s="912"/>
      <c r="GC46" s="912"/>
      <c r="GD46" s="912"/>
      <c r="GE46" s="912"/>
      <c r="GF46" s="912"/>
      <c r="GG46" s="912"/>
      <c r="GH46" s="912"/>
      <c r="GI46" s="912"/>
      <c r="GJ46" s="912"/>
      <c r="GK46" s="912"/>
      <c r="GL46" s="912"/>
      <c r="GM46" s="912"/>
      <c r="GN46" s="912"/>
      <c r="GO46" s="912"/>
      <c r="GP46" s="912"/>
      <c r="GQ46" s="912"/>
      <c r="GR46" s="912"/>
      <c r="GS46" s="912"/>
      <c r="GT46" s="912"/>
      <c r="GU46" s="912"/>
      <c r="GV46" s="912"/>
      <c r="GW46" s="912"/>
      <c r="GX46" s="912"/>
      <c r="GY46" s="912"/>
      <c r="GZ46" s="912"/>
      <c r="HA46" s="912"/>
      <c r="HB46" s="912"/>
      <c r="HC46" s="912"/>
      <c r="HD46" s="912"/>
      <c r="HE46" s="912"/>
      <c r="HF46" s="912"/>
      <c r="HG46" s="912"/>
      <c r="HH46" s="912"/>
      <c r="HI46" s="912"/>
      <c r="HJ46" s="912"/>
      <c r="HK46" s="912"/>
      <c r="HL46" s="912"/>
      <c r="HM46" s="912"/>
      <c r="HN46" s="912"/>
      <c r="HO46" s="912"/>
      <c r="HP46" s="912"/>
      <c r="HQ46" s="912"/>
      <c r="HR46" s="912"/>
      <c r="HS46" s="912"/>
      <c r="HT46" s="912"/>
      <c r="HU46" s="912"/>
      <c r="HV46" s="912"/>
      <c r="HW46" s="912"/>
      <c r="HX46" s="912"/>
      <c r="HY46" s="912"/>
      <c r="HZ46" s="912"/>
      <c r="IA46" s="912"/>
      <c r="IB46" s="912"/>
    </row>
    <row r="47" customFormat="false" ht="15" hidden="true" customHeight="false" outlineLevel="0" collapsed="false">
      <c r="B47" s="915"/>
      <c r="C47" s="915"/>
      <c r="D47" s="915"/>
      <c r="E47" s="916" t="s">
        <v>737</v>
      </c>
      <c r="F47" s="917"/>
      <c r="G47" s="917"/>
      <c r="H47" s="917"/>
      <c r="I47" s="917"/>
      <c r="J47" s="918" t="n">
        <f aca="false">+J46/O46</f>
        <v>0.526315789473684</v>
      </c>
      <c r="K47" s="919"/>
      <c r="L47" s="919"/>
      <c r="M47" s="919"/>
      <c r="N47" s="918" t="n">
        <f aca="false">+N46/O46</f>
        <v>0.473684210526316</v>
      </c>
      <c r="O47" s="920" t="n">
        <f aca="false">+N47+J47</f>
        <v>1</v>
      </c>
      <c r="P47" s="919"/>
      <c r="Q47" s="917"/>
      <c r="R47" s="917"/>
      <c r="S47" s="917"/>
      <c r="T47" s="917"/>
      <c r="U47" s="917"/>
      <c r="V47" s="921" t="n">
        <f aca="false">+V46/AD46</f>
        <v>0.580357142857143</v>
      </c>
      <c r="W47" s="922"/>
      <c r="X47" s="922"/>
      <c r="Y47" s="922"/>
      <c r="Z47" s="922"/>
      <c r="AA47" s="922"/>
      <c r="AB47" s="922"/>
      <c r="AC47" s="921" t="n">
        <f aca="false">+AC46/AD46</f>
        <v>0.419642857142857</v>
      </c>
      <c r="AD47" s="920" t="n">
        <f aca="false">+AC47+V47</f>
        <v>1</v>
      </c>
      <c r="AE47" s="917"/>
      <c r="AF47" s="923"/>
      <c r="AG47" s="923"/>
      <c r="AH47" s="923"/>
      <c r="AJ47" s="923"/>
      <c r="AK47" s="923"/>
      <c r="AL47" s="923"/>
      <c r="AM47" s="923"/>
      <c r="AN47" s="923"/>
      <c r="AO47" s="923"/>
      <c r="AP47" s="923"/>
      <c r="AQ47" s="923"/>
      <c r="AR47" s="923"/>
      <c r="AS47" s="917"/>
      <c r="AT47" s="917"/>
      <c r="AU47" s="917"/>
      <c r="AV47" s="917"/>
      <c r="AW47" s="917"/>
      <c r="AX47" s="917"/>
      <c r="AY47" s="917"/>
      <c r="AZ47" s="917"/>
      <c r="BA47" s="917"/>
      <c r="BB47" s="917"/>
      <c r="BC47" s="923"/>
      <c r="BD47" s="923"/>
      <c r="BE47" s="923"/>
      <c r="BF47" s="923"/>
      <c r="BG47" s="923"/>
      <c r="BH47" s="923"/>
      <c r="BI47" s="923"/>
      <c r="BJ47" s="923"/>
      <c r="BK47" s="923"/>
      <c r="BL47" s="923"/>
      <c r="BM47" s="923"/>
      <c r="BN47" s="923"/>
      <c r="BO47" s="923"/>
      <c r="BP47" s="923"/>
      <c r="BQ47" s="923"/>
      <c r="BR47" s="923"/>
      <c r="BS47" s="923"/>
      <c r="BT47" s="923"/>
      <c r="BU47" s="923"/>
      <c r="BV47" s="923"/>
      <c r="BW47" s="923"/>
      <c r="BX47" s="923"/>
      <c r="BY47" s="923"/>
      <c r="BZ47" s="923"/>
      <c r="CA47" s="923"/>
      <c r="CB47" s="923"/>
      <c r="CC47" s="923"/>
      <c r="CD47" s="923"/>
      <c r="CE47" s="923"/>
      <c r="CF47" s="923"/>
      <c r="CG47" s="923"/>
      <c r="CH47" s="923"/>
      <c r="CI47" s="923"/>
      <c r="CJ47" s="923"/>
      <c r="CK47" s="923"/>
      <c r="CL47" s="923"/>
      <c r="CM47" s="923"/>
      <c r="CN47" s="923"/>
      <c r="CO47" s="923"/>
      <c r="CP47" s="923"/>
      <c r="CQ47" s="923"/>
      <c r="CR47" s="923"/>
      <c r="CS47" s="923"/>
      <c r="CT47" s="923"/>
      <c r="CU47" s="923"/>
      <c r="CV47" s="923"/>
      <c r="CW47" s="923"/>
      <c r="CX47" s="923"/>
      <c r="CY47" s="923"/>
      <c r="CZ47" s="923"/>
      <c r="DA47" s="923"/>
      <c r="DB47" s="923"/>
      <c r="DC47" s="923"/>
      <c r="DD47" s="923"/>
      <c r="DE47" s="923"/>
      <c r="DF47" s="923"/>
      <c r="DG47" s="923"/>
      <c r="DH47" s="923"/>
      <c r="DI47" s="923"/>
      <c r="DJ47" s="923"/>
      <c r="DK47" s="923"/>
      <c r="DL47" s="923"/>
      <c r="DM47" s="923"/>
      <c r="DN47" s="923"/>
      <c r="DO47" s="923"/>
      <c r="DP47" s="923"/>
      <c r="DQ47" s="923"/>
      <c r="DR47" s="923"/>
      <c r="DS47" s="923"/>
      <c r="DT47" s="923"/>
      <c r="DU47" s="923"/>
      <c r="DV47" s="923"/>
      <c r="DW47" s="923"/>
      <c r="DX47" s="923"/>
      <c r="DY47" s="923"/>
      <c r="DZ47" s="923"/>
      <c r="EA47" s="923"/>
      <c r="EB47" s="923"/>
      <c r="EC47" s="923"/>
      <c r="ED47" s="923"/>
      <c r="EE47" s="923"/>
      <c r="EF47" s="923"/>
      <c r="EG47" s="923"/>
      <c r="EH47" s="923"/>
      <c r="EI47" s="923"/>
      <c r="EJ47" s="923"/>
      <c r="EK47" s="923"/>
      <c r="EL47" s="923"/>
      <c r="EM47" s="923"/>
      <c r="EN47" s="923"/>
      <c r="EO47" s="923"/>
      <c r="EP47" s="923"/>
      <c r="EQ47" s="923"/>
      <c r="ER47" s="923"/>
      <c r="ES47" s="923"/>
      <c r="ET47" s="923"/>
      <c r="EU47" s="923"/>
      <c r="EV47" s="923"/>
      <c r="EW47" s="923"/>
      <c r="EX47" s="923"/>
      <c r="EY47" s="923"/>
      <c r="EZ47" s="923"/>
      <c r="FA47" s="923"/>
      <c r="FB47" s="923"/>
      <c r="FC47" s="923"/>
      <c r="FD47" s="923"/>
      <c r="FE47" s="923"/>
      <c r="FF47" s="923"/>
      <c r="FG47" s="923"/>
      <c r="FH47" s="923"/>
      <c r="FI47" s="923"/>
      <c r="FJ47" s="923"/>
      <c r="FK47" s="923"/>
      <c r="FL47" s="923"/>
      <c r="FM47" s="923"/>
      <c r="FN47" s="923"/>
      <c r="FO47" s="923"/>
      <c r="FP47" s="923"/>
      <c r="FQ47" s="923"/>
      <c r="FR47" s="923"/>
      <c r="FS47" s="923"/>
      <c r="FT47" s="923"/>
      <c r="FU47" s="923"/>
      <c r="FV47" s="923"/>
      <c r="FW47" s="923"/>
      <c r="FX47" s="923"/>
      <c r="FY47" s="923"/>
      <c r="FZ47" s="923"/>
      <c r="GA47" s="923"/>
      <c r="GB47" s="923"/>
      <c r="GC47" s="923"/>
      <c r="GD47" s="923"/>
      <c r="GE47" s="923"/>
      <c r="GF47" s="923"/>
      <c r="GG47" s="923"/>
      <c r="GH47" s="923"/>
      <c r="GI47" s="923"/>
      <c r="GJ47" s="923"/>
      <c r="GK47" s="923"/>
      <c r="GL47" s="923"/>
      <c r="GM47" s="923"/>
      <c r="GN47" s="923"/>
      <c r="GO47" s="923"/>
      <c r="GP47" s="923"/>
      <c r="GQ47" s="923"/>
      <c r="GR47" s="923"/>
      <c r="GS47" s="923"/>
      <c r="GT47" s="923"/>
      <c r="GU47" s="923"/>
      <c r="GV47" s="923"/>
      <c r="GW47" s="923"/>
      <c r="GX47" s="923"/>
      <c r="GY47" s="923"/>
      <c r="GZ47" s="923"/>
      <c r="HA47" s="923"/>
      <c r="HB47" s="923"/>
      <c r="HC47" s="923"/>
      <c r="HD47" s="923"/>
      <c r="HE47" s="923"/>
      <c r="HF47" s="923"/>
      <c r="HG47" s="923"/>
      <c r="HH47" s="923"/>
      <c r="HI47" s="923"/>
      <c r="HJ47" s="923"/>
      <c r="HK47" s="923"/>
      <c r="HL47" s="923"/>
      <c r="HM47" s="923"/>
      <c r="HN47" s="923"/>
      <c r="HO47" s="923"/>
      <c r="HP47" s="923"/>
      <c r="HQ47" s="923"/>
      <c r="HR47" s="923"/>
      <c r="HS47" s="923"/>
      <c r="HT47" s="923"/>
      <c r="HU47" s="923"/>
      <c r="HV47" s="923"/>
      <c r="HW47" s="923"/>
      <c r="HX47" s="923"/>
      <c r="HY47" s="923"/>
      <c r="HZ47" s="923"/>
      <c r="IA47" s="923"/>
      <c r="IB47" s="923"/>
    </row>
    <row r="48" customFormat="false" ht="13.8" hidden="true" customHeight="false" outlineLevel="0" collapsed="false">
      <c r="B48" s="799"/>
      <c r="C48" s="799"/>
      <c r="D48" s="799"/>
      <c r="E48" s="799"/>
      <c r="F48" s="800"/>
      <c r="G48" s="799"/>
      <c r="H48" s="799"/>
      <c r="I48" s="799"/>
      <c r="J48" s="799"/>
      <c r="K48" s="799"/>
      <c r="L48" s="799"/>
      <c r="M48" s="799"/>
      <c r="N48" s="799"/>
      <c r="O48" s="799"/>
      <c r="P48" s="799"/>
      <c r="Q48" s="799"/>
      <c r="R48" s="799"/>
      <c r="S48" s="799"/>
      <c r="T48" s="799"/>
      <c r="U48" s="799"/>
      <c r="V48" s="799"/>
      <c r="W48" s="799"/>
      <c r="X48" s="799"/>
      <c r="Y48" s="799"/>
      <c r="Z48" s="799"/>
      <c r="AA48" s="799"/>
      <c r="AB48" s="799"/>
      <c r="AC48" s="799"/>
      <c r="AD48" s="799"/>
      <c r="AE48" s="799"/>
      <c r="AF48" s="799"/>
      <c r="AG48" s="799"/>
      <c r="AH48" s="799"/>
      <c r="AI48" s="801"/>
      <c r="AJ48" s="799"/>
      <c r="AK48" s="799"/>
      <c r="AL48" s="799"/>
      <c r="AM48" s="799"/>
      <c r="AN48" s="799"/>
      <c r="AO48" s="799"/>
      <c r="AP48" s="799"/>
      <c r="AQ48" s="799"/>
      <c r="AR48" s="799"/>
      <c r="AS48" s="800"/>
      <c r="AT48" s="800"/>
      <c r="AU48" s="800"/>
      <c r="AV48" s="800"/>
      <c r="AW48" s="800"/>
      <c r="AX48" s="800"/>
      <c r="AY48" s="800"/>
      <c r="AZ48" s="800"/>
      <c r="BA48" s="800"/>
      <c r="BB48" s="800"/>
      <c r="BC48" s="799"/>
      <c r="BD48" s="799"/>
      <c r="BE48" s="799"/>
      <c r="BF48" s="799"/>
      <c r="BG48" s="799"/>
      <c r="BH48" s="799"/>
      <c r="BI48" s="799"/>
      <c r="BJ48" s="799"/>
      <c r="BK48" s="799"/>
      <c r="BL48" s="799"/>
      <c r="BM48" s="799"/>
      <c r="BN48" s="799"/>
      <c r="BO48" s="799"/>
      <c r="BP48" s="799"/>
      <c r="BQ48" s="799"/>
      <c r="BR48" s="799"/>
      <c r="BS48" s="799"/>
      <c r="BT48" s="799"/>
      <c r="BU48" s="799"/>
      <c r="BV48" s="799"/>
      <c r="BW48" s="799"/>
      <c r="BX48" s="799"/>
      <c r="BY48" s="799"/>
      <c r="BZ48" s="799"/>
      <c r="CA48" s="799"/>
      <c r="CB48" s="799"/>
      <c r="CC48" s="799"/>
      <c r="CD48" s="799"/>
      <c r="CE48" s="799"/>
      <c r="CF48" s="799"/>
      <c r="CG48" s="799"/>
      <c r="CH48" s="799"/>
      <c r="CI48" s="799"/>
      <c r="CJ48" s="799"/>
      <c r="CK48" s="799"/>
      <c r="CL48" s="799"/>
      <c r="CM48" s="799"/>
      <c r="CN48" s="799"/>
      <c r="CO48" s="799"/>
      <c r="CP48" s="799"/>
      <c r="CQ48" s="799"/>
      <c r="CR48" s="799"/>
      <c r="CS48" s="799"/>
      <c r="CT48" s="799"/>
      <c r="CU48" s="799"/>
      <c r="CV48" s="799"/>
      <c r="CW48" s="799"/>
      <c r="CX48" s="799"/>
      <c r="CY48" s="799"/>
      <c r="CZ48" s="799"/>
      <c r="DA48" s="799"/>
      <c r="DB48" s="799"/>
      <c r="DC48" s="799"/>
      <c r="DD48" s="799"/>
      <c r="DE48" s="799"/>
      <c r="DF48" s="799"/>
      <c r="DG48" s="799"/>
      <c r="DH48" s="799"/>
      <c r="DI48" s="799"/>
      <c r="DJ48" s="799"/>
      <c r="DK48" s="799"/>
      <c r="DL48" s="799"/>
      <c r="DM48" s="799"/>
      <c r="DN48" s="799"/>
      <c r="DO48" s="799"/>
      <c r="DP48" s="799"/>
      <c r="DQ48" s="799"/>
      <c r="DR48" s="799"/>
      <c r="DS48" s="799"/>
      <c r="DT48" s="799"/>
      <c r="DU48" s="799"/>
      <c r="DV48" s="799"/>
      <c r="DW48" s="799"/>
      <c r="DX48" s="799"/>
      <c r="DY48" s="799"/>
      <c r="DZ48" s="799"/>
      <c r="EA48" s="799"/>
      <c r="EB48" s="799"/>
      <c r="EC48" s="799"/>
      <c r="ED48" s="799"/>
      <c r="EE48" s="799"/>
      <c r="EF48" s="799"/>
      <c r="EG48" s="799"/>
      <c r="EH48" s="799"/>
      <c r="EI48" s="799"/>
      <c r="EJ48" s="799"/>
      <c r="EK48" s="799"/>
      <c r="EL48" s="799"/>
      <c r="EM48" s="799"/>
      <c r="EN48" s="799"/>
      <c r="EO48" s="799"/>
      <c r="EP48" s="799"/>
      <c r="EQ48" s="799"/>
      <c r="ER48" s="799"/>
      <c r="ES48" s="799"/>
      <c r="ET48" s="799"/>
      <c r="EU48" s="799"/>
      <c r="EV48" s="799"/>
      <c r="EW48" s="799"/>
      <c r="EX48" s="799"/>
      <c r="EY48" s="799"/>
      <c r="EZ48" s="799"/>
      <c r="FA48" s="799"/>
      <c r="FB48" s="799"/>
      <c r="FC48" s="799"/>
      <c r="FD48" s="799"/>
      <c r="FE48" s="799"/>
      <c r="FF48" s="799"/>
      <c r="FG48" s="799"/>
      <c r="FH48" s="799"/>
      <c r="FI48" s="799"/>
      <c r="FJ48" s="799"/>
      <c r="FK48" s="799"/>
      <c r="FL48" s="799"/>
      <c r="FM48" s="799"/>
      <c r="FN48" s="799"/>
      <c r="FO48" s="799"/>
      <c r="FP48" s="799"/>
      <c r="FQ48" s="799"/>
      <c r="FR48" s="799"/>
      <c r="FS48" s="799"/>
      <c r="FT48" s="799"/>
      <c r="FU48" s="799"/>
      <c r="FV48" s="799"/>
      <c r="FW48" s="799"/>
      <c r="FX48" s="799"/>
      <c r="FY48" s="799"/>
      <c r="FZ48" s="799"/>
      <c r="GA48" s="799"/>
      <c r="GB48" s="799"/>
      <c r="GC48" s="799"/>
      <c r="GD48" s="799"/>
      <c r="GE48" s="799"/>
      <c r="GF48" s="799"/>
      <c r="GG48" s="799"/>
      <c r="GH48" s="799"/>
      <c r="GI48" s="799"/>
      <c r="GJ48" s="799"/>
      <c r="GK48" s="799"/>
      <c r="GL48" s="799"/>
      <c r="GM48" s="799"/>
      <c r="GN48" s="799"/>
      <c r="GO48" s="799"/>
      <c r="GP48" s="799"/>
      <c r="GQ48" s="799"/>
      <c r="GR48" s="799"/>
      <c r="GS48" s="799"/>
      <c r="GT48" s="799"/>
      <c r="GU48" s="799"/>
      <c r="GV48" s="799"/>
      <c r="GW48" s="799"/>
      <c r="GX48" s="799"/>
      <c r="GY48" s="799"/>
      <c r="GZ48" s="799"/>
      <c r="HA48" s="799"/>
      <c r="HB48" s="799"/>
      <c r="HC48" s="799"/>
      <c r="HD48" s="799"/>
      <c r="HE48" s="799"/>
      <c r="HF48" s="799"/>
      <c r="HG48" s="799"/>
      <c r="HH48" s="799"/>
      <c r="HI48" s="799"/>
      <c r="HJ48" s="799"/>
      <c r="HK48" s="799"/>
      <c r="HL48" s="799"/>
      <c r="HM48" s="799"/>
      <c r="HN48" s="799"/>
      <c r="HO48" s="799"/>
      <c r="HP48" s="799"/>
      <c r="HQ48" s="799"/>
      <c r="HR48" s="799"/>
      <c r="HS48" s="799"/>
      <c r="HT48" s="799"/>
      <c r="HU48" s="799"/>
      <c r="HV48" s="799"/>
      <c r="HW48" s="799"/>
      <c r="HX48" s="799"/>
      <c r="HY48" s="799"/>
      <c r="HZ48" s="799"/>
      <c r="IA48" s="799"/>
      <c r="IB48" s="799"/>
    </row>
    <row r="49" customFormat="false" ht="13.8" hidden="false" customHeight="false" outlineLevel="0" collapsed="false">
      <c r="B49" s="924" t="s">
        <v>738</v>
      </c>
      <c r="C49" s="925" t="s">
        <v>739</v>
      </c>
      <c r="D49" s="926"/>
      <c r="E49" s="926"/>
      <c r="F49" s="926"/>
      <c r="G49" s="926"/>
      <c r="H49" s="926"/>
      <c r="I49" s="926"/>
      <c r="J49" s="926"/>
      <c r="K49" s="926"/>
      <c r="L49" s="926"/>
      <c r="M49" s="927"/>
      <c r="N49" s="799"/>
      <c r="O49" s="799"/>
      <c r="P49" s="799"/>
      <c r="Q49" s="799"/>
      <c r="R49" s="799"/>
      <c r="S49" s="799"/>
      <c r="T49" s="799"/>
      <c r="U49" s="799"/>
      <c r="V49" s="799"/>
      <c r="W49" s="799"/>
      <c r="X49" s="799"/>
      <c r="Y49" s="799"/>
      <c r="Z49" s="799"/>
      <c r="AA49" s="799"/>
      <c r="AB49" s="799"/>
      <c r="AC49" s="799"/>
      <c r="AD49" s="799"/>
      <c r="AE49" s="799"/>
      <c r="AF49" s="799"/>
      <c r="AG49" s="799"/>
      <c r="AH49" s="799"/>
      <c r="AI49" s="801"/>
      <c r="AJ49" s="799"/>
      <c r="AK49" s="799"/>
      <c r="AL49" s="799"/>
      <c r="AM49" s="799"/>
      <c r="AN49" s="799"/>
      <c r="AO49" s="799"/>
      <c r="AP49" s="799"/>
      <c r="AQ49" s="799"/>
      <c r="AR49" s="799"/>
      <c r="AS49" s="800"/>
      <c r="AT49" s="800"/>
      <c r="AU49" s="800"/>
      <c r="AV49" s="800"/>
      <c r="AW49" s="800"/>
      <c r="AX49" s="800"/>
      <c r="AY49" s="800"/>
      <c r="AZ49" s="800"/>
      <c r="BA49" s="800"/>
      <c r="BB49" s="800"/>
      <c r="BC49" s="799"/>
      <c r="BD49" s="799"/>
      <c r="BE49" s="799"/>
      <c r="BF49" s="799"/>
      <c r="BG49" s="799"/>
      <c r="BH49" s="799"/>
      <c r="BI49" s="799"/>
      <c r="BJ49" s="799"/>
      <c r="BK49" s="799"/>
      <c r="BL49" s="799"/>
      <c r="BM49" s="799"/>
      <c r="BN49" s="799"/>
      <c r="BO49" s="799"/>
      <c r="BP49" s="799"/>
      <c r="BQ49" s="799"/>
      <c r="BR49" s="799"/>
      <c r="BS49" s="799"/>
      <c r="BT49" s="799"/>
      <c r="BU49" s="799"/>
      <c r="BV49" s="799"/>
      <c r="BW49" s="799"/>
      <c r="BX49" s="799"/>
      <c r="BY49" s="799"/>
      <c r="BZ49" s="799"/>
      <c r="CA49" s="799"/>
      <c r="CB49" s="799"/>
      <c r="CC49" s="799"/>
      <c r="CD49" s="799"/>
      <c r="CE49" s="799"/>
      <c r="CF49" s="799"/>
      <c r="CG49" s="799"/>
      <c r="CH49" s="799"/>
      <c r="CI49" s="799"/>
      <c r="CJ49" s="799"/>
      <c r="CK49" s="799"/>
      <c r="CL49" s="799"/>
      <c r="CM49" s="799"/>
      <c r="CN49" s="799"/>
      <c r="CO49" s="799"/>
      <c r="CP49" s="799"/>
      <c r="CQ49" s="799"/>
      <c r="CR49" s="799"/>
      <c r="CS49" s="799"/>
      <c r="CT49" s="799"/>
      <c r="CU49" s="799"/>
      <c r="CV49" s="799"/>
      <c r="CW49" s="799"/>
      <c r="CX49" s="799"/>
      <c r="CY49" s="799"/>
      <c r="CZ49" s="799"/>
      <c r="DA49" s="799"/>
      <c r="DB49" s="799"/>
      <c r="DC49" s="799"/>
      <c r="DD49" s="799"/>
      <c r="DE49" s="799"/>
      <c r="DF49" s="799"/>
      <c r="DG49" s="799"/>
      <c r="DH49" s="799"/>
      <c r="DI49" s="799"/>
      <c r="DJ49" s="799"/>
      <c r="DK49" s="799"/>
      <c r="DL49" s="799"/>
      <c r="DM49" s="799"/>
      <c r="DN49" s="799"/>
      <c r="DO49" s="799"/>
      <c r="DP49" s="799"/>
      <c r="DQ49" s="799"/>
      <c r="DR49" s="799"/>
      <c r="DS49" s="799"/>
      <c r="DT49" s="799"/>
      <c r="DU49" s="799"/>
      <c r="DV49" s="799"/>
      <c r="DW49" s="799"/>
      <c r="DX49" s="799"/>
      <c r="DY49" s="799"/>
      <c r="DZ49" s="799"/>
      <c r="EA49" s="799"/>
      <c r="EB49" s="799"/>
      <c r="EC49" s="799"/>
      <c r="ED49" s="799"/>
      <c r="EE49" s="799"/>
      <c r="EF49" s="799"/>
      <c r="EG49" s="799"/>
      <c r="EH49" s="799"/>
      <c r="EI49" s="799"/>
      <c r="EJ49" s="799"/>
      <c r="EK49" s="799"/>
      <c r="EL49" s="799"/>
      <c r="EM49" s="799"/>
      <c r="EN49" s="799"/>
      <c r="EO49" s="799"/>
      <c r="EP49" s="799"/>
      <c r="EQ49" s="799"/>
      <c r="ER49" s="799"/>
      <c r="ES49" s="799"/>
      <c r="ET49" s="799"/>
      <c r="EU49" s="799"/>
      <c r="EV49" s="799"/>
      <c r="EW49" s="799"/>
      <c r="EX49" s="799"/>
      <c r="EY49" s="799"/>
      <c r="EZ49" s="799"/>
      <c r="FA49" s="799"/>
      <c r="FB49" s="799"/>
      <c r="FC49" s="799"/>
      <c r="FD49" s="799"/>
      <c r="FE49" s="799"/>
      <c r="FF49" s="799"/>
      <c r="FG49" s="799"/>
      <c r="FH49" s="799"/>
      <c r="FI49" s="799"/>
      <c r="FJ49" s="799"/>
      <c r="FK49" s="799"/>
      <c r="FL49" s="799"/>
      <c r="FM49" s="799"/>
      <c r="FN49" s="799"/>
      <c r="FO49" s="799"/>
      <c r="FP49" s="799"/>
      <c r="FQ49" s="799"/>
      <c r="FR49" s="799"/>
      <c r="FS49" s="799"/>
      <c r="FT49" s="799"/>
      <c r="FU49" s="799"/>
      <c r="FV49" s="799"/>
      <c r="FW49" s="799"/>
      <c r="FX49" s="799"/>
      <c r="FY49" s="799"/>
      <c r="FZ49" s="799"/>
      <c r="GA49" s="799"/>
      <c r="GB49" s="799"/>
      <c r="GC49" s="799"/>
      <c r="GD49" s="799"/>
      <c r="GE49" s="799"/>
      <c r="GF49" s="799"/>
      <c r="GG49" s="799"/>
      <c r="GH49" s="799"/>
      <c r="GI49" s="799"/>
      <c r="GJ49" s="799"/>
      <c r="GK49" s="799"/>
      <c r="GL49" s="799"/>
      <c r="GM49" s="799"/>
      <c r="GN49" s="799"/>
      <c r="GO49" s="799"/>
      <c r="GP49" s="799"/>
      <c r="GQ49" s="799"/>
      <c r="GR49" s="799"/>
      <c r="GS49" s="799"/>
      <c r="GT49" s="799"/>
      <c r="GU49" s="799"/>
      <c r="GV49" s="799"/>
      <c r="GW49" s="799"/>
      <c r="GX49" s="799"/>
      <c r="GY49" s="799"/>
      <c r="GZ49" s="799"/>
      <c r="HA49" s="799"/>
      <c r="HB49" s="799"/>
      <c r="HC49" s="799"/>
      <c r="HD49" s="799"/>
      <c r="HE49" s="799"/>
      <c r="HF49" s="799"/>
      <c r="HG49" s="799"/>
      <c r="HH49" s="799"/>
      <c r="HI49" s="799"/>
      <c r="HJ49" s="799"/>
      <c r="HK49" s="799"/>
      <c r="HL49" s="799"/>
      <c r="HM49" s="799"/>
      <c r="HN49" s="799"/>
      <c r="HO49" s="799"/>
      <c r="HP49" s="799"/>
      <c r="HQ49" s="799"/>
      <c r="HR49" s="799"/>
      <c r="HS49" s="799"/>
      <c r="HT49" s="799"/>
      <c r="HU49" s="799"/>
      <c r="HV49" s="799"/>
      <c r="HW49" s="799"/>
      <c r="HX49" s="799"/>
      <c r="HY49" s="799"/>
      <c r="HZ49" s="799"/>
      <c r="IA49" s="799"/>
      <c r="IB49" s="799"/>
    </row>
    <row r="50" s="815" customFormat="true" ht="13.8" hidden="false" customHeight="false" outlineLevel="0" collapsed="false">
      <c r="B50" s="928"/>
      <c r="C50" s="929" t="s">
        <v>740</v>
      </c>
      <c r="D50" s="930" t="s">
        <v>741</v>
      </c>
      <c r="E50" s="931" t="s">
        <v>742</v>
      </c>
      <c r="F50" s="931"/>
      <c r="G50" s="931"/>
      <c r="H50" s="931"/>
      <c r="I50" s="931"/>
      <c r="J50" s="931"/>
      <c r="K50" s="931"/>
      <c r="L50" s="931"/>
      <c r="M50" s="932"/>
      <c r="Y50" s="799"/>
      <c r="Z50" s="799"/>
      <c r="AA50" s="799"/>
      <c r="AB50" s="799"/>
      <c r="AC50" s="799"/>
      <c r="AD50" s="799"/>
      <c r="AE50" s="799"/>
      <c r="AF50" s="799"/>
      <c r="AG50" s="799"/>
      <c r="AH50" s="799"/>
      <c r="AI50" s="799"/>
      <c r="AJ50" s="799"/>
      <c r="AK50" s="799"/>
      <c r="AL50" s="799"/>
      <c r="AM50" s="799"/>
      <c r="AN50" s="799"/>
      <c r="AO50" s="799"/>
      <c r="AP50" s="799"/>
      <c r="AQ50" s="799"/>
      <c r="AR50" s="799"/>
      <c r="AS50" s="800"/>
      <c r="AT50" s="800"/>
      <c r="AU50" s="800"/>
      <c r="AV50" s="800"/>
      <c r="AW50" s="800"/>
      <c r="AX50" s="800"/>
      <c r="AY50" s="800"/>
      <c r="AZ50" s="800"/>
      <c r="BA50" s="800"/>
      <c r="BB50" s="800"/>
      <c r="BC50" s="799"/>
      <c r="BD50" s="799"/>
      <c r="BE50" s="799"/>
      <c r="BF50" s="799"/>
      <c r="BG50" s="799"/>
      <c r="BH50" s="799"/>
      <c r="BI50" s="799"/>
      <c r="BJ50" s="799"/>
      <c r="BK50" s="799"/>
      <c r="BL50" s="799"/>
      <c r="BM50" s="799"/>
      <c r="BN50" s="799"/>
      <c r="BO50" s="799"/>
      <c r="BP50" s="799"/>
      <c r="BQ50" s="799"/>
      <c r="BR50" s="799"/>
      <c r="BS50" s="799"/>
      <c r="BT50" s="799"/>
      <c r="BU50" s="799"/>
      <c r="BV50" s="799"/>
      <c r="BW50" s="799"/>
      <c r="BX50" s="799"/>
      <c r="BY50" s="799"/>
      <c r="BZ50" s="799"/>
      <c r="CA50" s="799"/>
      <c r="CB50" s="799"/>
      <c r="CC50" s="799"/>
      <c r="CD50" s="799"/>
      <c r="CE50" s="799"/>
      <c r="CF50" s="799"/>
      <c r="CG50" s="799"/>
      <c r="CH50" s="799"/>
      <c r="CI50" s="799"/>
      <c r="CJ50" s="799"/>
      <c r="CK50" s="799"/>
      <c r="CL50" s="799"/>
      <c r="CM50" s="799"/>
      <c r="CN50" s="799"/>
      <c r="CO50" s="799"/>
      <c r="CP50" s="799"/>
      <c r="CQ50" s="799"/>
      <c r="CR50" s="799"/>
      <c r="CS50" s="799"/>
      <c r="CT50" s="799"/>
      <c r="CU50" s="799"/>
      <c r="CV50" s="799"/>
      <c r="CW50" s="799"/>
      <c r="CX50" s="799"/>
      <c r="CY50" s="799"/>
      <c r="CZ50" s="799"/>
      <c r="DA50" s="799"/>
      <c r="DB50" s="799"/>
      <c r="DC50" s="799"/>
      <c r="DD50" s="799"/>
      <c r="DE50" s="799"/>
      <c r="DF50" s="799"/>
      <c r="DG50" s="799"/>
      <c r="DH50" s="799"/>
      <c r="DI50" s="799"/>
      <c r="DJ50" s="799"/>
      <c r="DK50" s="799"/>
      <c r="DL50" s="799"/>
      <c r="DM50" s="799"/>
      <c r="DN50" s="799"/>
      <c r="DO50" s="799"/>
      <c r="DP50" s="799"/>
      <c r="DQ50" s="799"/>
      <c r="DR50" s="799"/>
      <c r="DS50" s="799"/>
      <c r="DT50" s="799"/>
      <c r="DU50" s="799"/>
      <c r="DV50" s="799"/>
      <c r="DW50" s="799"/>
      <c r="DX50" s="799"/>
      <c r="DY50" s="799"/>
      <c r="DZ50" s="799"/>
      <c r="EA50" s="799"/>
      <c r="EB50" s="799"/>
      <c r="EC50" s="799"/>
      <c r="ED50" s="799"/>
      <c r="EE50" s="799"/>
      <c r="EF50" s="799"/>
      <c r="EG50" s="799"/>
      <c r="EH50" s="799"/>
      <c r="EI50" s="799"/>
      <c r="EJ50" s="799"/>
      <c r="EK50" s="799"/>
      <c r="EL50" s="799"/>
      <c r="EM50" s="799"/>
      <c r="EN50" s="799"/>
      <c r="EO50" s="799"/>
      <c r="EP50" s="799"/>
      <c r="EQ50" s="799"/>
      <c r="ER50" s="799"/>
      <c r="ES50" s="799"/>
      <c r="ET50" s="799"/>
      <c r="EU50" s="799"/>
      <c r="EV50" s="799"/>
      <c r="EW50" s="799"/>
      <c r="EX50" s="799"/>
      <c r="EY50" s="799"/>
      <c r="EZ50" s="799"/>
      <c r="FA50" s="799"/>
      <c r="FB50" s="799"/>
      <c r="FC50" s="799"/>
      <c r="FD50" s="799"/>
      <c r="FE50" s="799"/>
      <c r="FF50" s="799"/>
      <c r="FG50" s="799"/>
      <c r="FH50" s="799"/>
      <c r="FI50" s="799"/>
      <c r="FJ50" s="799"/>
      <c r="FK50" s="799"/>
      <c r="FL50" s="799"/>
      <c r="FM50" s="799"/>
      <c r="FN50" s="799"/>
      <c r="FO50" s="799"/>
      <c r="FP50" s="799"/>
      <c r="FQ50" s="799"/>
      <c r="FR50" s="799"/>
      <c r="FS50" s="799"/>
      <c r="FT50" s="799"/>
      <c r="FU50" s="799"/>
      <c r="FV50" s="799"/>
      <c r="FW50" s="799"/>
      <c r="FX50" s="799"/>
      <c r="FY50" s="799"/>
      <c r="FZ50" s="799"/>
      <c r="GA50" s="799"/>
      <c r="GB50" s="799"/>
      <c r="GC50" s="799"/>
      <c r="GD50" s="799"/>
      <c r="GE50" s="799"/>
      <c r="GF50" s="799"/>
      <c r="GG50" s="799"/>
      <c r="GH50" s="799"/>
      <c r="GI50" s="799"/>
      <c r="GJ50" s="799"/>
      <c r="GK50" s="799"/>
      <c r="GL50" s="799"/>
      <c r="GM50" s="799"/>
      <c r="GN50" s="799"/>
      <c r="GO50" s="799"/>
      <c r="GP50" s="799"/>
      <c r="GQ50" s="799"/>
      <c r="GR50" s="799"/>
      <c r="GS50" s="799"/>
      <c r="GT50" s="799"/>
      <c r="GU50" s="799"/>
      <c r="GV50" s="799"/>
      <c r="GW50" s="799"/>
      <c r="GX50" s="799"/>
      <c r="GY50" s="799"/>
      <c r="GZ50" s="799"/>
      <c r="HA50" s="799"/>
      <c r="HB50" s="799"/>
      <c r="HC50" s="799"/>
      <c r="HD50" s="799"/>
      <c r="HE50" s="799"/>
      <c r="HF50" s="799"/>
      <c r="HG50" s="799"/>
      <c r="HH50" s="799"/>
      <c r="HI50" s="799"/>
      <c r="HJ50" s="799"/>
      <c r="HK50" s="799"/>
      <c r="HL50" s="799"/>
      <c r="HM50" s="799"/>
      <c r="HN50" s="799"/>
      <c r="HO50" s="799"/>
      <c r="HP50" s="799"/>
      <c r="HQ50" s="799"/>
      <c r="HR50" s="799"/>
      <c r="HS50" s="799"/>
      <c r="HT50" s="799"/>
      <c r="HU50" s="799"/>
      <c r="HV50" s="799"/>
      <c r="HW50" s="799"/>
      <c r="HX50" s="799"/>
      <c r="HY50" s="799"/>
      <c r="HZ50" s="799"/>
      <c r="IA50" s="799"/>
      <c r="IB50" s="799"/>
    </row>
    <row r="51" customFormat="false" ht="15" hidden="false" customHeight="false" outlineLevel="0" collapsed="false">
      <c r="B51" s="928"/>
      <c r="C51" s="929" t="s">
        <v>743</v>
      </c>
      <c r="D51" s="930" t="s">
        <v>645</v>
      </c>
      <c r="E51" s="931" t="s">
        <v>744</v>
      </c>
      <c r="F51" s="931"/>
      <c r="G51" s="931"/>
      <c r="H51" s="931"/>
      <c r="I51" s="931"/>
      <c r="J51" s="931"/>
      <c r="K51" s="931"/>
      <c r="L51" s="931"/>
      <c r="M51" s="932"/>
      <c r="Y51" s="933"/>
      <c r="Z51" s="933"/>
      <c r="AA51" s="933"/>
      <c r="AB51" s="933"/>
      <c r="AC51" s="933"/>
      <c r="AD51" s="933"/>
      <c r="AE51" s="933"/>
      <c r="AF51" s="933"/>
      <c r="AG51" s="933"/>
      <c r="AH51" s="933"/>
      <c r="AI51" s="801"/>
      <c r="AJ51" s="933"/>
      <c r="AK51" s="933"/>
      <c r="AL51" s="933"/>
      <c r="AM51" s="933"/>
      <c r="AN51" s="933"/>
      <c r="AO51" s="933"/>
      <c r="AP51" s="933"/>
      <c r="AQ51" s="933"/>
      <c r="AR51" s="933"/>
      <c r="AS51" s="934"/>
      <c r="AT51" s="934"/>
      <c r="AU51" s="934"/>
      <c r="AV51" s="934"/>
      <c r="AW51" s="934"/>
      <c r="AX51" s="934"/>
      <c r="AY51" s="934"/>
      <c r="AZ51" s="934"/>
      <c r="BA51" s="934"/>
      <c r="BB51" s="934"/>
      <c r="BC51" s="933"/>
      <c r="BD51" s="933"/>
      <c r="BE51" s="933"/>
      <c r="BF51" s="933"/>
      <c r="BG51" s="933"/>
      <c r="BH51" s="933"/>
      <c r="BI51" s="933"/>
      <c r="BJ51" s="933"/>
      <c r="BK51" s="933"/>
      <c r="BL51" s="933"/>
      <c r="BM51" s="933"/>
      <c r="BN51" s="933"/>
      <c r="BO51" s="933"/>
      <c r="BP51" s="933"/>
      <c r="BQ51" s="933"/>
      <c r="BR51" s="933"/>
      <c r="BS51" s="933"/>
      <c r="BT51" s="933"/>
      <c r="BU51" s="933"/>
      <c r="BV51" s="933"/>
      <c r="BW51" s="933"/>
      <c r="BX51" s="933"/>
      <c r="BY51" s="933"/>
      <c r="BZ51" s="933"/>
      <c r="CA51" s="933"/>
      <c r="CB51" s="933"/>
      <c r="CC51" s="933"/>
      <c r="CD51" s="933"/>
      <c r="CE51" s="933"/>
      <c r="CF51" s="933"/>
      <c r="CG51" s="933"/>
      <c r="CH51" s="933"/>
      <c r="CI51" s="933"/>
      <c r="CJ51" s="933"/>
      <c r="CK51" s="933"/>
      <c r="CL51" s="933"/>
      <c r="CM51" s="933"/>
      <c r="CN51" s="933"/>
      <c r="CO51" s="933"/>
      <c r="CP51" s="933"/>
      <c r="CQ51" s="933"/>
      <c r="CR51" s="933"/>
      <c r="CS51" s="933"/>
      <c r="CT51" s="933"/>
      <c r="CU51" s="933"/>
      <c r="CV51" s="933"/>
      <c r="CW51" s="933"/>
      <c r="CX51" s="933"/>
      <c r="CY51" s="933"/>
      <c r="CZ51" s="933"/>
      <c r="DA51" s="933"/>
      <c r="DB51" s="933"/>
      <c r="DC51" s="933"/>
      <c r="DD51" s="933"/>
      <c r="DE51" s="933"/>
      <c r="DF51" s="933"/>
      <c r="DG51" s="933"/>
      <c r="DH51" s="933"/>
      <c r="DI51" s="933"/>
      <c r="DJ51" s="933"/>
      <c r="DK51" s="933"/>
      <c r="DL51" s="933"/>
      <c r="DM51" s="933"/>
      <c r="DN51" s="933"/>
      <c r="DO51" s="933"/>
      <c r="DP51" s="933"/>
      <c r="DQ51" s="933"/>
      <c r="DR51" s="933"/>
      <c r="DS51" s="933"/>
      <c r="DT51" s="933"/>
      <c r="DU51" s="933"/>
      <c r="DV51" s="933"/>
      <c r="DW51" s="933"/>
      <c r="DX51" s="933"/>
      <c r="DY51" s="933"/>
      <c r="DZ51" s="933"/>
      <c r="EA51" s="933"/>
      <c r="EB51" s="933"/>
      <c r="EC51" s="933"/>
      <c r="ED51" s="933"/>
      <c r="EE51" s="933"/>
      <c r="EF51" s="933"/>
      <c r="EG51" s="933"/>
      <c r="EH51" s="933"/>
      <c r="EI51" s="933"/>
      <c r="EJ51" s="933"/>
      <c r="EK51" s="933"/>
      <c r="EL51" s="933"/>
      <c r="EM51" s="933"/>
      <c r="EN51" s="933"/>
      <c r="EO51" s="933"/>
      <c r="EP51" s="933"/>
      <c r="EQ51" s="933"/>
      <c r="ER51" s="933"/>
      <c r="ES51" s="933"/>
      <c r="ET51" s="933"/>
      <c r="EU51" s="933"/>
      <c r="EV51" s="933"/>
      <c r="EW51" s="933"/>
      <c r="EX51" s="933"/>
      <c r="EY51" s="933"/>
      <c r="EZ51" s="933"/>
      <c r="FA51" s="933"/>
      <c r="FB51" s="933"/>
      <c r="FC51" s="933"/>
      <c r="FD51" s="933"/>
      <c r="FE51" s="933"/>
      <c r="FF51" s="933"/>
      <c r="FG51" s="933"/>
      <c r="FH51" s="933"/>
      <c r="FI51" s="933"/>
      <c r="FJ51" s="933"/>
      <c r="FK51" s="933"/>
      <c r="FL51" s="933"/>
      <c r="FM51" s="933"/>
      <c r="FN51" s="933"/>
      <c r="FO51" s="933"/>
      <c r="FP51" s="933"/>
      <c r="FQ51" s="933"/>
      <c r="FR51" s="933"/>
      <c r="FS51" s="933"/>
      <c r="FT51" s="933"/>
      <c r="FU51" s="933"/>
      <c r="FV51" s="933"/>
      <c r="FW51" s="933"/>
      <c r="FX51" s="933"/>
      <c r="FY51" s="933"/>
      <c r="FZ51" s="933"/>
      <c r="GA51" s="933"/>
      <c r="GB51" s="933"/>
      <c r="GC51" s="933"/>
      <c r="GD51" s="933"/>
      <c r="GE51" s="933"/>
      <c r="GF51" s="933"/>
      <c r="GG51" s="933"/>
      <c r="GH51" s="933"/>
      <c r="GI51" s="933"/>
      <c r="GJ51" s="933"/>
      <c r="GK51" s="933"/>
      <c r="GL51" s="933"/>
      <c r="GM51" s="933"/>
      <c r="GN51" s="933"/>
      <c r="GO51" s="933"/>
      <c r="GP51" s="933"/>
      <c r="GQ51" s="933"/>
      <c r="GR51" s="933"/>
      <c r="GS51" s="933"/>
      <c r="GT51" s="933"/>
      <c r="GU51" s="933"/>
      <c r="GV51" s="933"/>
      <c r="GW51" s="933"/>
      <c r="GX51" s="933"/>
      <c r="GY51" s="933"/>
      <c r="GZ51" s="933"/>
      <c r="HA51" s="933"/>
      <c r="HB51" s="933"/>
      <c r="HC51" s="933"/>
      <c r="HD51" s="933"/>
      <c r="HE51" s="933"/>
      <c r="HF51" s="933"/>
      <c r="HG51" s="933"/>
      <c r="HH51" s="933"/>
      <c r="HI51" s="933"/>
      <c r="HJ51" s="933"/>
      <c r="HK51" s="933"/>
      <c r="HL51" s="933"/>
      <c r="HM51" s="933"/>
      <c r="HN51" s="933"/>
      <c r="HO51" s="933"/>
      <c r="HP51" s="933"/>
      <c r="HQ51" s="933"/>
      <c r="HR51" s="933"/>
      <c r="HS51" s="933"/>
      <c r="HT51" s="933"/>
      <c r="HU51" s="933"/>
      <c r="HV51" s="933"/>
      <c r="HW51" s="933"/>
      <c r="HX51" s="933"/>
      <c r="HY51" s="933"/>
      <c r="HZ51" s="933"/>
      <c r="IA51" s="933"/>
      <c r="IB51" s="933"/>
    </row>
    <row r="52" customFormat="false" ht="15" hidden="false" customHeight="false" outlineLevel="0" collapsed="false">
      <c r="B52" s="928"/>
      <c r="C52" s="929" t="s">
        <v>745</v>
      </c>
      <c r="D52" s="930"/>
      <c r="E52" s="931" t="s">
        <v>746</v>
      </c>
      <c r="F52" s="931"/>
      <c r="G52" s="931"/>
      <c r="H52" s="931"/>
      <c r="I52" s="931"/>
      <c r="J52" s="931"/>
      <c r="K52" s="931"/>
      <c r="L52" s="931"/>
      <c r="M52" s="932"/>
      <c r="Y52" s="933"/>
      <c r="Z52" s="933"/>
      <c r="AA52" s="933"/>
      <c r="AB52" s="933"/>
      <c r="AC52" s="933"/>
      <c r="AD52" s="933"/>
      <c r="AE52" s="933"/>
      <c r="AF52" s="933"/>
      <c r="AG52" s="933"/>
      <c r="AH52" s="933"/>
      <c r="AI52" s="801"/>
      <c r="AJ52" s="933"/>
      <c r="AK52" s="933"/>
      <c r="AL52" s="933"/>
      <c r="AM52" s="933"/>
      <c r="AN52" s="933"/>
      <c r="AO52" s="933"/>
      <c r="AP52" s="933"/>
      <c r="AQ52" s="933"/>
      <c r="AR52" s="933"/>
      <c r="AS52" s="934"/>
      <c r="AT52" s="934"/>
      <c r="AU52" s="934"/>
      <c r="AV52" s="934"/>
      <c r="AW52" s="934"/>
      <c r="AX52" s="934"/>
      <c r="AY52" s="934"/>
      <c r="AZ52" s="934"/>
      <c r="BA52" s="934"/>
      <c r="BB52" s="934"/>
      <c r="BC52" s="933"/>
      <c r="BD52" s="933"/>
      <c r="BE52" s="933"/>
      <c r="BF52" s="933"/>
      <c r="BG52" s="933"/>
      <c r="BH52" s="933"/>
      <c r="BI52" s="933"/>
      <c r="BJ52" s="933"/>
      <c r="BK52" s="933"/>
      <c r="BL52" s="933"/>
      <c r="BM52" s="933"/>
      <c r="BN52" s="933"/>
      <c r="BO52" s="933"/>
      <c r="BP52" s="933"/>
      <c r="BQ52" s="933"/>
      <c r="BR52" s="933"/>
      <c r="BS52" s="933"/>
      <c r="BT52" s="933"/>
      <c r="BU52" s="933"/>
      <c r="BV52" s="933"/>
      <c r="BW52" s="933"/>
      <c r="BX52" s="933"/>
      <c r="BY52" s="933"/>
      <c r="BZ52" s="933"/>
      <c r="CA52" s="933"/>
      <c r="CB52" s="933"/>
      <c r="CC52" s="933"/>
      <c r="CD52" s="933"/>
      <c r="CE52" s="933"/>
      <c r="CF52" s="933"/>
      <c r="CG52" s="933"/>
      <c r="CH52" s="933"/>
      <c r="CI52" s="933"/>
      <c r="CJ52" s="933"/>
      <c r="CK52" s="933"/>
      <c r="CL52" s="933"/>
      <c r="CM52" s="933"/>
      <c r="CN52" s="933"/>
      <c r="CO52" s="933"/>
      <c r="CP52" s="933"/>
      <c r="CQ52" s="933"/>
      <c r="CR52" s="933"/>
      <c r="CS52" s="933"/>
      <c r="CT52" s="933"/>
      <c r="CU52" s="933"/>
      <c r="CV52" s="933"/>
      <c r="CW52" s="933"/>
      <c r="CX52" s="933"/>
      <c r="CY52" s="933"/>
      <c r="CZ52" s="933"/>
      <c r="DA52" s="933"/>
      <c r="DB52" s="933"/>
      <c r="DC52" s="933"/>
      <c r="DD52" s="933"/>
      <c r="DE52" s="933"/>
      <c r="DF52" s="933"/>
      <c r="DG52" s="933"/>
      <c r="DH52" s="933"/>
      <c r="DI52" s="933"/>
      <c r="DJ52" s="933"/>
      <c r="DK52" s="933"/>
      <c r="DL52" s="933"/>
      <c r="DM52" s="933"/>
      <c r="DN52" s="933"/>
      <c r="DO52" s="933"/>
      <c r="DP52" s="933"/>
      <c r="DQ52" s="933"/>
      <c r="DR52" s="933"/>
      <c r="DS52" s="933"/>
      <c r="DT52" s="933"/>
      <c r="DU52" s="933"/>
      <c r="DV52" s="933"/>
      <c r="DW52" s="933"/>
      <c r="DX52" s="933"/>
      <c r="DY52" s="933"/>
      <c r="DZ52" s="933"/>
      <c r="EA52" s="933"/>
      <c r="EB52" s="933"/>
      <c r="EC52" s="933"/>
      <c r="ED52" s="933"/>
      <c r="EE52" s="933"/>
      <c r="EF52" s="933"/>
      <c r="EG52" s="933"/>
      <c r="EH52" s="933"/>
      <c r="EI52" s="933"/>
      <c r="EJ52" s="933"/>
      <c r="EK52" s="933"/>
      <c r="EL52" s="933"/>
      <c r="EM52" s="933"/>
      <c r="EN52" s="933"/>
      <c r="EO52" s="933"/>
      <c r="EP52" s="933"/>
      <c r="EQ52" s="933"/>
      <c r="ER52" s="933"/>
      <c r="ES52" s="933"/>
      <c r="ET52" s="933"/>
      <c r="EU52" s="933"/>
      <c r="EV52" s="933"/>
      <c r="EW52" s="933"/>
      <c r="EX52" s="933"/>
      <c r="EY52" s="933"/>
      <c r="EZ52" s="933"/>
      <c r="FA52" s="933"/>
      <c r="FB52" s="933"/>
      <c r="FC52" s="933"/>
      <c r="FD52" s="933"/>
      <c r="FE52" s="933"/>
      <c r="FF52" s="933"/>
      <c r="FG52" s="933"/>
      <c r="FH52" s="933"/>
      <c r="FI52" s="933"/>
      <c r="FJ52" s="933"/>
      <c r="FK52" s="933"/>
      <c r="FL52" s="933"/>
      <c r="FM52" s="933"/>
      <c r="FN52" s="933"/>
      <c r="FO52" s="933"/>
      <c r="FP52" s="933"/>
      <c r="FQ52" s="933"/>
      <c r="FR52" s="933"/>
      <c r="FS52" s="933"/>
      <c r="FT52" s="933"/>
      <c r="FU52" s="933"/>
      <c r="FV52" s="933"/>
      <c r="FW52" s="933"/>
      <c r="FX52" s="933"/>
      <c r="FY52" s="933"/>
      <c r="FZ52" s="933"/>
      <c r="GA52" s="933"/>
      <c r="GB52" s="933"/>
      <c r="GC52" s="933"/>
      <c r="GD52" s="933"/>
      <c r="GE52" s="933"/>
      <c r="GF52" s="933"/>
      <c r="GG52" s="933"/>
      <c r="GH52" s="933"/>
      <c r="GI52" s="933"/>
      <c r="GJ52" s="933"/>
      <c r="GK52" s="933"/>
      <c r="GL52" s="933"/>
      <c r="GM52" s="933"/>
      <c r="GN52" s="933"/>
      <c r="GO52" s="933"/>
      <c r="GP52" s="933"/>
      <c r="GQ52" s="933"/>
      <c r="GR52" s="933"/>
      <c r="GS52" s="933"/>
      <c r="GT52" s="933"/>
      <c r="GU52" s="933"/>
      <c r="GV52" s="933"/>
      <c r="GW52" s="933"/>
      <c r="GX52" s="933"/>
      <c r="GY52" s="933"/>
      <c r="GZ52" s="933"/>
      <c r="HA52" s="933"/>
      <c r="HB52" s="933"/>
      <c r="HC52" s="933"/>
      <c r="HD52" s="933"/>
      <c r="HE52" s="933"/>
      <c r="HF52" s="933"/>
      <c r="HG52" s="933"/>
      <c r="HH52" s="933"/>
      <c r="HI52" s="933"/>
      <c r="HJ52" s="933"/>
      <c r="HK52" s="933"/>
      <c r="HL52" s="933"/>
      <c r="HM52" s="933"/>
      <c r="HN52" s="933"/>
      <c r="HO52" s="933"/>
      <c r="HP52" s="933"/>
      <c r="HQ52" s="933"/>
      <c r="HR52" s="933"/>
      <c r="HS52" s="933"/>
      <c r="HT52" s="933"/>
      <c r="HU52" s="933"/>
      <c r="HV52" s="933"/>
      <c r="HW52" s="933"/>
      <c r="HX52" s="933"/>
      <c r="HY52" s="933"/>
      <c r="HZ52" s="933"/>
      <c r="IA52" s="933"/>
      <c r="IB52" s="933"/>
    </row>
    <row r="53" customFormat="false" ht="15" hidden="false" customHeight="true" outlineLevel="0" collapsed="false">
      <c r="B53" s="928"/>
      <c r="C53" s="931"/>
      <c r="D53" s="930"/>
      <c r="E53" s="935" t="s">
        <v>691</v>
      </c>
      <c r="F53" s="935"/>
      <c r="G53" s="935"/>
      <c r="H53" s="935"/>
      <c r="I53" s="935"/>
      <c r="J53" s="935"/>
      <c r="K53" s="935"/>
      <c r="L53" s="935"/>
      <c r="M53" s="932"/>
      <c r="N53" s="799"/>
      <c r="O53" s="799"/>
      <c r="P53" s="799"/>
      <c r="Q53" s="799"/>
      <c r="R53" s="799"/>
      <c r="S53" s="799"/>
      <c r="T53" s="799"/>
      <c r="U53" s="799"/>
      <c r="V53" s="799"/>
      <c r="W53" s="799"/>
      <c r="X53" s="799"/>
      <c r="Y53" s="799"/>
      <c r="Z53" s="799"/>
      <c r="AA53" s="799"/>
      <c r="AB53" s="799"/>
      <c r="AC53" s="799"/>
      <c r="AD53" s="799"/>
      <c r="AE53" s="799"/>
      <c r="AF53" s="799"/>
      <c r="AG53" s="799"/>
      <c r="AH53" s="799"/>
      <c r="AI53" s="801"/>
      <c r="AJ53" s="799"/>
      <c r="AK53" s="799"/>
      <c r="AL53" s="799"/>
      <c r="AM53" s="799"/>
      <c r="AN53" s="799"/>
      <c r="AO53" s="799"/>
      <c r="AP53" s="799"/>
      <c r="AQ53" s="799"/>
      <c r="AR53" s="799"/>
      <c r="AS53" s="800"/>
      <c r="AT53" s="800"/>
      <c r="AU53" s="800"/>
      <c r="AV53" s="800"/>
      <c r="AW53" s="800"/>
      <c r="AX53" s="800"/>
      <c r="AY53" s="800"/>
      <c r="AZ53" s="800"/>
      <c r="BA53" s="800"/>
      <c r="BB53" s="800"/>
      <c r="BC53" s="799"/>
      <c r="BD53" s="799"/>
      <c r="BE53" s="799"/>
      <c r="BF53" s="799"/>
      <c r="BG53" s="799"/>
      <c r="BH53" s="799"/>
      <c r="BI53" s="799"/>
      <c r="BJ53" s="799"/>
      <c r="BK53" s="799"/>
      <c r="BL53" s="799"/>
      <c r="BM53" s="799"/>
      <c r="BN53" s="799"/>
      <c r="BO53" s="799"/>
      <c r="BP53" s="799"/>
      <c r="BQ53" s="799"/>
      <c r="BR53" s="799"/>
      <c r="BS53" s="799"/>
      <c r="BT53" s="799"/>
      <c r="BU53" s="799"/>
      <c r="BV53" s="799"/>
      <c r="BW53" s="799"/>
      <c r="BX53" s="799"/>
      <c r="BY53" s="799"/>
      <c r="BZ53" s="799"/>
      <c r="CA53" s="799"/>
      <c r="CB53" s="799"/>
      <c r="CC53" s="799"/>
      <c r="CD53" s="799"/>
      <c r="CE53" s="799"/>
      <c r="CF53" s="799"/>
      <c r="CG53" s="799"/>
      <c r="CH53" s="799"/>
      <c r="CI53" s="799"/>
      <c r="CJ53" s="799"/>
      <c r="CK53" s="799"/>
      <c r="CL53" s="799"/>
      <c r="CM53" s="799"/>
      <c r="CN53" s="799"/>
      <c r="CO53" s="799"/>
      <c r="CP53" s="799"/>
      <c r="CQ53" s="799"/>
      <c r="CR53" s="799"/>
      <c r="CS53" s="799"/>
      <c r="CT53" s="799"/>
      <c r="CU53" s="799"/>
      <c r="CV53" s="799"/>
      <c r="CW53" s="799"/>
      <c r="CX53" s="799"/>
      <c r="CY53" s="799"/>
      <c r="CZ53" s="799"/>
      <c r="DA53" s="799"/>
      <c r="DB53" s="799"/>
      <c r="DC53" s="799"/>
      <c r="DD53" s="799"/>
      <c r="DE53" s="799"/>
      <c r="DF53" s="799"/>
      <c r="DG53" s="799"/>
      <c r="DH53" s="799"/>
      <c r="DI53" s="799"/>
      <c r="DJ53" s="799"/>
      <c r="DK53" s="799"/>
      <c r="DL53" s="799"/>
      <c r="DM53" s="799"/>
      <c r="DN53" s="799"/>
      <c r="DO53" s="799"/>
      <c r="DP53" s="799"/>
      <c r="DQ53" s="799"/>
      <c r="DR53" s="799"/>
      <c r="DS53" s="799"/>
      <c r="DT53" s="799"/>
      <c r="DU53" s="799"/>
      <c r="DV53" s="799"/>
      <c r="DW53" s="799"/>
      <c r="DX53" s="799"/>
      <c r="DY53" s="799"/>
      <c r="DZ53" s="799"/>
      <c r="EA53" s="799"/>
      <c r="EB53" s="799"/>
      <c r="EC53" s="799"/>
      <c r="ED53" s="799"/>
      <c r="EE53" s="799"/>
      <c r="EF53" s="799"/>
      <c r="EG53" s="799"/>
      <c r="EH53" s="799"/>
      <c r="EI53" s="799"/>
      <c r="EJ53" s="799"/>
      <c r="EK53" s="799"/>
      <c r="EL53" s="799"/>
      <c r="EM53" s="799"/>
      <c r="EN53" s="799"/>
      <c r="EO53" s="799"/>
      <c r="EP53" s="799"/>
      <c r="EQ53" s="799"/>
      <c r="ER53" s="799"/>
      <c r="ES53" s="799"/>
      <c r="ET53" s="799"/>
      <c r="EU53" s="799"/>
      <c r="EV53" s="799"/>
      <c r="EW53" s="799"/>
      <c r="EX53" s="799"/>
      <c r="EY53" s="799"/>
      <c r="EZ53" s="799"/>
      <c r="FA53" s="799"/>
      <c r="FB53" s="799"/>
      <c r="FC53" s="799"/>
      <c r="FD53" s="799"/>
      <c r="FE53" s="799"/>
      <c r="FF53" s="799"/>
      <c r="FG53" s="799"/>
      <c r="FH53" s="799"/>
      <c r="FI53" s="799"/>
      <c r="FJ53" s="799"/>
      <c r="FK53" s="799"/>
      <c r="FL53" s="799"/>
      <c r="FM53" s="799"/>
      <c r="FN53" s="799"/>
      <c r="FO53" s="799"/>
      <c r="FP53" s="799"/>
      <c r="FQ53" s="799"/>
      <c r="FR53" s="799"/>
      <c r="FS53" s="799"/>
      <c r="FT53" s="799"/>
      <c r="FU53" s="799"/>
      <c r="FV53" s="799"/>
      <c r="FW53" s="799"/>
      <c r="FX53" s="799"/>
      <c r="FY53" s="799"/>
      <c r="FZ53" s="799"/>
      <c r="GA53" s="799"/>
      <c r="GB53" s="799"/>
      <c r="GC53" s="799"/>
      <c r="GD53" s="799"/>
      <c r="GE53" s="799"/>
      <c r="GF53" s="799"/>
      <c r="GG53" s="799"/>
      <c r="GH53" s="799"/>
      <c r="GI53" s="799"/>
      <c r="GJ53" s="799"/>
      <c r="GK53" s="799"/>
      <c r="GL53" s="799"/>
      <c r="GM53" s="799"/>
      <c r="GN53" s="799"/>
      <c r="GO53" s="799"/>
      <c r="GP53" s="799"/>
      <c r="GQ53" s="799"/>
      <c r="GR53" s="799"/>
      <c r="GS53" s="799"/>
      <c r="GT53" s="799"/>
      <c r="GU53" s="799"/>
      <c r="GV53" s="799"/>
      <c r="GW53" s="799"/>
      <c r="GX53" s="799"/>
      <c r="GY53" s="799"/>
      <c r="GZ53" s="799"/>
      <c r="HA53" s="799"/>
      <c r="HB53" s="799"/>
      <c r="HC53" s="799"/>
      <c r="HD53" s="799"/>
      <c r="HE53" s="799"/>
      <c r="HF53" s="799"/>
      <c r="HG53" s="799"/>
      <c r="HH53" s="799"/>
      <c r="HI53" s="799"/>
      <c r="HJ53" s="799"/>
      <c r="HK53" s="799"/>
      <c r="HL53" s="799"/>
      <c r="HM53" s="799"/>
      <c r="HN53" s="799"/>
      <c r="HO53" s="799"/>
      <c r="HP53" s="799"/>
      <c r="HQ53" s="799"/>
      <c r="HR53" s="799"/>
      <c r="HS53" s="799"/>
      <c r="HT53" s="799"/>
      <c r="HU53" s="799"/>
      <c r="HV53" s="799"/>
      <c r="HW53" s="799"/>
      <c r="HX53" s="799"/>
      <c r="HY53" s="799"/>
      <c r="HZ53" s="799"/>
      <c r="IA53" s="799"/>
      <c r="IB53" s="799"/>
    </row>
    <row r="54" customFormat="false" ht="19.5" hidden="false" customHeight="true" outlineLevel="0" collapsed="false">
      <c r="B54" s="928"/>
      <c r="C54" s="931"/>
      <c r="D54" s="930"/>
      <c r="E54" s="936" t="s">
        <v>747</v>
      </c>
      <c r="F54" s="936"/>
      <c r="G54" s="936"/>
      <c r="H54" s="936"/>
      <c r="I54" s="936"/>
      <c r="J54" s="936"/>
      <c r="K54" s="936"/>
      <c r="L54" s="936"/>
      <c r="M54" s="932"/>
      <c r="N54" s="799"/>
      <c r="O54" s="799"/>
      <c r="P54" s="799"/>
      <c r="Q54" s="799"/>
      <c r="R54" s="799"/>
      <c r="S54" s="799"/>
      <c r="T54" s="799"/>
      <c r="U54" s="799"/>
      <c r="V54" s="799"/>
      <c r="W54" s="799"/>
      <c r="X54" s="799"/>
      <c r="Y54" s="799"/>
      <c r="Z54" s="799"/>
      <c r="AA54" s="799"/>
      <c r="AB54" s="799"/>
      <c r="AC54" s="799"/>
      <c r="AD54" s="799"/>
      <c r="AE54" s="799"/>
      <c r="AF54" s="799"/>
      <c r="AG54" s="799"/>
      <c r="AH54" s="799"/>
      <c r="AI54" s="801"/>
      <c r="AJ54" s="799"/>
      <c r="AK54" s="799"/>
      <c r="AL54" s="799"/>
      <c r="AM54" s="799"/>
      <c r="AN54" s="799"/>
      <c r="AO54" s="799"/>
      <c r="AP54" s="799"/>
      <c r="AQ54" s="799"/>
      <c r="AR54" s="799"/>
      <c r="AS54" s="800"/>
      <c r="AT54" s="800"/>
      <c r="AU54" s="800"/>
      <c r="AV54" s="800"/>
      <c r="AW54" s="800"/>
      <c r="AX54" s="800"/>
      <c r="AY54" s="800"/>
      <c r="AZ54" s="800"/>
      <c r="BA54" s="800"/>
      <c r="BB54" s="800"/>
      <c r="BC54" s="799"/>
      <c r="BD54" s="799"/>
      <c r="BE54" s="799"/>
      <c r="BF54" s="799"/>
      <c r="BG54" s="799"/>
      <c r="BH54" s="799"/>
      <c r="BI54" s="799"/>
      <c r="BJ54" s="799"/>
      <c r="BK54" s="799"/>
      <c r="BL54" s="799"/>
      <c r="BM54" s="799"/>
      <c r="BN54" s="799"/>
      <c r="BO54" s="799"/>
      <c r="BP54" s="799"/>
      <c r="BQ54" s="799"/>
      <c r="BR54" s="799"/>
      <c r="BS54" s="799"/>
      <c r="BT54" s="799"/>
      <c r="BU54" s="799"/>
      <c r="BV54" s="799"/>
      <c r="BW54" s="799"/>
      <c r="BX54" s="799"/>
      <c r="BY54" s="799"/>
      <c r="BZ54" s="799"/>
      <c r="CA54" s="799"/>
      <c r="CB54" s="799"/>
      <c r="CC54" s="799"/>
      <c r="CD54" s="799"/>
      <c r="CE54" s="799"/>
      <c r="CF54" s="799"/>
      <c r="CG54" s="799"/>
      <c r="CH54" s="799"/>
      <c r="CI54" s="799"/>
      <c r="CJ54" s="799"/>
      <c r="CK54" s="799"/>
      <c r="CL54" s="799"/>
      <c r="CM54" s="799"/>
      <c r="CN54" s="799"/>
      <c r="CO54" s="799"/>
      <c r="CP54" s="799"/>
      <c r="CQ54" s="799"/>
      <c r="CR54" s="799"/>
      <c r="CS54" s="799"/>
      <c r="CT54" s="799"/>
      <c r="CU54" s="799"/>
      <c r="CV54" s="799"/>
      <c r="CW54" s="799"/>
      <c r="CX54" s="799"/>
      <c r="CY54" s="799"/>
      <c r="CZ54" s="799"/>
      <c r="DA54" s="799"/>
      <c r="DB54" s="799"/>
      <c r="DC54" s="799"/>
      <c r="DD54" s="799"/>
      <c r="DE54" s="799"/>
      <c r="DF54" s="799"/>
      <c r="DG54" s="799"/>
      <c r="DH54" s="799"/>
      <c r="DI54" s="799"/>
      <c r="DJ54" s="799"/>
      <c r="DK54" s="799"/>
      <c r="DL54" s="799"/>
      <c r="DM54" s="799"/>
      <c r="DN54" s="799"/>
      <c r="DO54" s="799"/>
      <c r="DP54" s="799"/>
      <c r="DQ54" s="799"/>
      <c r="DR54" s="799"/>
      <c r="DS54" s="799"/>
      <c r="DT54" s="799"/>
      <c r="DU54" s="799"/>
      <c r="DV54" s="799"/>
      <c r="DW54" s="799"/>
      <c r="DX54" s="799"/>
      <c r="DY54" s="799"/>
      <c r="DZ54" s="799"/>
      <c r="EA54" s="799"/>
      <c r="EB54" s="799"/>
      <c r="EC54" s="799"/>
      <c r="ED54" s="799"/>
      <c r="EE54" s="799"/>
      <c r="EF54" s="799"/>
      <c r="EG54" s="799"/>
      <c r="EH54" s="799"/>
      <c r="EI54" s="799"/>
      <c r="EJ54" s="799"/>
      <c r="EK54" s="799"/>
      <c r="EL54" s="799"/>
      <c r="EM54" s="799"/>
      <c r="EN54" s="799"/>
      <c r="EO54" s="799"/>
      <c r="EP54" s="799"/>
      <c r="EQ54" s="799"/>
      <c r="ER54" s="799"/>
      <c r="ES54" s="799"/>
      <c r="ET54" s="799"/>
      <c r="EU54" s="799"/>
      <c r="EV54" s="799"/>
      <c r="EW54" s="799"/>
      <c r="EX54" s="799"/>
      <c r="EY54" s="799"/>
      <c r="EZ54" s="799"/>
      <c r="FA54" s="799"/>
      <c r="FB54" s="799"/>
      <c r="FC54" s="799"/>
      <c r="FD54" s="799"/>
      <c r="FE54" s="799"/>
      <c r="FF54" s="799"/>
      <c r="FG54" s="799"/>
      <c r="FH54" s="799"/>
      <c r="FI54" s="799"/>
      <c r="FJ54" s="799"/>
      <c r="FK54" s="799"/>
      <c r="FL54" s="799"/>
      <c r="FM54" s="799"/>
      <c r="FN54" s="799"/>
      <c r="FO54" s="799"/>
      <c r="FP54" s="799"/>
      <c r="FQ54" s="799"/>
      <c r="FR54" s="799"/>
      <c r="FS54" s="799"/>
      <c r="FT54" s="799"/>
      <c r="FU54" s="799"/>
      <c r="FV54" s="799"/>
      <c r="FW54" s="799"/>
      <c r="FX54" s="799"/>
      <c r="FY54" s="799"/>
      <c r="FZ54" s="799"/>
      <c r="GA54" s="799"/>
      <c r="GB54" s="799"/>
      <c r="GC54" s="799"/>
      <c r="GD54" s="799"/>
      <c r="GE54" s="799"/>
      <c r="GF54" s="799"/>
      <c r="GG54" s="799"/>
      <c r="GH54" s="799"/>
      <c r="GI54" s="799"/>
      <c r="GJ54" s="799"/>
      <c r="GK54" s="799"/>
      <c r="GL54" s="799"/>
      <c r="GM54" s="799"/>
      <c r="GN54" s="799"/>
      <c r="GO54" s="799"/>
      <c r="GP54" s="799"/>
      <c r="GQ54" s="799"/>
      <c r="GR54" s="799"/>
      <c r="GS54" s="799"/>
      <c r="GT54" s="799"/>
      <c r="GU54" s="799"/>
      <c r="GV54" s="799"/>
      <c r="GW54" s="799"/>
      <c r="GX54" s="799"/>
      <c r="GY54" s="799"/>
      <c r="GZ54" s="799"/>
      <c r="HA54" s="799"/>
      <c r="HB54" s="799"/>
      <c r="HC54" s="799"/>
      <c r="HD54" s="799"/>
      <c r="HE54" s="799"/>
      <c r="HF54" s="799"/>
      <c r="HG54" s="799"/>
      <c r="HH54" s="799"/>
      <c r="HI54" s="799"/>
      <c r="HJ54" s="799"/>
      <c r="HK54" s="799"/>
      <c r="HL54" s="799"/>
      <c r="HM54" s="799"/>
      <c r="HN54" s="799"/>
      <c r="HO54" s="799"/>
      <c r="HP54" s="799"/>
      <c r="HQ54" s="799"/>
      <c r="HR54" s="799"/>
      <c r="HS54" s="799"/>
      <c r="HT54" s="799"/>
      <c r="HU54" s="799"/>
      <c r="HV54" s="799"/>
      <c r="HW54" s="799"/>
      <c r="HX54" s="799"/>
      <c r="HY54" s="799"/>
      <c r="HZ54" s="799"/>
      <c r="IA54" s="799"/>
      <c r="IB54" s="799"/>
    </row>
    <row r="55" customFormat="false" ht="18.75" hidden="false" customHeight="true" outlineLevel="0" collapsed="false">
      <c r="B55" s="937"/>
      <c r="C55" s="938"/>
      <c r="D55" s="939"/>
      <c r="E55" s="940" t="s">
        <v>748</v>
      </c>
      <c r="F55" s="940"/>
      <c r="G55" s="940"/>
      <c r="H55" s="940"/>
      <c r="I55" s="940"/>
      <c r="J55" s="940"/>
      <c r="K55" s="940"/>
      <c r="L55" s="940"/>
      <c r="M55" s="941"/>
      <c r="N55" s="799"/>
      <c r="O55" s="799"/>
      <c r="P55" s="799"/>
      <c r="Q55" s="799"/>
      <c r="R55" s="799"/>
      <c r="S55" s="799"/>
      <c r="T55" s="799"/>
      <c r="U55" s="799"/>
      <c r="V55" s="799"/>
      <c r="W55" s="799"/>
      <c r="X55" s="799"/>
      <c r="Y55" s="799"/>
      <c r="Z55" s="799"/>
      <c r="AA55" s="799"/>
      <c r="AB55" s="799"/>
      <c r="AC55" s="799"/>
      <c r="AD55" s="799"/>
      <c r="AE55" s="799"/>
      <c r="AF55" s="799"/>
      <c r="AG55" s="799"/>
      <c r="AH55" s="799"/>
      <c r="AI55" s="801"/>
      <c r="AJ55" s="799"/>
      <c r="AK55" s="799"/>
      <c r="AL55" s="799"/>
      <c r="AM55" s="799"/>
      <c r="AN55" s="799"/>
      <c r="AO55" s="799"/>
      <c r="AP55" s="799"/>
      <c r="AQ55" s="799"/>
      <c r="AR55" s="799"/>
      <c r="AS55" s="800"/>
      <c r="AT55" s="800"/>
      <c r="AU55" s="800"/>
      <c r="AV55" s="800"/>
      <c r="AW55" s="800"/>
      <c r="AX55" s="800"/>
      <c r="AY55" s="800"/>
      <c r="AZ55" s="800"/>
      <c r="BA55" s="800"/>
      <c r="BB55" s="800"/>
      <c r="BC55" s="799"/>
      <c r="BD55" s="799"/>
      <c r="BE55" s="799"/>
      <c r="BF55" s="799"/>
      <c r="BG55" s="799"/>
      <c r="BH55" s="799"/>
      <c r="BI55" s="799"/>
      <c r="BJ55" s="799"/>
      <c r="BK55" s="799"/>
      <c r="BL55" s="799"/>
      <c r="BM55" s="799"/>
      <c r="BN55" s="799"/>
      <c r="BO55" s="799"/>
      <c r="BP55" s="799"/>
      <c r="BQ55" s="799"/>
      <c r="BR55" s="799"/>
      <c r="BS55" s="799"/>
      <c r="BT55" s="799"/>
      <c r="BU55" s="799"/>
      <c r="BV55" s="799"/>
      <c r="BW55" s="799"/>
      <c r="BX55" s="799"/>
      <c r="BY55" s="799"/>
      <c r="BZ55" s="799"/>
      <c r="CA55" s="799"/>
      <c r="CB55" s="799"/>
      <c r="CC55" s="799"/>
      <c r="CD55" s="799"/>
      <c r="CE55" s="799"/>
      <c r="CF55" s="799"/>
      <c r="CG55" s="799"/>
      <c r="CH55" s="799"/>
      <c r="CI55" s="799"/>
      <c r="CJ55" s="799"/>
      <c r="CK55" s="799"/>
      <c r="CL55" s="799"/>
      <c r="CM55" s="799"/>
      <c r="CN55" s="799"/>
      <c r="CO55" s="799"/>
      <c r="CP55" s="799"/>
      <c r="CQ55" s="799"/>
      <c r="CR55" s="799"/>
      <c r="CS55" s="799"/>
      <c r="CT55" s="799"/>
      <c r="CU55" s="799"/>
      <c r="CV55" s="799"/>
      <c r="CW55" s="799"/>
      <c r="CX55" s="799"/>
      <c r="CY55" s="799"/>
      <c r="CZ55" s="799"/>
      <c r="DA55" s="799"/>
      <c r="DB55" s="799"/>
      <c r="DC55" s="799"/>
      <c r="DD55" s="799"/>
      <c r="DE55" s="799"/>
      <c r="DF55" s="799"/>
      <c r="DG55" s="799"/>
      <c r="DH55" s="799"/>
      <c r="DI55" s="799"/>
      <c r="DJ55" s="799"/>
      <c r="DK55" s="799"/>
      <c r="DL55" s="799"/>
      <c r="DM55" s="799"/>
      <c r="DN55" s="799"/>
      <c r="DO55" s="799"/>
      <c r="DP55" s="799"/>
      <c r="DQ55" s="799"/>
      <c r="DR55" s="799"/>
      <c r="DS55" s="799"/>
      <c r="DT55" s="799"/>
      <c r="DU55" s="799"/>
      <c r="DV55" s="799"/>
      <c r="DW55" s="799"/>
      <c r="DX55" s="799"/>
      <c r="DY55" s="799"/>
      <c r="DZ55" s="799"/>
      <c r="EA55" s="799"/>
      <c r="EB55" s="799"/>
      <c r="EC55" s="799"/>
      <c r="ED55" s="799"/>
      <c r="EE55" s="799"/>
      <c r="EF55" s="799"/>
      <c r="EG55" s="799"/>
      <c r="EH55" s="799"/>
      <c r="EI55" s="799"/>
      <c r="EJ55" s="799"/>
      <c r="EK55" s="799"/>
      <c r="EL55" s="799"/>
      <c r="EM55" s="799"/>
      <c r="EN55" s="799"/>
      <c r="EO55" s="799"/>
      <c r="EP55" s="799"/>
      <c r="EQ55" s="799"/>
      <c r="ER55" s="799"/>
      <c r="ES55" s="799"/>
      <c r="ET55" s="799"/>
      <c r="EU55" s="799"/>
      <c r="EV55" s="799"/>
      <c r="EW55" s="799"/>
      <c r="EX55" s="799"/>
      <c r="EY55" s="799"/>
      <c r="EZ55" s="799"/>
      <c r="FA55" s="799"/>
      <c r="FB55" s="799"/>
      <c r="FC55" s="799"/>
      <c r="FD55" s="799"/>
      <c r="FE55" s="799"/>
      <c r="FF55" s="799"/>
      <c r="FG55" s="799"/>
      <c r="FH55" s="799"/>
      <c r="FI55" s="799"/>
      <c r="FJ55" s="799"/>
      <c r="FK55" s="799"/>
      <c r="FL55" s="799"/>
      <c r="FM55" s="799"/>
      <c r="FN55" s="799"/>
      <c r="FO55" s="799"/>
      <c r="FP55" s="799"/>
      <c r="FQ55" s="799"/>
      <c r="FR55" s="799"/>
      <c r="FS55" s="799"/>
      <c r="FT55" s="799"/>
      <c r="FU55" s="799"/>
      <c r="FV55" s="799"/>
      <c r="FW55" s="799"/>
      <c r="FX55" s="799"/>
      <c r="FY55" s="799"/>
      <c r="FZ55" s="799"/>
      <c r="GA55" s="799"/>
      <c r="GB55" s="799"/>
      <c r="GC55" s="799"/>
      <c r="GD55" s="799"/>
      <c r="GE55" s="799"/>
      <c r="GF55" s="799"/>
      <c r="GG55" s="799"/>
      <c r="GH55" s="799"/>
      <c r="GI55" s="799"/>
      <c r="GJ55" s="799"/>
      <c r="GK55" s="799"/>
      <c r="GL55" s="799"/>
      <c r="GM55" s="799"/>
      <c r="GN55" s="799"/>
      <c r="GO55" s="799"/>
      <c r="GP55" s="799"/>
      <c r="GQ55" s="799"/>
      <c r="GR55" s="799"/>
      <c r="GS55" s="799"/>
      <c r="GT55" s="799"/>
      <c r="GU55" s="799"/>
      <c r="GV55" s="799"/>
      <c r="GW55" s="799"/>
      <c r="GX55" s="799"/>
      <c r="GY55" s="799"/>
      <c r="GZ55" s="799"/>
      <c r="HA55" s="799"/>
      <c r="HB55" s="799"/>
      <c r="HC55" s="799"/>
      <c r="HD55" s="799"/>
      <c r="HE55" s="799"/>
      <c r="HF55" s="799"/>
      <c r="HG55" s="799"/>
      <c r="HH55" s="799"/>
      <c r="HI55" s="799"/>
      <c r="HJ55" s="799"/>
      <c r="HK55" s="799"/>
      <c r="HL55" s="799"/>
      <c r="HM55" s="799"/>
      <c r="HN55" s="799"/>
      <c r="HO55" s="799"/>
      <c r="HP55" s="799"/>
      <c r="HQ55" s="799"/>
      <c r="HR55" s="799"/>
      <c r="HS55" s="799"/>
      <c r="HT55" s="799"/>
      <c r="HU55" s="799"/>
      <c r="HV55" s="799"/>
      <c r="HW55" s="799"/>
      <c r="HX55" s="799"/>
      <c r="HY55" s="799"/>
      <c r="HZ55" s="799"/>
      <c r="IA55" s="799"/>
      <c r="IB55" s="799"/>
    </row>
    <row r="56" customFormat="false" ht="13.8" hidden="false" customHeight="false" outlineLevel="0" collapsed="false">
      <c r="B56" s="799"/>
      <c r="C56" s="799"/>
      <c r="D56" s="799"/>
      <c r="E56" s="799"/>
      <c r="F56" s="800"/>
      <c r="G56" s="799"/>
      <c r="H56" s="799"/>
      <c r="I56" s="799"/>
      <c r="J56" s="799"/>
      <c r="K56" s="799"/>
      <c r="L56" s="799"/>
      <c r="M56" s="799"/>
      <c r="N56" s="799"/>
      <c r="O56" s="799"/>
      <c r="P56" s="799"/>
      <c r="Q56" s="799"/>
      <c r="R56" s="799"/>
      <c r="S56" s="799"/>
      <c r="T56" s="799"/>
      <c r="U56" s="799"/>
      <c r="V56" s="799"/>
      <c r="W56" s="799"/>
      <c r="X56" s="799"/>
      <c r="Y56" s="799"/>
      <c r="Z56" s="799"/>
      <c r="AA56" s="799"/>
      <c r="AB56" s="799"/>
      <c r="AC56" s="799"/>
      <c r="AD56" s="799"/>
      <c r="AE56" s="799"/>
      <c r="AF56" s="799"/>
      <c r="AG56" s="799"/>
      <c r="AH56" s="799"/>
      <c r="AI56" s="801"/>
      <c r="AJ56" s="799"/>
      <c r="AK56" s="799"/>
      <c r="AL56" s="799"/>
      <c r="AM56" s="799"/>
      <c r="AN56" s="799"/>
      <c r="AO56" s="799"/>
      <c r="AP56" s="799"/>
      <c r="AQ56" s="799"/>
      <c r="AR56" s="799"/>
      <c r="AS56" s="800"/>
      <c r="AT56" s="800"/>
      <c r="AU56" s="800"/>
      <c r="AV56" s="800"/>
      <c r="AW56" s="800"/>
      <c r="AX56" s="800"/>
      <c r="AY56" s="800"/>
      <c r="AZ56" s="800"/>
      <c r="BA56" s="800"/>
      <c r="BB56" s="800"/>
      <c r="BC56" s="799"/>
      <c r="BD56" s="799"/>
      <c r="BE56" s="799"/>
      <c r="BF56" s="799"/>
      <c r="BG56" s="799"/>
      <c r="BH56" s="799"/>
      <c r="BI56" s="799"/>
      <c r="BJ56" s="799"/>
      <c r="BK56" s="799"/>
      <c r="BL56" s="799"/>
      <c r="BM56" s="799"/>
      <c r="BN56" s="799"/>
      <c r="BO56" s="799"/>
      <c r="BP56" s="799"/>
      <c r="BQ56" s="799"/>
      <c r="BR56" s="799"/>
      <c r="BS56" s="799"/>
      <c r="BT56" s="799"/>
      <c r="BU56" s="799"/>
      <c r="BV56" s="799"/>
      <c r="BW56" s="799"/>
      <c r="BX56" s="799"/>
      <c r="BY56" s="799"/>
      <c r="BZ56" s="799"/>
      <c r="CA56" s="799"/>
      <c r="CB56" s="799"/>
      <c r="CC56" s="799"/>
      <c r="CD56" s="799"/>
      <c r="CE56" s="799"/>
      <c r="CF56" s="799"/>
      <c r="CG56" s="799"/>
      <c r="CH56" s="799"/>
      <c r="CI56" s="799"/>
      <c r="CJ56" s="799"/>
      <c r="CK56" s="799"/>
      <c r="CL56" s="799"/>
      <c r="CM56" s="799"/>
      <c r="CN56" s="799"/>
      <c r="CO56" s="799"/>
      <c r="CP56" s="799"/>
      <c r="CQ56" s="799"/>
      <c r="CR56" s="799"/>
      <c r="CS56" s="799"/>
      <c r="CT56" s="799"/>
      <c r="CU56" s="799"/>
      <c r="CV56" s="799"/>
      <c r="CW56" s="799"/>
      <c r="CX56" s="799"/>
      <c r="CY56" s="799"/>
      <c r="CZ56" s="799"/>
      <c r="DA56" s="799"/>
      <c r="DB56" s="799"/>
      <c r="DC56" s="799"/>
      <c r="DD56" s="799"/>
      <c r="DE56" s="799"/>
      <c r="DF56" s="799"/>
      <c r="DG56" s="799"/>
      <c r="DH56" s="799"/>
      <c r="DI56" s="799"/>
      <c r="DJ56" s="799"/>
      <c r="DK56" s="799"/>
      <c r="DL56" s="799"/>
      <c r="DM56" s="799"/>
      <c r="DN56" s="799"/>
      <c r="DO56" s="799"/>
      <c r="DP56" s="799"/>
      <c r="DQ56" s="799"/>
      <c r="DR56" s="799"/>
      <c r="DS56" s="799"/>
      <c r="DT56" s="799"/>
      <c r="DU56" s="799"/>
      <c r="DV56" s="799"/>
      <c r="DW56" s="799"/>
      <c r="DX56" s="799"/>
      <c r="DY56" s="799"/>
      <c r="DZ56" s="799"/>
      <c r="EA56" s="799"/>
      <c r="EB56" s="799"/>
      <c r="EC56" s="799"/>
      <c r="ED56" s="799"/>
      <c r="EE56" s="799"/>
      <c r="EF56" s="799"/>
      <c r="EG56" s="799"/>
      <c r="EH56" s="799"/>
      <c r="EI56" s="799"/>
      <c r="EJ56" s="799"/>
      <c r="EK56" s="799"/>
      <c r="EL56" s="799"/>
      <c r="EM56" s="799"/>
      <c r="EN56" s="799"/>
      <c r="EO56" s="799"/>
      <c r="EP56" s="799"/>
      <c r="EQ56" s="799"/>
      <c r="ER56" s="799"/>
      <c r="ES56" s="799"/>
      <c r="ET56" s="799"/>
      <c r="EU56" s="799"/>
      <c r="EV56" s="799"/>
      <c r="EW56" s="799"/>
      <c r="EX56" s="799"/>
      <c r="EY56" s="799"/>
      <c r="EZ56" s="799"/>
      <c r="FA56" s="799"/>
      <c r="FB56" s="799"/>
      <c r="FC56" s="799"/>
      <c r="FD56" s="799"/>
      <c r="FE56" s="799"/>
      <c r="FF56" s="799"/>
      <c r="FG56" s="799"/>
      <c r="FH56" s="799"/>
      <c r="FI56" s="799"/>
      <c r="FJ56" s="799"/>
      <c r="FK56" s="799"/>
      <c r="FL56" s="799"/>
      <c r="FM56" s="799"/>
      <c r="FN56" s="799"/>
      <c r="FO56" s="799"/>
      <c r="FP56" s="799"/>
      <c r="FQ56" s="799"/>
      <c r="FR56" s="799"/>
      <c r="FS56" s="799"/>
      <c r="FT56" s="799"/>
      <c r="FU56" s="799"/>
      <c r="FV56" s="799"/>
      <c r="FW56" s="799"/>
      <c r="FX56" s="799"/>
      <c r="FY56" s="799"/>
      <c r="FZ56" s="799"/>
      <c r="GA56" s="799"/>
      <c r="GB56" s="799"/>
      <c r="GC56" s="799"/>
      <c r="GD56" s="799"/>
      <c r="GE56" s="799"/>
      <c r="GF56" s="799"/>
      <c r="GG56" s="799"/>
      <c r="GH56" s="799"/>
      <c r="GI56" s="799"/>
      <c r="GJ56" s="799"/>
      <c r="GK56" s="799"/>
      <c r="GL56" s="799"/>
      <c r="GM56" s="799"/>
      <c r="GN56" s="799"/>
      <c r="GO56" s="799"/>
      <c r="GP56" s="799"/>
      <c r="GQ56" s="799"/>
      <c r="GR56" s="799"/>
      <c r="GS56" s="799"/>
      <c r="GT56" s="799"/>
      <c r="GU56" s="799"/>
      <c r="GV56" s="799"/>
      <c r="GW56" s="799"/>
      <c r="GX56" s="799"/>
      <c r="GY56" s="799"/>
      <c r="GZ56" s="799"/>
      <c r="HA56" s="799"/>
      <c r="HB56" s="799"/>
      <c r="HC56" s="799"/>
      <c r="HD56" s="799"/>
      <c r="HE56" s="799"/>
      <c r="HF56" s="799"/>
      <c r="HG56" s="799"/>
      <c r="HH56" s="799"/>
      <c r="HI56" s="799"/>
      <c r="HJ56" s="799"/>
      <c r="HK56" s="799"/>
      <c r="HL56" s="799"/>
      <c r="HM56" s="799"/>
      <c r="HN56" s="799"/>
      <c r="HO56" s="799"/>
      <c r="HP56" s="799"/>
      <c r="HQ56" s="799"/>
      <c r="HR56" s="799"/>
      <c r="HS56" s="799"/>
      <c r="HT56" s="799"/>
      <c r="HU56" s="799"/>
      <c r="HV56" s="799"/>
      <c r="HW56" s="799"/>
      <c r="HX56" s="799"/>
      <c r="HY56" s="799"/>
      <c r="HZ56" s="799"/>
      <c r="IA56" s="799"/>
      <c r="IB56" s="799"/>
    </row>
    <row r="57" customFormat="false" ht="13.8" hidden="false" customHeight="false" outlineLevel="0" collapsed="false">
      <c r="B57" s="799"/>
      <c r="C57" s="799"/>
      <c r="D57" s="799"/>
      <c r="E57" s="799"/>
      <c r="F57" s="800"/>
      <c r="G57" s="799"/>
      <c r="H57" s="799"/>
      <c r="I57" s="799"/>
      <c r="J57" s="799"/>
      <c r="K57" s="799"/>
      <c r="L57" s="799"/>
      <c r="M57" s="799"/>
      <c r="N57" s="799"/>
      <c r="O57" s="799"/>
      <c r="P57" s="799"/>
      <c r="Q57" s="799"/>
      <c r="R57" s="799"/>
      <c r="S57" s="799"/>
      <c r="T57" s="799"/>
      <c r="U57" s="799"/>
      <c r="V57" s="799"/>
      <c r="W57" s="799"/>
      <c r="X57" s="799"/>
      <c r="Y57" s="799"/>
      <c r="Z57" s="799"/>
      <c r="AA57" s="799"/>
      <c r="AB57" s="799"/>
      <c r="AC57" s="799"/>
      <c r="AD57" s="799"/>
      <c r="AE57" s="799"/>
      <c r="AF57" s="799"/>
      <c r="AG57" s="799"/>
      <c r="AH57" s="799"/>
      <c r="AI57" s="801"/>
      <c r="AJ57" s="799"/>
      <c r="AK57" s="799"/>
      <c r="AL57" s="799"/>
      <c r="AM57" s="799"/>
      <c r="AN57" s="799"/>
      <c r="AO57" s="799"/>
      <c r="AP57" s="799"/>
      <c r="AQ57" s="799"/>
      <c r="AR57" s="799"/>
      <c r="AS57" s="800"/>
      <c r="AT57" s="800"/>
      <c r="AU57" s="800"/>
      <c r="AV57" s="800"/>
      <c r="AW57" s="800"/>
      <c r="AX57" s="800"/>
      <c r="AY57" s="800"/>
      <c r="AZ57" s="800"/>
      <c r="BA57" s="800"/>
      <c r="BB57" s="800"/>
      <c r="BC57" s="799"/>
      <c r="BD57" s="799"/>
      <c r="BE57" s="799"/>
      <c r="BF57" s="799"/>
      <c r="BG57" s="799"/>
      <c r="BH57" s="799"/>
      <c r="BI57" s="799"/>
      <c r="BJ57" s="799"/>
      <c r="BK57" s="799"/>
      <c r="BL57" s="799"/>
      <c r="BM57" s="799"/>
      <c r="BN57" s="799"/>
      <c r="BO57" s="799"/>
      <c r="BP57" s="799"/>
      <c r="BQ57" s="799"/>
      <c r="BR57" s="799"/>
      <c r="BS57" s="799"/>
      <c r="BT57" s="799"/>
      <c r="BU57" s="799"/>
      <c r="BV57" s="799"/>
      <c r="BW57" s="799"/>
      <c r="BX57" s="799"/>
      <c r="BY57" s="799"/>
      <c r="BZ57" s="799"/>
      <c r="CA57" s="799"/>
      <c r="CB57" s="799"/>
      <c r="CC57" s="799"/>
      <c r="CD57" s="799"/>
      <c r="CE57" s="799"/>
      <c r="CF57" s="799"/>
      <c r="CG57" s="799"/>
      <c r="CH57" s="799"/>
      <c r="CI57" s="799"/>
      <c r="CJ57" s="799"/>
      <c r="CK57" s="799"/>
      <c r="CL57" s="799"/>
      <c r="CM57" s="799"/>
      <c r="CN57" s="799"/>
      <c r="CO57" s="799"/>
      <c r="CP57" s="799"/>
      <c r="CQ57" s="799"/>
      <c r="CR57" s="799"/>
      <c r="CS57" s="799"/>
      <c r="CT57" s="799"/>
      <c r="CU57" s="799"/>
      <c r="CV57" s="799"/>
      <c r="CW57" s="799"/>
      <c r="CX57" s="799"/>
      <c r="CY57" s="799"/>
      <c r="CZ57" s="799"/>
      <c r="DA57" s="799"/>
      <c r="DB57" s="799"/>
      <c r="DC57" s="799"/>
      <c r="DD57" s="799"/>
      <c r="DE57" s="799"/>
      <c r="DF57" s="799"/>
      <c r="DG57" s="799"/>
      <c r="DH57" s="799"/>
      <c r="DI57" s="799"/>
      <c r="DJ57" s="799"/>
      <c r="DK57" s="799"/>
      <c r="DL57" s="799"/>
      <c r="DM57" s="799"/>
      <c r="DN57" s="799"/>
      <c r="DO57" s="799"/>
      <c r="DP57" s="799"/>
      <c r="DQ57" s="799"/>
      <c r="DR57" s="799"/>
      <c r="DS57" s="799"/>
      <c r="DT57" s="799"/>
      <c r="DU57" s="799"/>
      <c r="DV57" s="799"/>
      <c r="DW57" s="799"/>
      <c r="DX57" s="799"/>
      <c r="DY57" s="799"/>
      <c r="DZ57" s="799"/>
      <c r="EA57" s="799"/>
      <c r="EB57" s="799"/>
      <c r="EC57" s="799"/>
      <c r="ED57" s="799"/>
      <c r="EE57" s="799"/>
      <c r="EF57" s="799"/>
      <c r="EG57" s="799"/>
      <c r="EH57" s="799"/>
      <c r="EI57" s="799"/>
      <c r="EJ57" s="799"/>
      <c r="EK57" s="799"/>
      <c r="EL57" s="799"/>
      <c r="EM57" s="799"/>
      <c r="EN57" s="799"/>
      <c r="EO57" s="799"/>
      <c r="EP57" s="799"/>
      <c r="EQ57" s="799"/>
      <c r="ER57" s="799"/>
      <c r="ES57" s="799"/>
      <c r="ET57" s="799"/>
      <c r="EU57" s="799"/>
      <c r="EV57" s="799"/>
      <c r="EW57" s="799"/>
      <c r="EX57" s="799"/>
      <c r="EY57" s="799"/>
      <c r="EZ57" s="799"/>
      <c r="FA57" s="799"/>
      <c r="FB57" s="799"/>
      <c r="FC57" s="799"/>
      <c r="FD57" s="799"/>
      <c r="FE57" s="799"/>
      <c r="FF57" s="799"/>
      <c r="FG57" s="799"/>
      <c r="FH57" s="799"/>
      <c r="FI57" s="799"/>
      <c r="FJ57" s="799"/>
      <c r="FK57" s="799"/>
      <c r="FL57" s="799"/>
      <c r="FM57" s="799"/>
      <c r="FN57" s="799"/>
      <c r="FO57" s="799"/>
      <c r="FP57" s="799"/>
      <c r="FQ57" s="799"/>
      <c r="FR57" s="799"/>
      <c r="FS57" s="799"/>
      <c r="FT57" s="799"/>
      <c r="FU57" s="799"/>
      <c r="FV57" s="799"/>
      <c r="FW57" s="799"/>
      <c r="FX57" s="799"/>
      <c r="FY57" s="799"/>
      <c r="FZ57" s="799"/>
      <c r="GA57" s="799"/>
      <c r="GB57" s="799"/>
      <c r="GC57" s="799"/>
      <c r="GD57" s="799"/>
      <c r="GE57" s="799"/>
      <c r="GF57" s="799"/>
      <c r="GG57" s="799"/>
      <c r="GH57" s="799"/>
      <c r="GI57" s="799"/>
      <c r="GJ57" s="799"/>
      <c r="GK57" s="799"/>
      <c r="GL57" s="799"/>
      <c r="GM57" s="799"/>
      <c r="GN57" s="799"/>
      <c r="GO57" s="799"/>
      <c r="GP57" s="799"/>
      <c r="GQ57" s="799"/>
      <c r="GR57" s="799"/>
      <c r="GS57" s="799"/>
      <c r="GT57" s="799"/>
      <c r="GU57" s="799"/>
      <c r="GV57" s="799"/>
      <c r="GW57" s="799"/>
      <c r="GX57" s="799"/>
      <c r="GY57" s="799"/>
      <c r="GZ57" s="799"/>
      <c r="HA57" s="799"/>
      <c r="HB57" s="799"/>
      <c r="HC57" s="799"/>
      <c r="HD57" s="799"/>
      <c r="HE57" s="799"/>
      <c r="HF57" s="799"/>
      <c r="HG57" s="799"/>
      <c r="HH57" s="799"/>
      <c r="HI57" s="799"/>
      <c r="HJ57" s="799"/>
      <c r="HK57" s="799"/>
      <c r="HL57" s="799"/>
      <c r="HM57" s="799"/>
      <c r="HN57" s="799"/>
      <c r="HO57" s="799"/>
      <c r="HP57" s="799"/>
      <c r="HQ57" s="799"/>
      <c r="HR57" s="799"/>
      <c r="HS57" s="799"/>
      <c r="HT57" s="799"/>
      <c r="HU57" s="799"/>
      <c r="HV57" s="799"/>
      <c r="HW57" s="799"/>
      <c r="HX57" s="799"/>
      <c r="HY57" s="799"/>
      <c r="HZ57" s="799"/>
      <c r="IA57" s="799"/>
      <c r="IB57" s="799"/>
    </row>
  </sheetData>
  <mergeCells count="65">
    <mergeCell ref="D5:T5"/>
    <mergeCell ref="W5:AP5"/>
    <mergeCell ref="B6:E6"/>
    <mergeCell ref="G6:Q6"/>
    <mergeCell ref="U6:BA6"/>
    <mergeCell ref="B7:E7"/>
    <mergeCell ref="G7:K7"/>
    <mergeCell ref="L7:Q7"/>
    <mergeCell ref="R7:T7"/>
    <mergeCell ref="U7:AR7"/>
    <mergeCell ref="B9:B10"/>
    <mergeCell ref="C9:C10"/>
    <mergeCell ref="D9:D10"/>
    <mergeCell ref="E9:E10"/>
    <mergeCell ref="G9:G10"/>
    <mergeCell ref="H9:H10"/>
    <mergeCell ref="I9:I10"/>
    <mergeCell ref="J9:J10"/>
    <mergeCell ref="K9:K10"/>
    <mergeCell ref="L9:L10"/>
    <mergeCell ref="M9:M10"/>
    <mergeCell ref="N9:N10"/>
    <mergeCell ref="O9:O10"/>
    <mergeCell ref="P9:P10"/>
    <mergeCell ref="Q9:Q10"/>
    <mergeCell ref="R9:R10"/>
    <mergeCell ref="S9:S10"/>
    <mergeCell ref="T9:T10"/>
    <mergeCell ref="U9:Y9"/>
    <mergeCell ref="Z9:AK9"/>
    <mergeCell ref="AL9:AR9"/>
    <mergeCell ref="AS9:AY9"/>
    <mergeCell ref="AZ9:BA9"/>
    <mergeCell ref="G29:L29"/>
    <mergeCell ref="B31:B32"/>
    <mergeCell ref="C31:C32"/>
    <mergeCell ref="D31:D32"/>
    <mergeCell ref="E31:E32"/>
    <mergeCell ref="G31:G32"/>
    <mergeCell ref="H31:H32"/>
    <mergeCell ref="I31:I32"/>
    <mergeCell ref="J31:J32"/>
    <mergeCell ref="K31:K32"/>
    <mergeCell ref="L31:L32"/>
    <mergeCell ref="M31:M32"/>
    <mergeCell ref="N31:N32"/>
    <mergeCell ref="O31:O32"/>
    <mergeCell ref="P31:P32"/>
    <mergeCell ref="Q31:Q32"/>
    <mergeCell ref="R31:R32"/>
    <mergeCell ref="S31:S32"/>
    <mergeCell ref="T31:T32"/>
    <mergeCell ref="U31:U32"/>
    <mergeCell ref="V31:V32"/>
    <mergeCell ref="W31:W32"/>
    <mergeCell ref="X31:X32"/>
    <mergeCell ref="Y31:Y32"/>
    <mergeCell ref="Z31:Z32"/>
    <mergeCell ref="AA31:AA32"/>
    <mergeCell ref="AB31:AB32"/>
    <mergeCell ref="AC31:AC32"/>
    <mergeCell ref="AD31:AD32"/>
    <mergeCell ref="E53:L53"/>
    <mergeCell ref="E54:L54"/>
    <mergeCell ref="E55:L55"/>
  </mergeCells>
  <dataValidations count="4">
    <dataValidation allowBlank="true" errorStyle="stop" operator="between" showDropDown="false" showErrorMessage="true" showInputMessage="true" sqref="R11:AH23" type="list">
      <formula1>"1,0,"</formula1>
      <formula2>0</formula2>
    </dataValidation>
    <dataValidation allowBlank="true" errorStyle="stop" operator="between" showDropDown="false" showErrorMessage="true" showInputMessage="true" sqref="AI11:AI23" type="list">
      <formula1>"BUENA,REGULAR,MALA,"</formula1>
      <formula2>0</formula2>
    </dataValidation>
    <dataValidation allowBlank="true" errorStyle="stop" operator="between" showDropDown="false" showErrorMessage="true" showInputMessage="true" sqref="B33:B43" type="list">
      <formula1>"SRN,SSY,LC,"</formula1>
      <formula2>0</formula2>
    </dataValidation>
    <dataValidation allowBlank="true" errorStyle="stop" operator="between" showDropDown="false" showErrorMessage="true" showInputMessage="true" sqref="BB11:BB27" type="list">
      <formula1>"si,no,"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8677"/>
    <pageSetUpPr fitToPage="false"/>
  </sheetPr>
  <dimension ref="B1:M8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1.43359375" defaultRowHeight="12.75" customHeight="false" zeroHeight="false" outlineLevelRow="0" outlineLevelCol="0"/>
  <cols>
    <col collapsed="false" customWidth="true" hidden="false" outlineLevel="0" max="1" min="1" style="733" width="3.71"/>
    <col collapsed="false" customWidth="true" hidden="false" outlineLevel="0" max="2" min="2" style="732" width="14.42"/>
    <col collapsed="false" customWidth="true" hidden="false" outlineLevel="0" max="3" min="3" style="732" width="17.86"/>
    <col collapsed="false" customWidth="true" hidden="false" outlineLevel="0" max="4" min="4" style="732" width="16.71"/>
    <col collapsed="false" customWidth="true" hidden="false" outlineLevel="0" max="5" min="5" style="733" width="9.71"/>
    <col collapsed="false" customWidth="true" hidden="false" outlineLevel="0" max="6" min="6" style="733" width="13.57"/>
    <col collapsed="false" customWidth="true" hidden="false" outlineLevel="0" max="7" min="7" style="733" width="10.29"/>
    <col collapsed="false" customWidth="true" hidden="false" outlineLevel="0" max="8" min="8" style="733" width="8.57"/>
    <col collapsed="false" customWidth="true" hidden="false" outlineLevel="0" max="9" min="9" style="733" width="12.29"/>
    <col collapsed="false" customWidth="true" hidden="false" outlineLevel="0" max="10" min="10" style="733" width="11.71"/>
    <col collapsed="false" customWidth="true" hidden="false" outlineLevel="0" max="11" min="11" style="733" width="10"/>
    <col collapsed="false" customWidth="false" hidden="false" outlineLevel="0" max="16384" min="12" style="733" width="11.43"/>
  </cols>
  <sheetData>
    <row r="1" customFormat="false" ht="56.25" hidden="false" customHeight="true" outlineLevel="0" collapsed="false"/>
    <row r="2" s="756" customFormat="true" ht="45" hidden="false" customHeight="true" outlineLevel="0" collapsed="false">
      <c r="B2" s="942" t="s">
        <v>743</v>
      </c>
      <c r="C2" s="943" t="s">
        <v>749</v>
      </c>
      <c r="D2" s="943"/>
      <c r="E2" s="943"/>
      <c r="F2" s="943"/>
      <c r="G2" s="943"/>
      <c r="H2" s="943"/>
      <c r="I2" s="943"/>
      <c r="J2" s="943"/>
      <c r="K2" s="943"/>
      <c r="L2" s="943"/>
      <c r="M2" s="944"/>
    </row>
    <row r="3" s="733" customFormat="true" ht="8.25" hidden="false" customHeight="true" outlineLevel="0" collapsed="false"/>
    <row r="4" customFormat="false" ht="28.5" hidden="false" customHeight="true" outlineLevel="0" collapsed="false">
      <c r="B4" s="945" t="s">
        <v>750</v>
      </c>
      <c r="C4" s="945"/>
      <c r="D4" s="945"/>
      <c r="E4" s="945"/>
      <c r="F4" s="945"/>
      <c r="G4" s="945"/>
      <c r="H4" s="945"/>
      <c r="I4" s="945"/>
      <c r="J4" s="945"/>
      <c r="K4" s="945"/>
      <c r="L4" s="945"/>
    </row>
    <row r="5" s="733" customFormat="true" ht="10.5" hidden="false" customHeight="true" outlineLevel="0" collapsed="false"/>
    <row r="6" s="946" customFormat="true" ht="29.25" hidden="false" customHeight="true" outlineLevel="0" collapsed="false">
      <c r="B6" s="947"/>
      <c r="C6" s="947"/>
      <c r="D6" s="948" t="s">
        <v>751</v>
      </c>
      <c r="E6" s="948"/>
      <c r="F6" s="948"/>
      <c r="G6" s="948" t="s">
        <v>752</v>
      </c>
      <c r="H6" s="948"/>
      <c r="I6" s="948"/>
      <c r="J6" s="948" t="s">
        <v>753</v>
      </c>
      <c r="K6" s="948"/>
      <c r="L6" s="948"/>
    </row>
    <row r="7" s="949" customFormat="true" ht="23.85" hidden="false" customHeight="false" outlineLevel="0" collapsed="false">
      <c r="B7" s="950" t="s">
        <v>17</v>
      </c>
      <c r="C7" s="951" t="s">
        <v>317</v>
      </c>
      <c r="D7" s="952" t="s">
        <v>754</v>
      </c>
      <c r="E7" s="952" t="s">
        <v>755</v>
      </c>
      <c r="F7" s="953" t="s">
        <v>756</v>
      </c>
      <c r="G7" s="952" t="s">
        <v>754</v>
      </c>
      <c r="H7" s="952" t="s">
        <v>755</v>
      </c>
      <c r="I7" s="953" t="s">
        <v>756</v>
      </c>
      <c r="J7" s="952" t="s">
        <v>754</v>
      </c>
      <c r="K7" s="952" t="s">
        <v>755</v>
      </c>
      <c r="L7" s="953" t="s">
        <v>756</v>
      </c>
    </row>
    <row r="8" customFormat="false" ht="13.8" hidden="false" customHeight="false" outlineLevel="0" collapsed="false">
      <c r="B8" s="792" t="s">
        <v>73</v>
      </c>
      <c r="C8" s="954" t="s">
        <v>586</v>
      </c>
      <c r="D8" s="955" t="n">
        <v>2</v>
      </c>
      <c r="E8" s="955" t="n">
        <v>5</v>
      </c>
      <c r="F8" s="956" t="n">
        <f aca="false">+E8+D8</f>
        <v>7</v>
      </c>
      <c r="G8" s="955" t="n">
        <v>1</v>
      </c>
      <c r="H8" s="955" t="n">
        <v>2</v>
      </c>
      <c r="I8" s="957" t="n">
        <f aca="false">+H8+G8</f>
        <v>3</v>
      </c>
      <c r="J8" s="958" t="n">
        <f aca="false">+G8/D8</f>
        <v>0.5</v>
      </c>
      <c r="K8" s="958" t="n">
        <f aca="false">+H8/E8</f>
        <v>0.4</v>
      </c>
      <c r="L8" s="959" t="n">
        <f aca="false">+I8/F8</f>
        <v>0.428571428571429</v>
      </c>
    </row>
    <row r="9" customFormat="false" ht="13.8" hidden="false" customHeight="false" outlineLevel="0" collapsed="false">
      <c r="B9" s="792" t="s">
        <v>73</v>
      </c>
      <c r="C9" s="954" t="s">
        <v>587</v>
      </c>
      <c r="D9" s="955"/>
      <c r="E9" s="955"/>
      <c r="F9" s="956" t="n">
        <f aca="false">+E9+D9</f>
        <v>0</v>
      </c>
      <c r="G9" s="955"/>
      <c r="H9" s="955"/>
      <c r="I9" s="957" t="n">
        <f aca="false">+H9+G9</f>
        <v>0</v>
      </c>
      <c r="J9" s="958"/>
      <c r="K9" s="958"/>
      <c r="L9" s="959" t="e">
        <f aca="false">+I9/F9</f>
        <v>#DIV/0!</v>
      </c>
    </row>
    <row r="10" customFormat="false" ht="13.8" hidden="false" customHeight="false" outlineLevel="0" collapsed="false">
      <c r="B10" s="792" t="s">
        <v>99</v>
      </c>
      <c r="C10" s="954" t="s">
        <v>601</v>
      </c>
      <c r="D10" s="955"/>
      <c r="E10" s="955"/>
      <c r="F10" s="956" t="n">
        <f aca="false">+E10+D10</f>
        <v>0</v>
      </c>
      <c r="G10" s="955"/>
      <c r="H10" s="955"/>
      <c r="I10" s="957" t="n">
        <f aca="false">+H10+G10</f>
        <v>0</v>
      </c>
      <c r="J10" s="958"/>
      <c r="K10" s="958"/>
      <c r="L10" s="959" t="e">
        <f aca="false">+I10/F10</f>
        <v>#DIV/0!</v>
      </c>
    </row>
    <row r="11" customFormat="false" ht="13.8" hidden="false" customHeight="false" outlineLevel="0" collapsed="false">
      <c r="B11" s="792" t="s">
        <v>99</v>
      </c>
      <c r="C11" s="954" t="s">
        <v>588</v>
      </c>
      <c r="D11" s="955"/>
      <c r="E11" s="955"/>
      <c r="F11" s="956" t="n">
        <f aca="false">+E11+D11</f>
        <v>0</v>
      </c>
      <c r="G11" s="955"/>
      <c r="H11" s="955"/>
      <c r="I11" s="957" t="n">
        <f aca="false">+H11+G11</f>
        <v>0</v>
      </c>
      <c r="J11" s="958"/>
      <c r="K11" s="958"/>
      <c r="L11" s="959" t="e">
        <f aca="false">+I11/F11</f>
        <v>#DIV/0!</v>
      </c>
    </row>
    <row r="12" customFormat="false" ht="13.8" hidden="false" customHeight="false" outlineLevel="0" collapsed="false">
      <c r="B12" s="792" t="s">
        <v>90</v>
      </c>
      <c r="C12" s="954" t="s">
        <v>589</v>
      </c>
      <c r="D12" s="955"/>
      <c r="E12" s="955"/>
      <c r="F12" s="956" t="n">
        <f aca="false">+E12+D12</f>
        <v>0</v>
      </c>
      <c r="G12" s="955"/>
      <c r="H12" s="955"/>
      <c r="I12" s="957" t="n">
        <f aca="false">+H12+G12</f>
        <v>0</v>
      </c>
      <c r="J12" s="958"/>
      <c r="K12" s="958"/>
      <c r="L12" s="959" t="e">
        <f aca="false">+I12/F12</f>
        <v>#DIV/0!</v>
      </c>
    </row>
    <row r="13" customFormat="false" ht="13.8" hidden="false" customHeight="false" outlineLevel="0" collapsed="false">
      <c r="B13" s="792" t="s">
        <v>99</v>
      </c>
      <c r="C13" s="954" t="s">
        <v>590</v>
      </c>
      <c r="D13" s="955"/>
      <c r="E13" s="955"/>
      <c r="F13" s="956" t="n">
        <f aca="false">+E13+D13</f>
        <v>0</v>
      </c>
      <c r="G13" s="955"/>
      <c r="H13" s="955"/>
      <c r="I13" s="957" t="n">
        <f aca="false">+H13+G13</f>
        <v>0</v>
      </c>
      <c r="J13" s="958"/>
      <c r="K13" s="958"/>
      <c r="L13" s="959" t="e">
        <f aca="false">+I13/F13</f>
        <v>#DIV/0!</v>
      </c>
    </row>
    <row r="14" customFormat="false" ht="13.8" hidden="false" customHeight="false" outlineLevel="0" collapsed="false">
      <c r="B14" s="792" t="s">
        <v>73</v>
      </c>
      <c r="C14" s="954" t="s">
        <v>591</v>
      </c>
      <c r="D14" s="955"/>
      <c r="E14" s="955"/>
      <c r="F14" s="956" t="n">
        <f aca="false">+E14+D14</f>
        <v>0</v>
      </c>
      <c r="G14" s="955"/>
      <c r="H14" s="955"/>
      <c r="I14" s="957" t="n">
        <f aca="false">+H14+G14</f>
        <v>0</v>
      </c>
      <c r="J14" s="958"/>
      <c r="K14" s="958"/>
      <c r="L14" s="959" t="e">
        <f aca="false">+I14/F14</f>
        <v>#DIV/0!</v>
      </c>
    </row>
    <row r="15" customFormat="false" ht="13.8" hidden="false" customHeight="false" outlineLevel="0" collapsed="false">
      <c r="B15" s="792" t="s">
        <v>73</v>
      </c>
      <c r="C15" s="954" t="s">
        <v>592</v>
      </c>
      <c r="D15" s="955"/>
      <c r="E15" s="955"/>
      <c r="F15" s="956" t="n">
        <f aca="false">+E15+D15</f>
        <v>0</v>
      </c>
      <c r="G15" s="955"/>
      <c r="H15" s="955"/>
      <c r="I15" s="957" t="n">
        <f aca="false">+H15+G15</f>
        <v>0</v>
      </c>
      <c r="J15" s="958"/>
      <c r="K15" s="958"/>
      <c r="L15" s="959" t="e">
        <f aca="false">+I15/F15</f>
        <v>#DIV/0!</v>
      </c>
    </row>
    <row r="16" customFormat="false" ht="13.8" hidden="false" customHeight="false" outlineLevel="0" collapsed="false">
      <c r="B16" s="792" t="s">
        <v>73</v>
      </c>
      <c r="C16" s="954" t="s">
        <v>593</v>
      </c>
      <c r="D16" s="955"/>
      <c r="E16" s="955"/>
      <c r="F16" s="956" t="n">
        <f aca="false">+E16+D16</f>
        <v>0</v>
      </c>
      <c r="G16" s="955"/>
      <c r="H16" s="955"/>
      <c r="I16" s="957" t="n">
        <f aca="false">+H16+G16</f>
        <v>0</v>
      </c>
      <c r="J16" s="958"/>
      <c r="K16" s="958"/>
      <c r="L16" s="959" t="e">
        <f aca="false">+I16/F16</f>
        <v>#DIV/0!</v>
      </c>
    </row>
    <row r="17" customFormat="false" ht="13.8" hidden="false" customHeight="false" outlineLevel="0" collapsed="false">
      <c r="B17" s="792" t="s">
        <v>99</v>
      </c>
      <c r="C17" s="954" t="s">
        <v>594</v>
      </c>
      <c r="D17" s="955"/>
      <c r="E17" s="955"/>
      <c r="F17" s="956" t="n">
        <f aca="false">+E17+D17</f>
        <v>0</v>
      </c>
      <c r="G17" s="955"/>
      <c r="H17" s="955"/>
      <c r="I17" s="957" t="n">
        <f aca="false">+H17+G17</f>
        <v>0</v>
      </c>
      <c r="J17" s="958"/>
      <c r="K17" s="958"/>
      <c r="L17" s="959" t="e">
        <f aca="false">+I17/F17</f>
        <v>#DIV/0!</v>
      </c>
    </row>
    <row r="18" customFormat="false" ht="13.8" hidden="false" customHeight="false" outlineLevel="0" collapsed="false">
      <c r="B18" s="792" t="s">
        <v>90</v>
      </c>
      <c r="C18" s="954" t="s">
        <v>595</v>
      </c>
      <c r="D18" s="955"/>
      <c r="E18" s="955"/>
      <c r="F18" s="956" t="n">
        <f aca="false">+E18+D18</f>
        <v>0</v>
      </c>
      <c r="G18" s="955"/>
      <c r="H18" s="955"/>
      <c r="I18" s="957" t="n">
        <f aca="false">+H18+G18</f>
        <v>0</v>
      </c>
      <c r="J18" s="958"/>
      <c r="K18" s="958"/>
      <c r="L18" s="959" t="e">
        <f aca="false">+I18/F18</f>
        <v>#DIV/0!</v>
      </c>
    </row>
    <row r="19" s="734" customFormat="true" ht="12.75" hidden="false" customHeight="false" outlineLevel="0" collapsed="false">
      <c r="B19" s="960" t="s">
        <v>584</v>
      </c>
      <c r="C19" s="961"/>
      <c r="D19" s="962" t="n">
        <f aca="false">SUM(D8:D18)</f>
        <v>2</v>
      </c>
      <c r="E19" s="962" t="n">
        <f aca="false">SUM(E8:E18)</f>
        <v>5</v>
      </c>
      <c r="F19" s="960" t="n">
        <f aca="false">SUM(F8:F18)</f>
        <v>7</v>
      </c>
      <c r="G19" s="962" t="n">
        <f aca="false">SUM(G8:G18)</f>
        <v>1</v>
      </c>
      <c r="H19" s="962" t="n">
        <f aca="false">SUM(H8:H18)</f>
        <v>2</v>
      </c>
      <c r="I19" s="960" t="n">
        <f aca="false">SUM(I8:I18)</f>
        <v>3</v>
      </c>
      <c r="J19" s="963" t="n">
        <f aca="false">+G19/D19</f>
        <v>0.5</v>
      </c>
      <c r="K19" s="963" t="n">
        <f aca="false">+G19/E19</f>
        <v>0.2</v>
      </c>
      <c r="L19" s="964" t="n">
        <f aca="false">+I19/F19</f>
        <v>0.428571428571429</v>
      </c>
    </row>
    <row r="20" customFormat="false" ht="12.75" hidden="false" customHeight="false" outlineLevel="0" collapsed="false">
      <c r="D20" s="965"/>
      <c r="E20" s="966"/>
      <c r="G20" s="965"/>
      <c r="H20" s="965"/>
      <c r="I20" s="732"/>
      <c r="J20" s="965"/>
      <c r="K20" s="965"/>
      <c r="L20" s="732"/>
    </row>
    <row r="22" s="756" customFormat="true" ht="39.75" hidden="false" customHeight="true" outlineLevel="0" collapsed="false">
      <c r="B22" s="942" t="s">
        <v>757</v>
      </c>
      <c r="C22" s="967" t="s">
        <v>758</v>
      </c>
      <c r="D22" s="967"/>
      <c r="E22" s="967"/>
      <c r="F22" s="967"/>
      <c r="G22" s="967"/>
      <c r="H22" s="967"/>
      <c r="I22" s="967"/>
      <c r="J22" s="967"/>
      <c r="K22" s="968"/>
    </row>
    <row r="23" customFormat="false" ht="25.5" hidden="false" customHeight="true" outlineLevel="0" collapsed="false">
      <c r="G23" s="969" t="s">
        <v>759</v>
      </c>
      <c r="H23" s="969"/>
      <c r="I23" s="969"/>
      <c r="J23" s="969"/>
      <c r="K23" s="970"/>
      <c r="L23" s="970"/>
      <c r="M23" s="970"/>
    </row>
    <row r="24" s="971" customFormat="true" ht="28.5" hidden="false" customHeight="true" outlineLevel="0" collapsed="false">
      <c r="B24" s="972" t="s">
        <v>410</v>
      </c>
      <c r="C24" s="972" t="s">
        <v>17</v>
      </c>
      <c r="D24" s="972" t="s">
        <v>317</v>
      </c>
      <c r="E24" s="973" t="s">
        <v>609</v>
      </c>
      <c r="F24" s="974" t="s">
        <v>760</v>
      </c>
      <c r="G24" s="975" t="s">
        <v>761</v>
      </c>
      <c r="H24" s="973" t="s">
        <v>762</v>
      </c>
      <c r="I24" s="948" t="s">
        <v>584</v>
      </c>
      <c r="J24" s="975" t="s">
        <v>763</v>
      </c>
      <c r="K24" s="970"/>
      <c r="L24" s="970"/>
      <c r="M24" s="970"/>
    </row>
    <row r="25" customFormat="false" ht="13.8" hidden="false" customHeight="false" outlineLevel="0" collapsed="false">
      <c r="B25" s="792" t="n">
        <v>1</v>
      </c>
      <c r="C25" s="976" t="s">
        <v>73</v>
      </c>
      <c r="D25" s="976" t="s">
        <v>626</v>
      </c>
      <c r="E25" s="794"/>
      <c r="F25" s="794"/>
      <c r="G25" s="794"/>
      <c r="H25" s="794"/>
      <c r="I25" s="977" t="n">
        <f aca="false">+H25+G25</f>
        <v>0</v>
      </c>
      <c r="J25" s="978"/>
      <c r="K25" s="970"/>
      <c r="L25" s="970"/>
      <c r="M25" s="970"/>
    </row>
    <row r="26" customFormat="false" ht="13.8" hidden="false" customHeight="false" outlineLevel="0" collapsed="false">
      <c r="B26" s="792" t="n">
        <v>2</v>
      </c>
      <c r="C26" s="976" t="s">
        <v>73</v>
      </c>
      <c r="D26" s="976" t="s">
        <v>626</v>
      </c>
      <c r="E26" s="794"/>
      <c r="F26" s="794"/>
      <c r="G26" s="794"/>
      <c r="H26" s="794"/>
      <c r="I26" s="977" t="n">
        <f aca="false">+H26+G26</f>
        <v>0</v>
      </c>
      <c r="J26" s="978"/>
      <c r="K26" s="970"/>
      <c r="L26" s="970"/>
      <c r="M26" s="970"/>
    </row>
    <row r="27" customFormat="false" ht="13.8" hidden="false" customHeight="false" outlineLevel="0" collapsed="false">
      <c r="B27" s="792" t="n">
        <v>3</v>
      </c>
      <c r="C27" s="976" t="s">
        <v>73</v>
      </c>
      <c r="D27" s="976" t="s">
        <v>628</v>
      </c>
      <c r="E27" s="794"/>
      <c r="F27" s="794"/>
      <c r="G27" s="794"/>
      <c r="H27" s="794"/>
      <c r="I27" s="977" t="n">
        <f aca="false">+H27+G27</f>
        <v>0</v>
      </c>
      <c r="J27" s="978"/>
    </row>
    <row r="28" customFormat="false" ht="13.8" hidden="false" customHeight="false" outlineLevel="0" collapsed="false">
      <c r="B28" s="792" t="n">
        <v>4</v>
      </c>
      <c r="C28" s="976" t="s">
        <v>73</v>
      </c>
      <c r="D28" s="976" t="s">
        <v>629</v>
      </c>
      <c r="E28" s="794"/>
      <c r="F28" s="794"/>
      <c r="G28" s="794"/>
      <c r="H28" s="794"/>
      <c r="I28" s="977" t="n">
        <f aca="false">+H28+G28</f>
        <v>0</v>
      </c>
      <c r="J28" s="978"/>
    </row>
    <row r="29" customFormat="false" ht="13.8" hidden="false" customHeight="false" outlineLevel="0" collapsed="false">
      <c r="B29" s="792" t="n">
        <v>5</v>
      </c>
      <c r="C29" s="976" t="s">
        <v>73</v>
      </c>
      <c r="D29" s="976" t="s">
        <v>628</v>
      </c>
      <c r="E29" s="794"/>
      <c r="F29" s="794"/>
      <c r="G29" s="794"/>
      <c r="H29" s="794"/>
      <c r="I29" s="977" t="n">
        <f aca="false">+H29+G29</f>
        <v>0</v>
      </c>
      <c r="J29" s="978"/>
    </row>
    <row r="30" customFormat="false" ht="13.8" hidden="false" customHeight="false" outlineLevel="0" collapsed="false">
      <c r="B30" s="792" t="n">
        <v>6</v>
      </c>
      <c r="C30" s="976" t="s">
        <v>73</v>
      </c>
      <c r="D30" s="976" t="s">
        <v>628</v>
      </c>
      <c r="E30" s="794"/>
      <c r="F30" s="794"/>
      <c r="G30" s="794"/>
      <c r="H30" s="794"/>
      <c r="I30" s="977" t="n">
        <f aca="false">+H30+G30</f>
        <v>0</v>
      </c>
      <c r="J30" s="978"/>
    </row>
    <row r="31" customFormat="false" ht="13.8" hidden="false" customHeight="false" outlineLevel="0" collapsed="false">
      <c r="B31" s="792" t="n">
        <v>7</v>
      </c>
      <c r="C31" s="976" t="s">
        <v>73</v>
      </c>
      <c r="D31" s="976" t="s">
        <v>628</v>
      </c>
      <c r="E31" s="794"/>
      <c r="F31" s="794"/>
      <c r="G31" s="794"/>
      <c r="H31" s="794"/>
      <c r="I31" s="977" t="n">
        <f aca="false">+H31+G31</f>
        <v>0</v>
      </c>
      <c r="J31" s="978"/>
    </row>
    <row r="32" customFormat="false" ht="13.8" hidden="false" customHeight="false" outlineLevel="0" collapsed="false">
      <c r="B32" s="792" t="n">
        <v>8</v>
      </c>
      <c r="C32" s="976" t="s">
        <v>73</v>
      </c>
      <c r="D32" s="976" t="s">
        <v>628</v>
      </c>
      <c r="E32" s="794"/>
      <c r="F32" s="794"/>
      <c r="G32" s="794"/>
      <c r="H32" s="794"/>
      <c r="I32" s="977" t="n">
        <f aca="false">+H32+G32</f>
        <v>0</v>
      </c>
      <c r="J32" s="978"/>
    </row>
    <row r="33" customFormat="false" ht="13.8" hidden="false" customHeight="false" outlineLevel="0" collapsed="false">
      <c r="B33" s="792" t="n">
        <v>9</v>
      </c>
      <c r="C33" s="976" t="s">
        <v>73</v>
      </c>
      <c r="D33" s="976" t="s">
        <v>628</v>
      </c>
      <c r="E33" s="794"/>
      <c r="F33" s="794"/>
      <c r="G33" s="794"/>
      <c r="H33" s="794"/>
      <c r="I33" s="977" t="n">
        <f aca="false">+H33+G33</f>
        <v>0</v>
      </c>
      <c r="J33" s="978"/>
    </row>
    <row r="34" customFormat="false" ht="13.8" hidden="false" customHeight="false" outlineLevel="0" collapsed="false">
      <c r="B34" s="792" t="n">
        <v>10</v>
      </c>
      <c r="C34" s="976" t="s">
        <v>73</v>
      </c>
      <c r="D34" s="976" t="s">
        <v>628</v>
      </c>
      <c r="E34" s="794"/>
      <c r="F34" s="794"/>
      <c r="G34" s="794"/>
      <c r="H34" s="794"/>
      <c r="I34" s="977" t="n">
        <f aca="false">+H34+G34</f>
        <v>0</v>
      </c>
      <c r="J34" s="978"/>
    </row>
    <row r="35" customFormat="false" ht="13.8" hidden="false" customHeight="false" outlineLevel="0" collapsed="false">
      <c r="B35" s="792" t="n">
        <v>11</v>
      </c>
      <c r="C35" s="976" t="s">
        <v>99</v>
      </c>
      <c r="D35" s="976" t="s">
        <v>629</v>
      </c>
      <c r="E35" s="794"/>
      <c r="F35" s="794"/>
      <c r="G35" s="794"/>
      <c r="H35" s="794"/>
      <c r="I35" s="977" t="n">
        <f aca="false">+H35+G35</f>
        <v>0</v>
      </c>
      <c r="J35" s="978"/>
    </row>
    <row r="36" customFormat="false" ht="13.8" hidden="false" customHeight="false" outlineLevel="0" collapsed="false">
      <c r="B36" s="792" t="n">
        <v>12</v>
      </c>
      <c r="C36" s="976" t="s">
        <v>73</v>
      </c>
      <c r="D36" s="976" t="s">
        <v>628</v>
      </c>
      <c r="E36" s="794"/>
      <c r="F36" s="794"/>
      <c r="G36" s="794"/>
      <c r="H36" s="794"/>
      <c r="I36" s="977" t="n">
        <f aca="false">+H36+G36</f>
        <v>0</v>
      </c>
      <c r="J36" s="978"/>
    </row>
    <row r="37" customFormat="false" ht="13.8" hidden="false" customHeight="false" outlineLevel="0" collapsed="false">
      <c r="B37" s="792" t="n">
        <v>13</v>
      </c>
      <c r="C37" s="976" t="s">
        <v>73</v>
      </c>
      <c r="D37" s="976" t="s">
        <v>628</v>
      </c>
      <c r="E37" s="794"/>
      <c r="F37" s="794"/>
      <c r="G37" s="794"/>
      <c r="H37" s="794"/>
      <c r="I37" s="977" t="n">
        <f aca="false">+H37+G37</f>
        <v>0</v>
      </c>
      <c r="J37" s="978"/>
    </row>
    <row r="38" customFormat="false" ht="13.8" hidden="false" customHeight="false" outlineLevel="0" collapsed="false">
      <c r="B38" s="792" t="n">
        <v>14</v>
      </c>
      <c r="C38" s="976" t="s">
        <v>73</v>
      </c>
      <c r="D38" s="976" t="s">
        <v>628</v>
      </c>
      <c r="E38" s="794"/>
      <c r="F38" s="794"/>
      <c r="G38" s="794"/>
      <c r="H38" s="794"/>
      <c r="I38" s="977" t="n">
        <f aca="false">+H38+G38</f>
        <v>0</v>
      </c>
      <c r="J38" s="978"/>
    </row>
    <row r="39" customFormat="false" ht="13.8" hidden="false" customHeight="false" outlineLevel="0" collapsed="false">
      <c r="B39" s="792" t="n">
        <v>15</v>
      </c>
      <c r="C39" s="976" t="s">
        <v>73</v>
      </c>
      <c r="D39" s="976" t="s">
        <v>628</v>
      </c>
      <c r="E39" s="794"/>
      <c r="F39" s="794"/>
      <c r="G39" s="794"/>
      <c r="H39" s="794"/>
      <c r="I39" s="977" t="n">
        <f aca="false">+H39+G39</f>
        <v>0</v>
      </c>
      <c r="J39" s="978"/>
    </row>
    <row r="40" customFormat="false" ht="13.8" hidden="false" customHeight="false" outlineLevel="0" collapsed="false">
      <c r="B40" s="792" t="n">
        <v>16</v>
      </c>
      <c r="C40" s="976" t="s">
        <v>73</v>
      </c>
      <c r="D40" s="976" t="s">
        <v>628</v>
      </c>
      <c r="E40" s="794"/>
      <c r="F40" s="794"/>
      <c r="G40" s="794"/>
      <c r="H40" s="794"/>
      <c r="I40" s="977" t="n">
        <f aca="false">+H40+G40</f>
        <v>0</v>
      </c>
      <c r="J40" s="978"/>
    </row>
    <row r="41" customFormat="false" ht="13.8" hidden="false" customHeight="false" outlineLevel="0" collapsed="false">
      <c r="B41" s="792" t="n">
        <v>17</v>
      </c>
      <c r="C41" s="976" t="s">
        <v>73</v>
      </c>
      <c r="D41" s="976" t="s">
        <v>628</v>
      </c>
      <c r="E41" s="794"/>
      <c r="F41" s="794"/>
      <c r="G41" s="794"/>
      <c r="H41" s="794"/>
      <c r="I41" s="977" t="n">
        <f aca="false">+H41+G41</f>
        <v>0</v>
      </c>
      <c r="J41" s="978"/>
    </row>
    <row r="42" customFormat="false" ht="13.8" hidden="false" customHeight="false" outlineLevel="0" collapsed="false">
      <c r="B42" s="792" t="n">
        <v>18</v>
      </c>
      <c r="C42" s="976" t="s">
        <v>73</v>
      </c>
      <c r="D42" s="976" t="s">
        <v>628</v>
      </c>
      <c r="E42" s="794"/>
      <c r="F42" s="794"/>
      <c r="G42" s="794"/>
      <c r="H42" s="794"/>
      <c r="I42" s="977" t="n">
        <f aca="false">+H42+G42</f>
        <v>0</v>
      </c>
      <c r="J42" s="978"/>
    </row>
    <row r="43" customFormat="false" ht="13.8" hidden="false" customHeight="false" outlineLevel="0" collapsed="false">
      <c r="B43" s="792" t="n">
        <v>19</v>
      </c>
      <c r="C43" s="976" t="s">
        <v>73</v>
      </c>
      <c r="D43" s="976" t="s">
        <v>628</v>
      </c>
      <c r="E43" s="794"/>
      <c r="F43" s="794"/>
      <c r="G43" s="794"/>
      <c r="H43" s="794"/>
      <c r="I43" s="977" t="n">
        <f aca="false">+H43+G43</f>
        <v>0</v>
      </c>
      <c r="J43" s="978"/>
    </row>
    <row r="44" customFormat="false" ht="13.8" hidden="false" customHeight="false" outlineLevel="0" collapsed="false">
      <c r="B44" s="792" t="n">
        <v>20</v>
      </c>
      <c r="C44" s="976" t="s">
        <v>73</v>
      </c>
      <c r="D44" s="976" t="s">
        <v>628</v>
      </c>
      <c r="E44" s="794"/>
      <c r="F44" s="794"/>
      <c r="G44" s="794"/>
      <c r="H44" s="794"/>
      <c r="I44" s="977" t="n">
        <f aca="false">+H44+G44</f>
        <v>0</v>
      </c>
      <c r="J44" s="978"/>
    </row>
    <row r="45" customFormat="false" ht="13.8" hidden="false" customHeight="false" outlineLevel="0" collapsed="false">
      <c r="B45" s="792" t="n">
        <v>21</v>
      </c>
      <c r="C45" s="976" t="s">
        <v>73</v>
      </c>
      <c r="D45" s="976" t="s">
        <v>628</v>
      </c>
      <c r="E45" s="794"/>
      <c r="F45" s="794"/>
      <c r="G45" s="794"/>
      <c r="H45" s="794"/>
      <c r="I45" s="977" t="n">
        <f aca="false">+H45+G45</f>
        <v>0</v>
      </c>
      <c r="J45" s="978"/>
    </row>
    <row r="46" customFormat="false" ht="13.8" hidden="false" customHeight="false" outlineLevel="0" collapsed="false">
      <c r="B46" s="792" t="n">
        <v>22</v>
      </c>
      <c r="C46" s="976" t="s">
        <v>73</v>
      </c>
      <c r="D46" s="976" t="s">
        <v>628</v>
      </c>
      <c r="E46" s="794"/>
      <c r="F46" s="794"/>
      <c r="G46" s="794"/>
      <c r="H46" s="794"/>
      <c r="I46" s="977" t="n">
        <f aca="false">+H46+G46</f>
        <v>0</v>
      </c>
      <c r="J46" s="978"/>
    </row>
    <row r="47" customFormat="false" ht="13.8" hidden="false" customHeight="false" outlineLevel="0" collapsed="false">
      <c r="B47" s="792" t="n">
        <v>23</v>
      </c>
      <c r="C47" s="976" t="s">
        <v>73</v>
      </c>
      <c r="D47" s="976" t="s">
        <v>628</v>
      </c>
      <c r="E47" s="794"/>
      <c r="F47" s="794"/>
      <c r="G47" s="794"/>
      <c r="H47" s="794"/>
      <c r="I47" s="977" t="n">
        <f aca="false">+H47+G47</f>
        <v>0</v>
      </c>
      <c r="J47" s="978"/>
    </row>
    <row r="48" customFormat="false" ht="13.8" hidden="false" customHeight="false" outlineLevel="0" collapsed="false">
      <c r="B48" s="792" t="n">
        <v>24</v>
      </c>
      <c r="C48" s="976" t="s">
        <v>73</v>
      </c>
      <c r="D48" s="976" t="s">
        <v>628</v>
      </c>
      <c r="E48" s="794"/>
      <c r="F48" s="794"/>
      <c r="G48" s="794"/>
      <c r="H48" s="794"/>
      <c r="I48" s="977" t="n">
        <f aca="false">+H48+G48</f>
        <v>0</v>
      </c>
      <c r="J48" s="978"/>
    </row>
    <row r="49" customFormat="false" ht="13.8" hidden="false" customHeight="false" outlineLevel="0" collapsed="false">
      <c r="B49" s="792" t="n">
        <v>25</v>
      </c>
      <c r="C49" s="976" t="s">
        <v>73</v>
      </c>
      <c r="D49" s="976" t="s">
        <v>628</v>
      </c>
      <c r="E49" s="794"/>
      <c r="F49" s="794"/>
      <c r="G49" s="794"/>
      <c r="H49" s="794"/>
      <c r="I49" s="977" t="n">
        <f aca="false">+H49+G49</f>
        <v>0</v>
      </c>
      <c r="J49" s="978"/>
    </row>
    <row r="50" customFormat="false" ht="13.8" hidden="false" customHeight="false" outlineLevel="0" collapsed="false">
      <c r="B50" s="792" t="n">
        <v>26</v>
      </c>
      <c r="C50" s="976" t="s">
        <v>73</v>
      </c>
      <c r="D50" s="976" t="s">
        <v>628</v>
      </c>
      <c r="E50" s="794"/>
      <c r="F50" s="794"/>
      <c r="G50" s="794"/>
      <c r="H50" s="794"/>
      <c r="I50" s="977" t="n">
        <f aca="false">+H50+G50</f>
        <v>0</v>
      </c>
      <c r="J50" s="978"/>
    </row>
    <row r="51" customFormat="false" ht="13.8" hidden="false" customHeight="false" outlineLevel="0" collapsed="false">
      <c r="B51" s="792" t="n">
        <v>27</v>
      </c>
      <c r="C51" s="976" t="s">
        <v>73</v>
      </c>
      <c r="D51" s="976" t="s">
        <v>628</v>
      </c>
      <c r="E51" s="794"/>
      <c r="F51" s="794"/>
      <c r="G51" s="794"/>
      <c r="H51" s="794"/>
      <c r="I51" s="977" t="n">
        <f aca="false">+H51+G51</f>
        <v>0</v>
      </c>
      <c r="J51" s="978"/>
    </row>
    <row r="52" customFormat="false" ht="13.8" hidden="false" customHeight="false" outlineLevel="0" collapsed="false">
      <c r="B52" s="792" t="n">
        <v>28</v>
      </c>
      <c r="C52" s="976" t="s">
        <v>73</v>
      </c>
      <c r="D52" s="976" t="s">
        <v>628</v>
      </c>
      <c r="E52" s="794"/>
      <c r="F52" s="794"/>
      <c r="G52" s="794"/>
      <c r="H52" s="794"/>
      <c r="I52" s="977" t="n">
        <f aca="false">+H52+G52</f>
        <v>0</v>
      </c>
      <c r="J52" s="978"/>
    </row>
    <row r="53" customFormat="false" ht="13.8" hidden="false" customHeight="false" outlineLevel="0" collapsed="false">
      <c r="B53" s="792" t="n">
        <v>29</v>
      </c>
      <c r="C53" s="976" t="s">
        <v>73</v>
      </c>
      <c r="D53" s="976" t="s">
        <v>628</v>
      </c>
      <c r="E53" s="794"/>
      <c r="F53" s="794"/>
      <c r="G53" s="794"/>
      <c r="H53" s="794"/>
      <c r="I53" s="977" t="n">
        <f aca="false">+H53+G53</f>
        <v>0</v>
      </c>
      <c r="J53" s="978"/>
    </row>
    <row r="54" customFormat="false" ht="13.8" hidden="false" customHeight="false" outlineLevel="0" collapsed="false">
      <c r="B54" s="792" t="n">
        <v>30</v>
      </c>
      <c r="C54" s="976" t="s">
        <v>73</v>
      </c>
      <c r="D54" s="976" t="s">
        <v>628</v>
      </c>
      <c r="E54" s="794"/>
      <c r="F54" s="794"/>
      <c r="G54" s="794"/>
      <c r="H54" s="794"/>
      <c r="I54" s="977" t="n">
        <f aca="false">+H54+G54</f>
        <v>0</v>
      </c>
      <c r="J54" s="978"/>
    </row>
    <row r="55" customFormat="false" ht="13.8" hidden="false" customHeight="false" outlineLevel="0" collapsed="false">
      <c r="B55" s="792" t="n">
        <v>31</v>
      </c>
      <c r="C55" s="976" t="s">
        <v>73</v>
      </c>
      <c r="D55" s="976" t="s">
        <v>628</v>
      </c>
      <c r="E55" s="794"/>
      <c r="F55" s="794"/>
      <c r="G55" s="794"/>
      <c r="H55" s="794"/>
      <c r="I55" s="977" t="n">
        <f aca="false">+H55+G55</f>
        <v>0</v>
      </c>
      <c r="J55" s="978"/>
    </row>
    <row r="56" customFormat="false" ht="13.8" hidden="false" customHeight="false" outlineLevel="0" collapsed="false">
      <c r="B56" s="792" t="n">
        <v>32</v>
      </c>
      <c r="C56" s="976" t="s">
        <v>73</v>
      </c>
      <c r="D56" s="976" t="s">
        <v>628</v>
      </c>
      <c r="E56" s="794"/>
      <c r="F56" s="794"/>
      <c r="G56" s="794"/>
      <c r="H56" s="794"/>
      <c r="I56" s="977" t="n">
        <f aca="false">+H56+G56</f>
        <v>0</v>
      </c>
      <c r="J56" s="978"/>
    </row>
    <row r="57" customFormat="false" ht="13.8" hidden="false" customHeight="false" outlineLevel="0" collapsed="false">
      <c r="B57" s="792" t="n">
        <v>33</v>
      </c>
      <c r="C57" s="976" t="s">
        <v>73</v>
      </c>
      <c r="D57" s="976" t="s">
        <v>628</v>
      </c>
      <c r="E57" s="794"/>
      <c r="F57" s="794"/>
      <c r="G57" s="794"/>
      <c r="H57" s="794"/>
      <c r="I57" s="977" t="n">
        <f aca="false">+H57+G57</f>
        <v>0</v>
      </c>
      <c r="J57" s="978"/>
    </row>
    <row r="58" customFormat="false" ht="13.8" hidden="false" customHeight="false" outlineLevel="0" collapsed="false">
      <c r="B58" s="792" t="n">
        <v>34</v>
      </c>
      <c r="C58" s="976" t="s">
        <v>73</v>
      </c>
      <c r="D58" s="976" t="s">
        <v>628</v>
      </c>
      <c r="E58" s="794"/>
      <c r="F58" s="794"/>
      <c r="G58" s="794"/>
      <c r="H58" s="794"/>
      <c r="I58" s="977" t="n">
        <f aca="false">+H58+G58</f>
        <v>0</v>
      </c>
      <c r="J58" s="978"/>
    </row>
    <row r="59" customFormat="false" ht="13.8" hidden="false" customHeight="false" outlineLevel="0" collapsed="false">
      <c r="B59" s="792" t="n">
        <v>35</v>
      </c>
      <c r="C59" s="976" t="s">
        <v>73</v>
      </c>
      <c r="D59" s="976" t="s">
        <v>628</v>
      </c>
      <c r="E59" s="794"/>
      <c r="F59" s="794"/>
      <c r="G59" s="794"/>
      <c r="H59" s="794"/>
      <c r="I59" s="977" t="n">
        <f aca="false">+H59+G59</f>
        <v>0</v>
      </c>
      <c r="J59" s="978"/>
    </row>
    <row r="60" customFormat="false" ht="13.8" hidden="false" customHeight="false" outlineLevel="0" collapsed="false">
      <c r="B60" s="792" t="n">
        <v>36</v>
      </c>
      <c r="C60" s="976" t="s">
        <v>73</v>
      </c>
      <c r="D60" s="976" t="s">
        <v>628</v>
      </c>
      <c r="E60" s="794"/>
      <c r="F60" s="794"/>
      <c r="G60" s="794"/>
      <c r="H60" s="794"/>
      <c r="I60" s="977" t="n">
        <f aca="false">+H60+G60</f>
        <v>0</v>
      </c>
      <c r="J60" s="978"/>
    </row>
    <row r="61" customFormat="false" ht="13.8" hidden="false" customHeight="false" outlineLevel="0" collapsed="false">
      <c r="B61" s="792" t="n">
        <v>37</v>
      </c>
      <c r="C61" s="976" t="s">
        <v>73</v>
      </c>
      <c r="D61" s="976" t="s">
        <v>628</v>
      </c>
      <c r="E61" s="794"/>
      <c r="F61" s="794"/>
      <c r="G61" s="794"/>
      <c r="H61" s="794"/>
      <c r="I61" s="977" t="n">
        <f aca="false">+H61+G61</f>
        <v>0</v>
      </c>
      <c r="J61" s="978"/>
    </row>
    <row r="62" customFormat="false" ht="13.8" hidden="false" customHeight="false" outlineLevel="0" collapsed="false">
      <c r="B62" s="792" t="n">
        <v>38</v>
      </c>
      <c r="C62" s="976" t="s">
        <v>73</v>
      </c>
      <c r="D62" s="976" t="s">
        <v>628</v>
      </c>
      <c r="E62" s="794"/>
      <c r="F62" s="794"/>
      <c r="G62" s="794"/>
      <c r="H62" s="794"/>
      <c r="I62" s="977" t="n">
        <f aca="false">+H62+G62</f>
        <v>0</v>
      </c>
      <c r="J62" s="978"/>
    </row>
    <row r="63" customFormat="false" ht="13.8" hidden="false" customHeight="false" outlineLevel="0" collapsed="false">
      <c r="B63" s="792" t="n">
        <v>39</v>
      </c>
      <c r="C63" s="976" t="s">
        <v>73</v>
      </c>
      <c r="D63" s="976" t="s">
        <v>628</v>
      </c>
      <c r="E63" s="794"/>
      <c r="F63" s="794"/>
      <c r="G63" s="794"/>
      <c r="H63" s="794"/>
      <c r="I63" s="977" t="n">
        <f aca="false">+H63+G63</f>
        <v>0</v>
      </c>
      <c r="J63" s="978"/>
    </row>
    <row r="64" customFormat="false" ht="13.8" hidden="false" customHeight="false" outlineLevel="0" collapsed="false">
      <c r="B64" s="792" t="n">
        <v>40</v>
      </c>
      <c r="C64" s="976" t="s">
        <v>73</v>
      </c>
      <c r="D64" s="976" t="s">
        <v>628</v>
      </c>
      <c r="E64" s="794"/>
      <c r="F64" s="794"/>
      <c r="G64" s="794"/>
      <c r="H64" s="794"/>
      <c r="I64" s="977" t="n">
        <f aca="false">+H64+G64</f>
        <v>0</v>
      </c>
      <c r="J64" s="978"/>
    </row>
    <row r="65" customFormat="false" ht="13.8" hidden="false" customHeight="false" outlineLevel="0" collapsed="false">
      <c r="B65" s="792" t="n">
        <v>41</v>
      </c>
      <c r="C65" s="976" t="s">
        <v>73</v>
      </c>
      <c r="D65" s="976" t="s">
        <v>628</v>
      </c>
      <c r="E65" s="794"/>
      <c r="F65" s="794"/>
      <c r="G65" s="794"/>
      <c r="H65" s="794"/>
      <c r="I65" s="977" t="n">
        <f aca="false">+H65+G65</f>
        <v>0</v>
      </c>
      <c r="J65" s="978"/>
    </row>
    <row r="66" customFormat="false" ht="13.8" hidden="false" customHeight="false" outlineLevel="0" collapsed="false">
      <c r="B66" s="792" t="n">
        <v>42</v>
      </c>
      <c r="C66" s="976" t="s">
        <v>73</v>
      </c>
      <c r="D66" s="976" t="s">
        <v>628</v>
      </c>
      <c r="E66" s="794"/>
      <c r="F66" s="794"/>
      <c r="G66" s="794"/>
      <c r="H66" s="794"/>
      <c r="I66" s="977" t="n">
        <f aca="false">+H66+G66</f>
        <v>0</v>
      </c>
      <c r="J66" s="978"/>
    </row>
    <row r="67" customFormat="false" ht="13.8" hidden="false" customHeight="false" outlineLevel="0" collapsed="false">
      <c r="B67" s="792" t="n">
        <v>43</v>
      </c>
      <c r="C67" s="976" t="s">
        <v>73</v>
      </c>
      <c r="D67" s="976" t="s">
        <v>628</v>
      </c>
      <c r="E67" s="794"/>
      <c r="F67" s="794"/>
      <c r="G67" s="794"/>
      <c r="H67" s="794"/>
      <c r="I67" s="977" t="n">
        <f aca="false">+H67+G67</f>
        <v>0</v>
      </c>
      <c r="J67" s="978"/>
    </row>
    <row r="68" customFormat="false" ht="13.8" hidden="false" customHeight="false" outlineLevel="0" collapsed="false">
      <c r="B68" s="792" t="n">
        <v>44</v>
      </c>
      <c r="C68" s="976" t="s">
        <v>73</v>
      </c>
      <c r="D68" s="976" t="s">
        <v>628</v>
      </c>
      <c r="E68" s="794"/>
      <c r="F68" s="794"/>
      <c r="G68" s="794"/>
      <c r="H68" s="794"/>
      <c r="I68" s="977" t="n">
        <f aca="false">+H68+G68</f>
        <v>0</v>
      </c>
      <c r="J68" s="978"/>
    </row>
    <row r="69" customFormat="false" ht="13.8" hidden="false" customHeight="false" outlineLevel="0" collapsed="false">
      <c r="B69" s="792" t="n">
        <v>45</v>
      </c>
      <c r="C69" s="976" t="s">
        <v>73</v>
      </c>
      <c r="D69" s="976" t="s">
        <v>628</v>
      </c>
      <c r="E69" s="794"/>
      <c r="F69" s="794"/>
      <c r="G69" s="794"/>
      <c r="H69" s="794"/>
      <c r="I69" s="977" t="n">
        <f aca="false">+H69+G69</f>
        <v>0</v>
      </c>
      <c r="J69" s="978"/>
    </row>
    <row r="70" customFormat="false" ht="13.8" hidden="false" customHeight="false" outlineLevel="0" collapsed="false">
      <c r="B70" s="792" t="n">
        <v>46</v>
      </c>
      <c r="C70" s="976" t="s">
        <v>73</v>
      </c>
      <c r="D70" s="976" t="s">
        <v>628</v>
      </c>
      <c r="E70" s="794"/>
      <c r="F70" s="794"/>
      <c r="G70" s="794"/>
      <c r="H70" s="794"/>
      <c r="I70" s="977" t="n">
        <f aca="false">+H70+G70</f>
        <v>0</v>
      </c>
      <c r="J70" s="978"/>
    </row>
    <row r="71" customFormat="false" ht="13.8" hidden="false" customHeight="false" outlineLevel="0" collapsed="false">
      <c r="B71" s="792" t="n">
        <v>47</v>
      </c>
      <c r="C71" s="976" t="s">
        <v>73</v>
      </c>
      <c r="D71" s="976" t="s">
        <v>628</v>
      </c>
      <c r="E71" s="794"/>
      <c r="F71" s="794"/>
      <c r="G71" s="794"/>
      <c r="H71" s="794"/>
      <c r="I71" s="977" t="n">
        <f aca="false">+H71+G71</f>
        <v>0</v>
      </c>
      <c r="J71" s="978"/>
    </row>
    <row r="72" customFormat="false" ht="13.8" hidden="false" customHeight="false" outlineLevel="0" collapsed="false">
      <c r="B72" s="792" t="n">
        <v>48</v>
      </c>
      <c r="C72" s="976" t="s">
        <v>73</v>
      </c>
      <c r="D72" s="976" t="s">
        <v>628</v>
      </c>
      <c r="E72" s="794"/>
      <c r="F72" s="794"/>
      <c r="G72" s="794"/>
      <c r="H72" s="794"/>
      <c r="I72" s="977" t="n">
        <f aca="false">+H72+G72</f>
        <v>0</v>
      </c>
      <c r="J72" s="978"/>
    </row>
    <row r="73" customFormat="false" ht="13.8" hidden="false" customHeight="false" outlineLevel="0" collapsed="false">
      <c r="B73" s="792" t="n">
        <v>49</v>
      </c>
      <c r="C73" s="976" t="s">
        <v>73</v>
      </c>
      <c r="D73" s="976" t="s">
        <v>628</v>
      </c>
      <c r="E73" s="794"/>
      <c r="F73" s="794"/>
      <c r="G73" s="794"/>
      <c r="H73" s="794"/>
      <c r="I73" s="977" t="n">
        <f aca="false">+H73+G73</f>
        <v>0</v>
      </c>
      <c r="J73" s="978"/>
    </row>
    <row r="74" customFormat="false" ht="13.8" hidden="false" customHeight="false" outlineLevel="0" collapsed="false">
      <c r="B74" s="792" t="n">
        <v>50</v>
      </c>
      <c r="C74" s="976" t="s">
        <v>73</v>
      </c>
      <c r="D74" s="976" t="s">
        <v>628</v>
      </c>
      <c r="E74" s="794"/>
      <c r="F74" s="794"/>
      <c r="G74" s="794"/>
      <c r="H74" s="794"/>
      <c r="I74" s="977" t="n">
        <f aca="false">+H74+G74</f>
        <v>0</v>
      </c>
      <c r="J74" s="978"/>
    </row>
    <row r="75" customFormat="false" ht="13.8" hidden="false" customHeight="false" outlineLevel="0" collapsed="false">
      <c r="B75" s="792" t="n">
        <v>51</v>
      </c>
      <c r="C75" s="976" t="s">
        <v>73</v>
      </c>
      <c r="D75" s="976" t="s">
        <v>628</v>
      </c>
      <c r="E75" s="794"/>
      <c r="F75" s="794"/>
      <c r="G75" s="794"/>
      <c r="H75" s="794"/>
      <c r="I75" s="977" t="n">
        <f aca="false">+H75+G75</f>
        <v>0</v>
      </c>
      <c r="J75" s="978"/>
    </row>
    <row r="76" customFormat="false" ht="13.8" hidden="false" customHeight="false" outlineLevel="0" collapsed="false">
      <c r="B76" s="792" t="n">
        <v>52</v>
      </c>
      <c r="C76" s="976" t="s">
        <v>73</v>
      </c>
      <c r="D76" s="976" t="s">
        <v>628</v>
      </c>
      <c r="E76" s="794"/>
      <c r="F76" s="794"/>
      <c r="G76" s="794"/>
      <c r="H76" s="794"/>
      <c r="I76" s="977" t="n">
        <f aca="false">+H76+G76</f>
        <v>0</v>
      </c>
      <c r="J76" s="978"/>
    </row>
    <row r="77" customFormat="false" ht="13.8" hidden="false" customHeight="false" outlineLevel="0" collapsed="false">
      <c r="B77" s="792" t="n">
        <v>53</v>
      </c>
      <c r="C77" s="976" t="s">
        <v>73</v>
      </c>
      <c r="D77" s="976" t="s">
        <v>628</v>
      </c>
      <c r="E77" s="794"/>
      <c r="F77" s="794"/>
      <c r="G77" s="794"/>
      <c r="H77" s="794"/>
      <c r="I77" s="977" t="n">
        <f aca="false">+H77+G77</f>
        <v>0</v>
      </c>
      <c r="J77" s="978"/>
    </row>
    <row r="78" customFormat="false" ht="13.8" hidden="false" customHeight="false" outlineLevel="0" collapsed="false">
      <c r="B78" s="792" t="n">
        <v>54</v>
      </c>
      <c r="C78" s="976" t="s">
        <v>73</v>
      </c>
      <c r="D78" s="976" t="s">
        <v>628</v>
      </c>
      <c r="E78" s="794"/>
      <c r="F78" s="794"/>
      <c r="G78" s="794"/>
      <c r="H78" s="794"/>
      <c r="I78" s="977" t="n">
        <f aca="false">+H78+G78</f>
        <v>0</v>
      </c>
      <c r="J78" s="978"/>
    </row>
    <row r="79" customFormat="false" ht="13.8" hidden="false" customHeight="false" outlineLevel="0" collapsed="false">
      <c r="B79" s="792" t="n">
        <v>55</v>
      </c>
      <c r="C79" s="976" t="s">
        <v>73</v>
      </c>
      <c r="D79" s="976" t="s">
        <v>628</v>
      </c>
      <c r="E79" s="794"/>
      <c r="F79" s="794"/>
      <c r="G79" s="794"/>
      <c r="H79" s="794"/>
      <c r="I79" s="977" t="n">
        <f aca="false">+H79+G79</f>
        <v>0</v>
      </c>
      <c r="J79" s="978"/>
    </row>
    <row r="80" customFormat="false" ht="13.8" hidden="false" customHeight="false" outlineLevel="0" collapsed="false">
      <c r="B80" s="792" t="n">
        <v>56</v>
      </c>
      <c r="C80" s="976" t="s">
        <v>73</v>
      </c>
      <c r="D80" s="976" t="s">
        <v>628</v>
      </c>
      <c r="E80" s="794"/>
      <c r="F80" s="794"/>
      <c r="G80" s="794"/>
      <c r="H80" s="794"/>
      <c r="I80" s="977" t="n">
        <f aca="false">+H80+G80</f>
        <v>0</v>
      </c>
      <c r="J80" s="978"/>
    </row>
    <row r="81" customFormat="false" ht="12.75" hidden="false" customHeight="false" outlineLevel="0" collapsed="false">
      <c r="E81" s="979"/>
      <c r="F81" s="979"/>
      <c r="G81" s="979"/>
      <c r="H81" s="979"/>
    </row>
  </sheetData>
  <mergeCells count="8">
    <mergeCell ref="C2:L2"/>
    <mergeCell ref="B4:L4"/>
    <mergeCell ref="D6:F6"/>
    <mergeCell ref="G6:I6"/>
    <mergeCell ref="J6:L6"/>
    <mergeCell ref="C22:J22"/>
    <mergeCell ref="G23:J23"/>
    <mergeCell ref="K23:M26"/>
  </mergeCells>
  <dataValidations count="3">
    <dataValidation allowBlank="true" errorStyle="stop" operator="between" showDropDown="false" showErrorMessage="true" showInputMessage="true" sqref="C25:C80" type="list">
      <formula1>"SRN,SSY,LC"</formula1>
      <formula2>0</formula2>
    </dataValidation>
    <dataValidation allowBlank="true" errorStyle="stop" operator="between" showDropDown="false" showErrorMessage="true" showInputMessage="true" sqref="D25:D80" type="list">
      <formula1>"LS,LA,LN,ZO,BA,VS,ET,CG,LQ,RE,LD"</formula1>
      <formula2>0</formula2>
    </dataValidation>
    <dataValidation allowBlank="true" errorStyle="stop" operator="between" showDropDown="false" showErrorMessage="true" showInputMessage="true" sqref="J25:J80" type="list">
      <formula1>"1,0"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8677"/>
    <pageSetUpPr fitToPage="false"/>
  </sheetPr>
  <dimension ref="B3:K2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1.43359375" defaultRowHeight="12.75" customHeight="false" zeroHeight="false" outlineLevelRow="0" outlineLevelCol="0"/>
  <cols>
    <col collapsed="false" customWidth="false" hidden="false" outlineLevel="0" max="1" min="1" style="733" width="11.43"/>
    <col collapsed="false" customWidth="true" hidden="false" outlineLevel="0" max="2" min="2" style="733" width="13"/>
    <col collapsed="false" customWidth="false" hidden="false" outlineLevel="0" max="3" min="3" style="732" width="11.43"/>
    <col collapsed="false" customWidth="true" hidden="false" outlineLevel="0" max="4" min="4" style="733" width="24.42"/>
    <col collapsed="false" customWidth="false" hidden="false" outlineLevel="0" max="11" min="5" style="732" width="11.43"/>
    <col collapsed="false" customWidth="false" hidden="false" outlineLevel="0" max="16384" min="12" style="733" width="11.43"/>
  </cols>
  <sheetData>
    <row r="3" s="756" customFormat="true" ht="34.5" hidden="false" customHeight="true" outlineLevel="0" collapsed="false">
      <c r="B3" s="942" t="s">
        <v>764</v>
      </c>
      <c r="C3" s="943" t="s">
        <v>765</v>
      </c>
      <c r="D3" s="943"/>
      <c r="E3" s="943"/>
      <c r="F3" s="943"/>
      <c r="G3" s="943"/>
      <c r="H3" s="943"/>
      <c r="I3" s="943"/>
      <c r="J3" s="943"/>
      <c r="K3" s="755"/>
    </row>
    <row r="4" s="756" customFormat="true" ht="12.75" hidden="false" customHeight="false" outlineLevel="0" collapsed="false"/>
    <row r="5" s="756" customFormat="true" ht="36.75" hidden="false" customHeight="true" outlineLevel="0" collapsed="false">
      <c r="B5" s="942" t="s">
        <v>766</v>
      </c>
      <c r="C5" s="943" t="s">
        <v>767</v>
      </c>
      <c r="D5" s="943"/>
      <c r="E5" s="943"/>
      <c r="F5" s="943"/>
      <c r="G5" s="943"/>
      <c r="H5" s="943"/>
      <c r="I5" s="943"/>
      <c r="J5" s="943"/>
      <c r="K5" s="755"/>
    </row>
    <row r="6" customFormat="false" ht="5.25" hidden="false" customHeight="true" outlineLevel="0" collapsed="false">
      <c r="B6" s="980"/>
      <c r="C6" s="981"/>
      <c r="D6" s="981"/>
      <c r="E6" s="982"/>
      <c r="F6" s="982"/>
      <c r="G6" s="982"/>
      <c r="H6" s="982"/>
      <c r="I6" s="982"/>
      <c r="J6" s="982"/>
    </row>
    <row r="7" customFormat="false" ht="24.75" hidden="false" customHeight="true" outlineLevel="0" collapsed="false">
      <c r="B7" s="983" t="s">
        <v>768</v>
      </c>
      <c r="C7" s="983"/>
      <c r="D7" s="983"/>
      <c r="E7" s="983"/>
      <c r="F7" s="983"/>
      <c r="G7" s="983"/>
      <c r="H7" s="983"/>
      <c r="I7" s="983"/>
      <c r="J7" s="983"/>
    </row>
    <row r="8" s="949" customFormat="true" ht="25.5" hidden="false" customHeight="true" outlineLevel="0" collapsed="false">
      <c r="B8" s="950" t="s">
        <v>410</v>
      </c>
      <c r="C8" s="950" t="s">
        <v>17</v>
      </c>
      <c r="D8" s="950" t="s">
        <v>317</v>
      </c>
      <c r="E8" s="952" t="s">
        <v>769</v>
      </c>
      <c r="F8" s="952"/>
      <c r="G8" s="984" t="s">
        <v>770</v>
      </c>
      <c r="H8" s="984"/>
      <c r="I8" s="950" t="s">
        <v>771</v>
      </c>
      <c r="J8" s="950"/>
    </row>
    <row r="9" s="949" customFormat="true" ht="12.75" hidden="false" customHeight="false" outlineLevel="0" collapsed="false">
      <c r="B9" s="950"/>
      <c r="C9" s="950"/>
      <c r="D9" s="950"/>
      <c r="E9" s="952" t="s">
        <v>772</v>
      </c>
      <c r="F9" s="952" t="s">
        <v>773</v>
      </c>
      <c r="G9" s="952" t="s">
        <v>772</v>
      </c>
      <c r="H9" s="952" t="s">
        <v>773</v>
      </c>
      <c r="I9" s="950" t="s">
        <v>772</v>
      </c>
      <c r="J9" s="950" t="s">
        <v>773</v>
      </c>
    </row>
    <row r="10" customFormat="false" ht="13.8" hidden="false" customHeight="false" outlineLevel="0" collapsed="false">
      <c r="B10" s="960" t="n">
        <v>1</v>
      </c>
      <c r="C10" s="985" t="s">
        <v>73</v>
      </c>
      <c r="D10" s="978" t="s">
        <v>586</v>
      </c>
      <c r="E10" s="793" t="n">
        <v>1</v>
      </c>
      <c r="F10" s="793" t="s">
        <v>774</v>
      </c>
      <c r="G10" s="793" t="n">
        <v>1</v>
      </c>
      <c r="H10" s="793" t="n">
        <v>25</v>
      </c>
      <c r="I10" s="959" t="n">
        <f aca="false">+G10/E10</f>
        <v>1</v>
      </c>
      <c r="J10" s="959" t="e">
        <f aca="false">+H10/F10</f>
        <v>#VALUE!</v>
      </c>
    </row>
    <row r="11" customFormat="false" ht="13.8" hidden="false" customHeight="false" outlineLevel="0" collapsed="false">
      <c r="B11" s="960" t="n">
        <v>2</v>
      </c>
      <c r="C11" s="985" t="s">
        <v>73</v>
      </c>
      <c r="D11" s="978" t="s">
        <v>587</v>
      </c>
      <c r="E11" s="793" t="n">
        <v>1</v>
      </c>
      <c r="F11" s="793"/>
      <c r="G11" s="793"/>
      <c r="H11" s="793"/>
      <c r="I11" s="959" t="n">
        <f aca="false">+G11/E11</f>
        <v>0</v>
      </c>
      <c r="J11" s="959" t="e">
        <f aca="false">+H11/F11</f>
        <v>#DIV/0!</v>
      </c>
    </row>
    <row r="12" customFormat="false" ht="13.8" hidden="false" customHeight="false" outlineLevel="0" collapsed="false">
      <c r="B12" s="960" t="n">
        <v>3</v>
      </c>
      <c r="C12" s="985" t="s">
        <v>99</v>
      </c>
      <c r="D12" s="978" t="s">
        <v>601</v>
      </c>
      <c r="E12" s="793" t="n">
        <v>1</v>
      </c>
      <c r="F12" s="793"/>
      <c r="G12" s="793"/>
      <c r="H12" s="793"/>
      <c r="I12" s="959" t="n">
        <f aca="false">+G12/E12</f>
        <v>0</v>
      </c>
      <c r="J12" s="959" t="e">
        <f aca="false">+H12/F12</f>
        <v>#DIV/0!</v>
      </c>
    </row>
    <row r="13" customFormat="false" ht="13.8" hidden="false" customHeight="false" outlineLevel="0" collapsed="false">
      <c r="B13" s="960" t="n">
        <v>4</v>
      </c>
      <c r="C13" s="985" t="s">
        <v>99</v>
      </c>
      <c r="D13" s="978" t="s">
        <v>588</v>
      </c>
      <c r="E13" s="793" t="n">
        <v>1</v>
      </c>
      <c r="F13" s="793"/>
      <c r="G13" s="793"/>
      <c r="H13" s="793"/>
      <c r="I13" s="959" t="n">
        <f aca="false">+G13/E13</f>
        <v>0</v>
      </c>
      <c r="J13" s="959" t="e">
        <f aca="false">+H13/F13</f>
        <v>#DIV/0!</v>
      </c>
    </row>
    <row r="14" customFormat="false" ht="13.8" hidden="false" customHeight="false" outlineLevel="0" collapsed="false">
      <c r="B14" s="960" t="n">
        <v>5</v>
      </c>
      <c r="C14" s="985" t="s">
        <v>90</v>
      </c>
      <c r="D14" s="978" t="s">
        <v>589</v>
      </c>
      <c r="E14" s="793" t="n">
        <v>1</v>
      </c>
      <c r="F14" s="793"/>
      <c r="G14" s="793"/>
      <c r="H14" s="793"/>
      <c r="I14" s="959" t="n">
        <f aca="false">+G14/E14</f>
        <v>0</v>
      </c>
      <c r="J14" s="959" t="e">
        <f aca="false">+H14/F14</f>
        <v>#DIV/0!</v>
      </c>
    </row>
    <row r="15" customFormat="false" ht="13.8" hidden="false" customHeight="false" outlineLevel="0" collapsed="false">
      <c r="B15" s="960" t="n">
        <v>6</v>
      </c>
      <c r="C15" s="985" t="s">
        <v>99</v>
      </c>
      <c r="D15" s="978" t="s">
        <v>590</v>
      </c>
      <c r="E15" s="793" t="n">
        <v>1</v>
      </c>
      <c r="F15" s="793"/>
      <c r="G15" s="793"/>
      <c r="H15" s="793"/>
      <c r="I15" s="959" t="n">
        <f aca="false">+G15/E15</f>
        <v>0</v>
      </c>
      <c r="J15" s="959" t="e">
        <f aca="false">+H15/F15</f>
        <v>#DIV/0!</v>
      </c>
    </row>
    <row r="16" customFormat="false" ht="13.8" hidden="false" customHeight="false" outlineLevel="0" collapsed="false">
      <c r="B16" s="960" t="n">
        <v>7</v>
      </c>
      <c r="C16" s="985" t="s">
        <v>73</v>
      </c>
      <c r="D16" s="978" t="s">
        <v>591</v>
      </c>
      <c r="E16" s="793" t="n">
        <v>1</v>
      </c>
      <c r="F16" s="793"/>
      <c r="G16" s="793"/>
      <c r="H16" s="793"/>
      <c r="I16" s="959" t="n">
        <f aca="false">+G16/E16</f>
        <v>0</v>
      </c>
      <c r="J16" s="959" t="e">
        <f aca="false">+H16/F16</f>
        <v>#DIV/0!</v>
      </c>
    </row>
    <row r="17" customFormat="false" ht="13.8" hidden="false" customHeight="false" outlineLevel="0" collapsed="false">
      <c r="B17" s="960" t="n">
        <v>8</v>
      </c>
      <c r="C17" s="985" t="s">
        <v>73</v>
      </c>
      <c r="D17" s="978" t="s">
        <v>592</v>
      </c>
      <c r="E17" s="793" t="n">
        <v>1</v>
      </c>
      <c r="F17" s="793"/>
      <c r="G17" s="793"/>
      <c r="H17" s="793"/>
      <c r="I17" s="959" t="n">
        <f aca="false">+G17/E17</f>
        <v>0</v>
      </c>
      <c r="J17" s="959" t="e">
        <f aca="false">+H17/F17</f>
        <v>#DIV/0!</v>
      </c>
    </row>
    <row r="18" customFormat="false" ht="13.8" hidden="false" customHeight="false" outlineLevel="0" collapsed="false">
      <c r="B18" s="960" t="n">
        <v>9</v>
      </c>
      <c r="C18" s="985" t="s">
        <v>73</v>
      </c>
      <c r="D18" s="978" t="s">
        <v>593</v>
      </c>
      <c r="E18" s="793" t="n">
        <v>1</v>
      </c>
      <c r="F18" s="793"/>
      <c r="G18" s="793"/>
      <c r="H18" s="793"/>
      <c r="I18" s="959" t="n">
        <f aca="false">+G18/E18</f>
        <v>0</v>
      </c>
      <c r="J18" s="959" t="e">
        <f aca="false">+H18/F18</f>
        <v>#DIV/0!</v>
      </c>
    </row>
    <row r="19" customFormat="false" ht="13.8" hidden="false" customHeight="false" outlineLevel="0" collapsed="false">
      <c r="B19" s="960" t="n">
        <v>10</v>
      </c>
      <c r="C19" s="985" t="s">
        <v>99</v>
      </c>
      <c r="D19" s="978" t="s">
        <v>775</v>
      </c>
      <c r="E19" s="793" t="n">
        <v>1</v>
      </c>
      <c r="F19" s="793"/>
      <c r="G19" s="793"/>
      <c r="H19" s="793"/>
      <c r="I19" s="959" t="n">
        <f aca="false">+G19/E19</f>
        <v>0</v>
      </c>
      <c r="J19" s="959" t="e">
        <f aca="false">+H19/F19</f>
        <v>#DIV/0!</v>
      </c>
    </row>
    <row r="20" customFormat="false" ht="13.8" hidden="false" customHeight="false" outlineLevel="0" collapsed="false">
      <c r="B20" s="960" t="n">
        <v>11</v>
      </c>
      <c r="C20" s="985" t="s">
        <v>90</v>
      </c>
      <c r="D20" s="978" t="s">
        <v>595</v>
      </c>
      <c r="E20" s="793" t="n">
        <v>1</v>
      </c>
      <c r="F20" s="793"/>
      <c r="G20" s="793"/>
      <c r="H20" s="793"/>
      <c r="I20" s="959" t="n">
        <f aca="false">+G20/E20</f>
        <v>0</v>
      </c>
      <c r="J20" s="959" t="e">
        <f aca="false">+H20/F20</f>
        <v>#DIV/0!</v>
      </c>
    </row>
    <row r="21" s="986" customFormat="true" ht="12.75" hidden="false" customHeight="false" outlineLevel="0" collapsed="false">
      <c r="B21" s="987"/>
      <c r="C21" s="987" t="s">
        <v>584</v>
      </c>
      <c r="D21" s="988"/>
      <c r="E21" s="989" t="n">
        <f aca="false">SUM(E10:E20)</f>
        <v>11</v>
      </c>
      <c r="F21" s="989" t="n">
        <f aca="false">SUM(F10:F20)</f>
        <v>0</v>
      </c>
      <c r="G21" s="989"/>
      <c r="H21" s="989"/>
      <c r="I21" s="987" t="n">
        <f aca="false">+G21/E21</f>
        <v>0</v>
      </c>
      <c r="J21" s="990" t="e">
        <f aca="false">+H21/F21</f>
        <v>#DIV/0!</v>
      </c>
      <c r="K21" s="734"/>
    </row>
  </sheetData>
  <mergeCells count="9">
    <mergeCell ref="C3:J3"/>
    <mergeCell ref="C5:J5"/>
    <mergeCell ref="B7:J7"/>
    <mergeCell ref="B8:B9"/>
    <mergeCell ref="C8:C9"/>
    <mergeCell ref="D8:D9"/>
    <mergeCell ref="E8:F8"/>
    <mergeCell ref="G8:H8"/>
    <mergeCell ref="I8:J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false" showRowColHeaders="true" showZeros="true" rightToLeft="false" tabSelected="false" showOutlineSymbols="true" defaultGridColor="true" view="normal" topLeftCell="B4" colorId="64" zoomScale="90" zoomScaleNormal="90" zoomScalePageLayoutView="100" workbookViewId="0">
      <selection pane="topLeft" activeCell="B30" activeCellId="0" sqref="B30"/>
    </sheetView>
  </sheetViews>
  <sheetFormatPr defaultColWidth="11.00390625" defaultRowHeight="15" customHeight="false" zeroHeight="false" outlineLevelRow="0" outlineLevelCol="0"/>
  <cols>
    <col collapsed="false" customWidth="true" hidden="true" outlineLevel="0" max="1" min="1" style="238" width="11.53"/>
    <col collapsed="false" customWidth="true" hidden="false" outlineLevel="0" max="2" min="2" style="238" width="14.86"/>
    <col collapsed="false" customWidth="true" hidden="false" outlineLevel="0" max="3" min="3" style="238" width="56.42"/>
    <col collapsed="false" customWidth="true" hidden="false" outlineLevel="0" max="4" min="4" style="238" width="60.57"/>
    <col collapsed="false" customWidth="true" hidden="false" outlineLevel="0" max="5" min="5" style="238" width="35.85"/>
  </cols>
  <sheetData>
    <row r="1" customFormat="false" ht="15" hidden="false" customHeight="true" outlineLevel="0" collapsed="false"/>
    <row r="2" customFormat="false" ht="90" hidden="false" customHeight="true" outlineLevel="0" collapsed="false">
      <c r="B2" s="991" t="s">
        <v>776</v>
      </c>
      <c r="C2" s="991"/>
      <c r="D2" s="991"/>
    </row>
    <row r="4" customFormat="false" ht="15" hidden="false" customHeight="false" outlineLevel="0" collapsed="false">
      <c r="B4" s="992" t="s">
        <v>777</v>
      </c>
      <c r="C4" s="992" t="s">
        <v>778</v>
      </c>
      <c r="D4" s="992" t="s">
        <v>779</v>
      </c>
    </row>
    <row r="5" customFormat="false" ht="28.35" hidden="false" customHeight="false" outlineLevel="0" collapsed="false">
      <c r="A5" s="993" t="n">
        <v>1</v>
      </c>
      <c r="B5" s="994" t="s">
        <v>249</v>
      </c>
      <c r="C5" s="995" t="s">
        <v>780</v>
      </c>
      <c r="D5" s="996" t="s">
        <v>781</v>
      </c>
    </row>
    <row r="6" customFormat="false" ht="59.25" hidden="false" customHeight="true" outlineLevel="0" collapsed="false">
      <c r="A6" s="993"/>
      <c r="B6" s="994"/>
      <c r="C6" s="997" t="s">
        <v>782</v>
      </c>
      <c r="D6" s="997" t="s">
        <v>783</v>
      </c>
    </row>
    <row r="7" customFormat="false" ht="28.35" hidden="false" customHeight="false" outlineLevel="0" collapsed="false">
      <c r="A7" s="993"/>
      <c r="B7" s="994"/>
      <c r="C7" s="997" t="s">
        <v>784</v>
      </c>
      <c r="D7" s="997" t="s">
        <v>785</v>
      </c>
    </row>
    <row r="8" customFormat="false" ht="32.25" hidden="false" customHeight="true" outlineLevel="0" collapsed="false">
      <c r="A8" s="993"/>
      <c r="B8" s="994"/>
      <c r="C8" s="997" t="s">
        <v>786</v>
      </c>
      <c r="D8" s="998" t="s">
        <v>787</v>
      </c>
    </row>
    <row r="9" customFormat="false" ht="28.35" hidden="false" customHeight="false" outlineLevel="0" collapsed="false">
      <c r="A9" s="993" t="n">
        <f aca="false">A5+1</f>
        <v>2</v>
      </c>
      <c r="B9" s="994" t="s">
        <v>788</v>
      </c>
      <c r="C9" s="995" t="s">
        <v>789</v>
      </c>
      <c r="D9" s="997"/>
      <c r="E9" s="999"/>
    </row>
    <row r="10" customFormat="false" ht="165.75" hidden="false" customHeight="true" outlineLevel="0" collapsed="false">
      <c r="A10" s="993"/>
      <c r="B10" s="994"/>
      <c r="C10" s="995" t="s">
        <v>790</v>
      </c>
      <c r="D10" s="997" t="s">
        <v>522</v>
      </c>
      <c r="E10" s="999"/>
    </row>
    <row r="11" customFormat="false" ht="77.25" hidden="false" customHeight="true" outlineLevel="0" collapsed="false">
      <c r="A11" s="993"/>
      <c r="B11" s="994"/>
      <c r="C11" s="997" t="s">
        <v>791</v>
      </c>
      <c r="D11" s="997" t="s">
        <v>783</v>
      </c>
      <c r="E11" s="999" t="s">
        <v>792</v>
      </c>
    </row>
    <row r="12" customFormat="false" ht="55.2" hidden="false" customHeight="false" outlineLevel="0" collapsed="false">
      <c r="A12" s="993" t="n">
        <f aca="false">A9+1</f>
        <v>3</v>
      </c>
      <c r="B12" s="994" t="s">
        <v>257</v>
      </c>
      <c r="C12" s="997" t="s">
        <v>793</v>
      </c>
      <c r="D12" s="998" t="s">
        <v>794</v>
      </c>
    </row>
    <row r="13" customFormat="false" ht="164.15" hidden="false" customHeight="false" outlineLevel="0" collapsed="false">
      <c r="A13" s="993"/>
      <c r="B13" s="994"/>
      <c r="C13" s="997" t="s">
        <v>795</v>
      </c>
      <c r="D13" s="1000" t="s">
        <v>796</v>
      </c>
    </row>
    <row r="14" customFormat="false" ht="95.5" hidden="false" customHeight="false" outlineLevel="0" collapsed="false">
      <c r="A14" s="993"/>
      <c r="B14" s="994"/>
      <c r="C14" s="997" t="s">
        <v>797</v>
      </c>
      <c r="D14" s="1001" t="s">
        <v>798</v>
      </c>
      <c r="E14" s="1000"/>
    </row>
    <row r="15" customFormat="false" ht="68.65" hidden="false" customHeight="false" outlineLevel="0" collapsed="false">
      <c r="A15" s="993"/>
      <c r="B15" s="994"/>
      <c r="C15" s="1002"/>
      <c r="D15" s="997" t="s">
        <v>799</v>
      </c>
    </row>
    <row r="16" customFormat="false" ht="41.75" hidden="false" customHeight="true" outlineLevel="0" collapsed="false">
      <c r="A16" s="993" t="n">
        <f aca="false">A12+1</f>
        <v>4</v>
      </c>
      <c r="B16" s="1003" t="s">
        <v>800</v>
      </c>
      <c r="C16" s="995" t="s">
        <v>801</v>
      </c>
      <c r="D16" s="997"/>
    </row>
    <row r="17" customFormat="false" ht="68.65" hidden="false" customHeight="false" outlineLevel="0" collapsed="false">
      <c r="A17" s="993"/>
      <c r="B17" s="1003"/>
      <c r="C17" s="1004" t="s">
        <v>802</v>
      </c>
      <c r="D17" s="997"/>
    </row>
    <row r="18" customFormat="false" ht="82.05" hidden="false" customHeight="false" outlineLevel="0" collapsed="false">
      <c r="A18" s="993"/>
      <c r="B18" s="1003"/>
      <c r="C18" s="997" t="s">
        <v>803</v>
      </c>
      <c r="D18" s="1001" t="s">
        <v>804</v>
      </c>
    </row>
    <row r="19" customFormat="false" ht="30" hidden="false" customHeight="true" outlineLevel="0" collapsed="false">
      <c r="A19" s="993" t="n">
        <f aca="false">A16+1</f>
        <v>5</v>
      </c>
      <c r="B19" s="1003" t="s">
        <v>252</v>
      </c>
      <c r="C19" s="995" t="s">
        <v>805</v>
      </c>
      <c r="D19" s="1000"/>
    </row>
    <row r="20" customFormat="false" ht="55.2" hidden="false" customHeight="false" outlineLevel="0" collapsed="false">
      <c r="A20" s="993"/>
      <c r="B20" s="1003"/>
      <c r="C20" s="995" t="s">
        <v>806</v>
      </c>
      <c r="D20" s="997" t="s">
        <v>807</v>
      </c>
    </row>
    <row r="21" customFormat="false" ht="41.75" hidden="false" customHeight="false" outlineLevel="0" collapsed="false">
      <c r="A21" s="993"/>
      <c r="B21" s="1003"/>
      <c r="C21" s="1000" t="s">
        <v>808</v>
      </c>
      <c r="D21" s="1005"/>
    </row>
    <row r="22" customFormat="false" ht="41.75" hidden="false" customHeight="false" outlineLevel="0" collapsed="false">
      <c r="A22" s="993"/>
      <c r="B22" s="1003"/>
      <c r="C22" s="1000" t="s">
        <v>809</v>
      </c>
      <c r="D22" s="1000"/>
    </row>
    <row r="23" customFormat="false" ht="15" hidden="false" customHeight="false" outlineLevel="0" collapsed="false">
      <c r="A23" s="993"/>
      <c r="B23" s="1003"/>
      <c r="C23" s="1000"/>
      <c r="D23" s="1000"/>
    </row>
    <row r="24" customFormat="false" ht="28.35" hidden="false" customHeight="true" outlineLevel="0" collapsed="false">
      <c r="A24" s="993" t="n">
        <f aca="false">A19+1</f>
        <v>6</v>
      </c>
      <c r="B24" s="1003" t="s">
        <v>810</v>
      </c>
      <c r="C24" s="1006" t="s">
        <v>811</v>
      </c>
      <c r="D24" s="997" t="s">
        <v>812</v>
      </c>
    </row>
    <row r="25" customFormat="false" ht="124.5" hidden="false" customHeight="true" outlineLevel="0" collapsed="false">
      <c r="A25" s="993"/>
      <c r="B25" s="1003"/>
      <c r="C25" s="995" t="s">
        <v>813</v>
      </c>
      <c r="D25" s="997" t="s">
        <v>814</v>
      </c>
    </row>
    <row r="26" customFormat="false" ht="28.35" hidden="false" customHeight="true" outlineLevel="0" collapsed="false">
      <c r="A26" s="993" t="n">
        <f aca="false">A24+1</f>
        <v>7</v>
      </c>
      <c r="B26" s="1003" t="s">
        <v>254</v>
      </c>
      <c r="C26" s="995" t="s">
        <v>815</v>
      </c>
      <c r="D26" s="997" t="s">
        <v>816</v>
      </c>
    </row>
    <row r="27" customFormat="false" ht="68.65" hidden="false" customHeight="false" outlineLevel="0" collapsed="false">
      <c r="A27" s="993"/>
      <c r="B27" s="1003"/>
      <c r="C27" s="997" t="s">
        <v>817</v>
      </c>
      <c r="D27" s="997" t="s">
        <v>818</v>
      </c>
    </row>
    <row r="28" customFormat="false" ht="55.2" hidden="false" customHeight="false" outlineLevel="0" collapsed="false">
      <c r="A28" s="993"/>
      <c r="B28" s="1003"/>
      <c r="C28" s="1000" t="s">
        <v>819</v>
      </c>
      <c r="D28" s="1005"/>
    </row>
    <row r="29" customFormat="false" ht="41.75" hidden="false" customHeight="false" outlineLevel="0" collapsed="false">
      <c r="A29" s="993" t="n">
        <f aca="false">A26+1</f>
        <v>8</v>
      </c>
      <c r="B29" s="1006" t="s">
        <v>255</v>
      </c>
      <c r="C29" s="995" t="s">
        <v>820</v>
      </c>
      <c r="D29" s="1000" t="s">
        <v>821</v>
      </c>
    </row>
    <row r="30" customFormat="false" ht="41.75" hidden="false" customHeight="true" outlineLevel="0" collapsed="false">
      <c r="A30" s="993" t="n">
        <f aca="false">A29+1</f>
        <v>9</v>
      </c>
      <c r="B30" s="1003" t="s">
        <v>256</v>
      </c>
      <c r="C30" s="1000" t="s">
        <v>822</v>
      </c>
      <c r="D30" s="1005" t="s">
        <v>823</v>
      </c>
    </row>
    <row r="31" customFormat="false" ht="28.35" hidden="false" customHeight="false" outlineLevel="0" collapsed="false">
      <c r="A31" s="993"/>
      <c r="B31" s="1003"/>
      <c r="C31" s="1000" t="s">
        <v>824</v>
      </c>
      <c r="D31" s="1005"/>
    </row>
  </sheetData>
  <mergeCells count="17">
    <mergeCell ref="B2:D2"/>
    <mergeCell ref="A5:A6"/>
    <mergeCell ref="B5:B8"/>
    <mergeCell ref="A9:A10"/>
    <mergeCell ref="B9:B11"/>
    <mergeCell ref="A12:A15"/>
    <mergeCell ref="B12:B15"/>
    <mergeCell ref="A16:A18"/>
    <mergeCell ref="B16:B18"/>
    <mergeCell ref="A19:A23"/>
    <mergeCell ref="B19:B23"/>
    <mergeCell ref="A24:A25"/>
    <mergeCell ref="B24:B25"/>
    <mergeCell ref="A26:A27"/>
    <mergeCell ref="B26:B28"/>
    <mergeCell ref="A30:A31"/>
    <mergeCell ref="B30:B3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M38" activeCellId="0" sqref="M38"/>
    </sheetView>
  </sheetViews>
  <sheetFormatPr defaultColWidth="10.6796875" defaultRowHeight="15" customHeight="false"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588</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2012-01-04T20:56:44Z</dcterms:created>
  <dc:creator>Erika López</dc:creator>
  <dc:description/>
  <dc:language>es-ES</dc:language>
  <cp:lastModifiedBy>Francisco Puga</cp:lastModifiedBy>
  <cp:lastPrinted>2012-02-23T17:12:12Z</cp:lastPrinted>
  <dcterms:modified xsi:type="dcterms:W3CDTF">2026-04-10T09:55:43Z</dcterms:modified>
  <cp:revision>4</cp:revision>
  <dc:subject/>
  <dc:title>Herramientas para medir Indicadores- CAPS</dc:title>
</cp:coreProperties>
</file>

<file path=docProps/custom.xml><?xml version="1.0" encoding="utf-8"?>
<Properties xmlns="http://schemas.openxmlformats.org/officeDocument/2006/custom-properties" xmlns:vt="http://schemas.openxmlformats.org/officeDocument/2006/docPropsVTypes"/>
</file>